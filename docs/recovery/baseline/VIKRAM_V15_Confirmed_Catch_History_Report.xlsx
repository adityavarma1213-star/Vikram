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DataQuality" sheetId="1" state="visible" r:id="rId3"/>
    <sheet name="T1_Catches" sheetId="2" state="visible" r:id="rId4"/>
    <sheet name="T2_CatchToCurrent" sheetId="3" state="visible" r:id="rId5"/>
    <sheet name="T3_StockFrequency" sheetId="4" state="visible" r:id="rId6"/>
    <sheet name="T8_MostCaught" sheetId="5" state="visible" r:id="rId7"/>
    <sheet name="T4_Daily" sheetId="6" state="visible" r:id="rId8"/>
    <sheet name="T5_Weekly" sheetId="7" state="visible" r:id="rId9"/>
    <sheet name="T6_Monthly" sheetId="8" state="visible" r:id="rId10"/>
    <sheet name="T7_UpVsDown" sheetId="9" state="visible" r:id="rId11"/>
    <sheet name="T9_BestWorst" sheetId="10" state="visible" r:id="rId12"/>
    <sheet name="Events_769" sheetId="11" state="visible" r:id="rId13"/>
    <sheet name="Missing_Histo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<sst xmlns="http://schemas.openxmlformats.org/spreadsheetml/2006/main" count="22119" uniqueCount="2396">
  <si>
    <t xml:space="preserve">Item</t>
  </si>
  <si>
    <t xml:space="preserve">Value</t>
  </si>
  <si>
    <t xml:space="preserve">Historical period requested</t>
  </si>
  <si>
    <t xml:space="preserve">2025-09-02 → 2026-09-24</t>
  </si>
  <si>
    <t xml:space="preserve">Period for which V15 verdicts are RECORDED in the package</t>
  </si>
  <si>
    <t xml:space="preserve">2025-09-30 → 2026-09-03 (first catch 2025-10-01, last catch 2026-09-03)</t>
  </si>
  <si>
    <t xml:space="preserve">Number of recovered sessions (with recorded V15 verdicts)</t>
  </si>
  <si>
    <t xml:space="preserve">229 sessions</t>
  </si>
  <si>
    <t xml:space="preserve">Sessions in requested period with raw data but NO usable V15 verdict</t>
  </si>
  <si>
    <t xml:space="preserve">34 sessions (see Missing_History) — warm-up 20, zero-filled delivery 7, no recorded run 7</t>
  </si>
  <si>
    <t xml:space="preserve">Number of confirmed catch events (engine event grouping)</t>
  </si>
  <si>
    <t xml:space="preserve">769 events</t>
  </si>
  <si>
    <t xml:space="preserve">Number of confirmed catch-DAYS (one row per symbol per confirmed session)</t>
  </si>
  <si>
    <t xml:space="preserve">852 (697 single-day events + 61 two-day + 11 three-day streaks = 852)</t>
  </si>
  <si>
    <t xml:space="preserve">Number of unique confirmed symbols</t>
  </si>
  <si>
    <t xml:space="preserve">192</t>
  </si>
  <si>
    <t xml:space="preserve">Catch-days with verified current prices</t>
  </si>
  <si>
    <t xml:space="preserve">848</t>
  </si>
  <si>
    <t xml:space="preserve">Catch-days WITHOUT current prices</t>
  </si>
  <si>
    <t xml:space="preserve">4 (symbol LTIM has no row on the latest session)</t>
  </si>
  <si>
    <t xml:space="preserve">Previously reported audit total</t>
  </si>
  <si>
    <t xml:space="preserve">913 confirmed events / 193 unique symbols</t>
  </si>
  <si>
    <t xml:space="preserve">Recovered event total</t>
  </si>
  <si>
    <t xml:space="preserve">852 catch-days (769 grouped events)</t>
  </si>
  <si>
    <t xml:space="preserve">Recovered unique symbol total</t>
  </si>
  <si>
    <t xml:space="preserve">Why recovered ≠ 913/193</t>
  </si>
  <si>
    <t xml:space="preserve">The 913/193 figures are not stored anywhere in this package. The only recorded V15 output (REAL_1YEAR_BACKTEST_RESULT.json) ends at 2026-09-03 and its last 7 sessions (09-04…09-15) were run on zero-filled delivery data. Raw files for 09-16…09-24 exist but no verdicts were stored for them. 913 − 852 = 61 and 193 − 192 = 1 would fit a later/other run that covered those sessions with repaired delivery data, but that is a hypothesis; the package cannot verify it, so the recovered totals were NOT forced to 913/193.</t>
  </si>
  <si>
    <t xml:space="preserve">Unit of a "catch"</t>
  </si>
  <si>
    <t xml:space="preserve">Table 1/2 rows = one row per symbol per confirmed session (catch-day). The engine groups consecutive confirmed sessions into one event (New/Active streak, max streak 3). Streak days 2-3 are listed separately so nothing is merged; the middle day of a 3-day streak is DERIVED from the recorded first/latest dates (marked). Events are on sheet Events_769.</t>
  </si>
  <si>
    <t xml:space="preserve">Current price</t>
  </si>
  <si>
    <t xml:space="preserve">Close on 2026-09-28 from data/market-history (matches scanner.json asOf 2026-09-28 EOD VERIFIED on all 2,676 symbols; not a copy of 09-25). Sessions after 09-28 are not in the package, so this is NOT a live price (today is 2026-10-03).</t>
  </si>
  <si>
    <t xml:space="preserve">Corporate actions</t>
  </si>
  <si>
    <t xml:space="preserve">CORPORATE ACTION STATUS UNKNOWN for every row — no corporate-action source was ever fetched (corporateActionCoverage = CORPORATE_ACTION_DATA_REQUIRED). Raw, unadjusted closes are used. A heuristic flag (≥20% one-day move between catch and 09-28, same rule as backtest/lib/corporateActions.js) is shown only as a warning; nothing was adjusted.</t>
  </si>
  <si>
    <t xml:space="preserve">Fields not stored by the recorded run</t>
  </si>
  <si>
    <t xml:space="preserve">Score, Volume Ratio, OBV, per-gate pass/fail and STARTING counts are N/A (computing them would require replaying V15). Delivery %, OI and OI change are raw inputs read from the stored CM/F&amp;O files for the catch date. Git commit: N/A (the zip has no .git).</t>
  </si>
  <si>
    <t xml:space="preserve">Confirmation Rate</t>
  </si>
  <si>
    <t xml:space="preserve">Requested CONFIRMED / STARTING cannot be computed (STARTING not recorded) except 2026-09-28 (scanner snapshot: 0 / 423). Supplementary: CONFIRMED / symbols scanned (derived: symbols with ≥21 sessions of history that day).</t>
  </si>
  <si>
    <t xml:space="preserve">Daily definitions</t>
  </si>
  <si>
    <t xml:space="preserve">Unique Confirmed = distinct symbols confirmed that day. Repeat = symbols that also had an earlier confirmed day. First-time = Confirmed − Repeat. Weekly/monthly Unique = distinct symbols in the window; Repeat = sum of daily repeats.</t>
  </si>
  <si>
    <t xml:space="preserve">Safety check</t>
  </si>
  <si>
    <t xml:space="preserve">NO CODE CHANGED · NO V15 RULE CHANGED · NO DATA MODIFIED · NO REPLAY PERFORMED · NO NEW REPOSITORY CREATED · NO PUSH/COMMIT/PR/MERGE PERFORMED · NO FUTURE DATA USED TO DETERMINE HISTORICAL V15 CONFIRMATIONS · NO MISSING DATA TREATED AS ZERO · NO PRICES INVENTED · NO CATCH EVENTS INVENTED</t>
  </si>
  <si>
    <t xml:space="preserve">Catch Date</t>
  </si>
  <si>
    <t xml:space="preserve">Symbol</t>
  </si>
  <si>
    <t xml:space="preserve">Company Name</t>
  </si>
  <si>
    <t xml:space="preserve">Catch Price</t>
  </si>
  <si>
    <t xml:space="preserve">V15 / Accumulation Score</t>
  </si>
  <si>
    <t xml:space="preserve">Delivery %</t>
  </si>
  <si>
    <t xml:space="preserve">Volume Ratio</t>
  </si>
  <si>
    <t xml:space="preserve">OBV</t>
  </si>
  <si>
    <t xml:space="preserve">OI</t>
  </si>
  <si>
    <t xml:space="preserve">OI Change</t>
  </si>
  <si>
    <t xml:space="preserve">Confirmation Gate Status</t>
  </si>
  <si>
    <t xml:space="preserve">Evidence / Source</t>
  </si>
  <si>
    <t xml:space="preserve">Scanner Evidence ID / Git Commit</t>
  </si>
  <si>
    <t xml:space="preserve">Event Index</t>
  </si>
  <si>
    <t xml:space="preserve">Streak Day</t>
  </si>
  <si>
    <t xml:space="preserve">Event Status</t>
  </si>
  <si>
    <t xml:space="preserve">2025-10-01</t>
  </si>
  <si>
    <t xml:space="preserve">APLAPOLLO</t>
  </si>
  <si>
    <t xml:space="preserve">APL Apollo Tubes Limited</t>
  </si>
  <si>
    <t xml:space="preserve">N/A</t>
  </si>
  <si>
    <t xml:space="preserve">ACCUMULATION CONFIRMED (engine verdict; per-gate values not stored)</t>
  </si>
  <si>
    <t xml:space="preserve">RECORDED: backtest/REAL_1YEAR_BACKTEST_RESULT.json signals[]</t>
  </si>
  <si>
    <t xml:space="preserve">BT:APLAPOLLO#e0d1of1 (git commit N/A)</t>
  </si>
  <si>
    <t xml:space="preserve">1/1</t>
  </si>
  <si>
    <t xml:space="preserve">New</t>
  </si>
  <si>
    <t xml:space="preserve">DIVISLAB</t>
  </si>
  <si>
    <t xml:space="preserve">Divi's Laboratories Limited</t>
  </si>
  <si>
    <t xml:space="preserve">BT:DIVISLAB#e0d1of2 (git commit N/A)</t>
  </si>
  <si>
    <t xml:space="preserve">1/2</t>
  </si>
  <si>
    <t xml:space="preserve">Active</t>
  </si>
  <si>
    <t xml:space="preserve">FORTIS</t>
  </si>
  <si>
    <t xml:space="preserve">Fortis Healthcare Limited</t>
  </si>
  <si>
    <t xml:space="preserve">BT:FORTIS#e0d1of1 (git commit N/A)</t>
  </si>
  <si>
    <t xml:space="preserve">ICICIGI</t>
  </si>
  <si>
    <t xml:space="preserve">ICICI Lombard General Insurance Company Limited</t>
  </si>
  <si>
    <t xml:space="preserve">BT:ICICIGI#e0d1of1 (git commit N/A)</t>
  </si>
  <si>
    <t xml:space="preserve">IEX</t>
  </si>
  <si>
    <t xml:space="preserve">Indian Energy Exchange Limited</t>
  </si>
  <si>
    <t xml:space="preserve">BT:IEX#e0d1of2 (git commit N/A)</t>
  </si>
  <si>
    <t xml:space="preserve">MFSL</t>
  </si>
  <si>
    <t xml:space="preserve">Max Financial Services Limited</t>
  </si>
  <si>
    <t xml:space="preserve">BT:MFSL#e0d1of1 (git commit N/A)</t>
  </si>
  <si>
    <t xml:space="preserve">SRF</t>
  </si>
  <si>
    <t xml:space="preserve">SRF Limited</t>
  </si>
  <si>
    <t xml:space="preserve">BT:SRF#e0d1of1 (git commit N/A)</t>
  </si>
  <si>
    <t xml:space="preserve">YESBANK</t>
  </si>
  <si>
    <t xml:space="preserve">Yes Bank Limited</t>
  </si>
  <si>
    <t xml:space="preserve">BT:YESBANK#e0d1of1 (git commit N/A)</t>
  </si>
  <si>
    <t xml:space="preserve">2025-10-03</t>
  </si>
  <si>
    <t xml:space="preserve">BAJAJ-AUTO</t>
  </si>
  <si>
    <t xml:space="preserve">Bajaj Auto Limited</t>
  </si>
  <si>
    <t xml:space="preserve">BT:BAJAJ-AUTO#e0d1of1 (git commit N/A)</t>
  </si>
  <si>
    <t xml:space="preserve">DALBHARAT</t>
  </si>
  <si>
    <t xml:space="preserve">Dalmia Bharat Limited</t>
  </si>
  <si>
    <t xml:space="preserve">BT:DALBHARAT#e0d1of1 (git commit N/A)</t>
  </si>
  <si>
    <t xml:space="preserve">DELHIVERY</t>
  </si>
  <si>
    <t xml:space="preserve">Delhivery Limited</t>
  </si>
  <si>
    <t xml:space="preserve">BT:DELHIVERY#e0d1of1 (git commit N/A)</t>
  </si>
  <si>
    <t xml:space="preserve">BT:DIVISLAB#e0d2of2 (git commit N/A)</t>
  </si>
  <si>
    <t xml:space="preserve">2/2</t>
  </si>
  <si>
    <t xml:space="preserve">HDFCAMC</t>
  </si>
  <si>
    <t xml:space="preserve">HDFC Asset Management Company Limited</t>
  </si>
  <si>
    <t xml:space="preserve">BT:HDFCAMC#e0d1of1 (git commit N/A)</t>
  </si>
  <si>
    <t xml:space="preserve">HINDPETRO</t>
  </si>
  <si>
    <t xml:space="preserve">Hindustan Petroleum Corporation Limited</t>
  </si>
  <si>
    <t xml:space="preserve">BT:HINDPETRO#e0d1of1 (git commit N/A)</t>
  </si>
  <si>
    <t xml:space="preserve">BT:IEX#e0d2of2 (git commit N/A)</t>
  </si>
  <si>
    <t xml:space="preserve">JINDALSTEL</t>
  </si>
  <si>
    <t xml:space="preserve">JINDAL STEEL LIMITED</t>
  </si>
  <si>
    <t xml:space="preserve">BT:JINDALSTEL#e0d1of1 (git commit N/A)</t>
  </si>
  <si>
    <t xml:space="preserve">LTF</t>
  </si>
  <si>
    <t xml:space="preserve">L&amp;T Finance Limited</t>
  </si>
  <si>
    <t xml:space="preserve">BT:LTF#e0d1of1 (git commit N/A)</t>
  </si>
  <si>
    <t xml:space="preserve">NMDC</t>
  </si>
  <si>
    <t xml:space="preserve">NMDC Limited</t>
  </si>
  <si>
    <t xml:space="preserve">BT:NMDC#e0d1of1 (git commit N/A)</t>
  </si>
  <si>
    <t xml:space="preserve">PETRONET</t>
  </si>
  <si>
    <t xml:space="preserve">Petronet LNG Limited</t>
  </si>
  <si>
    <t xml:space="preserve">BT:PETRONET#e0d1of1 (git commit N/A)</t>
  </si>
  <si>
    <t xml:space="preserve">PFC</t>
  </si>
  <si>
    <t xml:space="preserve">Power Finance Corporation Limited</t>
  </si>
  <si>
    <t xml:space="preserve">BT:PFC#e0d1of1 (git commit N/A)</t>
  </si>
  <si>
    <t xml:space="preserve">PNB</t>
  </si>
  <si>
    <t xml:space="preserve">Punjab National Bank</t>
  </si>
  <si>
    <t xml:space="preserve">BT:PNB#e0d1of1 (git commit N/A)</t>
  </si>
  <si>
    <t xml:space="preserve">VEDL</t>
  </si>
  <si>
    <t xml:space="preserve">Vedanta Limited</t>
  </si>
  <si>
    <t xml:space="preserve">BT:VEDL#e0d1of1 (git commit N/A)</t>
  </si>
  <si>
    <t xml:space="preserve">2025-10-06</t>
  </si>
  <si>
    <t xml:space="preserve">CAMS</t>
  </si>
  <si>
    <t xml:space="preserve">Computer Age Management Services Limited</t>
  </si>
  <si>
    <t xml:space="preserve">BT:CAMS#e0d1of1 (git commit N/A)</t>
  </si>
  <si>
    <t xml:space="preserve">CYIENT</t>
  </si>
  <si>
    <t xml:space="preserve">Cyient Limited</t>
  </si>
  <si>
    <t xml:space="preserve">BT:CYIENT#e0d1of1 (git commit N/A)</t>
  </si>
  <si>
    <t xml:space="preserve">IOC</t>
  </si>
  <si>
    <t xml:space="preserve">Indian Oil Corporation Limited</t>
  </si>
  <si>
    <t xml:space="preserve">BT:IOC#e0d1of1 (git commit N/A)</t>
  </si>
  <si>
    <t xml:space="preserve">MANKIND</t>
  </si>
  <si>
    <t xml:space="preserve">Mankind Pharma Limited</t>
  </si>
  <si>
    <t xml:space="preserve">BT:MANKIND#e0d1of1 (git commit N/A)</t>
  </si>
  <si>
    <t xml:space="preserve">TATACONSUM</t>
  </si>
  <si>
    <t xml:space="preserve">TATA CONSUMER PRODUCTS LIMITED</t>
  </si>
  <si>
    <t xml:space="preserve">BT:TATACONSUM#e0d1of1 (git commit N/A)</t>
  </si>
  <si>
    <t xml:space="preserve">TECHM</t>
  </si>
  <si>
    <t xml:space="preserve">Tech Mahindra Limited</t>
  </si>
  <si>
    <t xml:space="preserve">BT:TECHM#e0d1of1 (git commit N/A)</t>
  </si>
  <si>
    <t xml:space="preserve">TORNTPHARM</t>
  </si>
  <si>
    <t xml:space="preserve">Torrent Pharmaceuticals Limited</t>
  </si>
  <si>
    <t xml:space="preserve">BT:TORNTPHARM#e0d1of2 (git commit N/A)</t>
  </si>
  <si>
    <t xml:space="preserve">2025-10-07</t>
  </si>
  <si>
    <t xml:space="preserve">LODHA</t>
  </si>
  <si>
    <t xml:space="preserve">Lodha Developers Limited</t>
  </si>
  <si>
    <t xml:space="preserve">BT:LODHA#e0d1of1 (git commit N/A)</t>
  </si>
  <si>
    <t xml:space="preserve">BT:TORNTPHARM#e0d2of2 (git commit N/A)</t>
  </si>
  <si>
    <t xml:space="preserve">UNOMINDA</t>
  </si>
  <si>
    <t xml:space="preserve">UNO Minda Limited</t>
  </si>
  <si>
    <t xml:space="preserve">BT:UNOMINDA#e0d1of1 (git commit N/A)</t>
  </si>
  <si>
    <t xml:space="preserve">VOLTAS</t>
  </si>
  <si>
    <t xml:space="preserve">Voltas Limited</t>
  </si>
  <si>
    <t xml:space="preserve">BT:VOLTAS#e0d1of1 (git commit N/A)</t>
  </si>
  <si>
    <t xml:space="preserve">BT:YESBANK#e1d1of1 (git commit N/A)</t>
  </si>
  <si>
    <t xml:space="preserve">2025-10-08</t>
  </si>
  <si>
    <t xml:space="preserve">PIDILITIND</t>
  </si>
  <si>
    <t xml:space="preserve">Pidilite Industries Limited</t>
  </si>
  <si>
    <t xml:space="preserve">BT:PIDILITIND#e0d1of1 (git commit N/A)</t>
  </si>
  <si>
    <t xml:space="preserve">2025-10-09</t>
  </si>
  <si>
    <t xml:space="preserve">DRREDDY</t>
  </si>
  <si>
    <t xml:space="preserve">Dr. Reddy's Laboratories Limited</t>
  </si>
  <si>
    <t xml:space="preserve">BT:DRREDDY#e0d1of1 (git commit N/A)</t>
  </si>
  <si>
    <t xml:space="preserve">HINDALCO</t>
  </si>
  <si>
    <t xml:space="preserve">Hindalco Industries Limited</t>
  </si>
  <si>
    <t xml:space="preserve">BT:HINDALCO#e0d1of1 (git commit N/A)</t>
  </si>
  <si>
    <t xml:space="preserve">BT:IOC#e1d1of1 (git commit N/A)</t>
  </si>
  <si>
    <t xml:space="preserve">JSWSTEEL</t>
  </si>
  <si>
    <t xml:space="preserve">JSW Steel Limited</t>
  </si>
  <si>
    <t xml:space="preserve">BT:JSWSTEEL#e0d1of1 (git commit N/A)</t>
  </si>
  <si>
    <t xml:space="preserve">TATAPOWER</t>
  </si>
  <si>
    <t xml:space="preserve">Tata Power Company Limited</t>
  </si>
  <si>
    <t xml:space="preserve">BT:TATAPOWER#e0d1of2 (git commit N/A)</t>
  </si>
  <si>
    <t xml:space="preserve">2025-10-10</t>
  </si>
  <si>
    <t xml:space="preserve">ASTRAL</t>
  </si>
  <si>
    <t xml:space="preserve">Astral Limited</t>
  </si>
  <si>
    <t xml:space="preserve">BT:ASTRAL#e0d1of1 (git commit N/A)</t>
  </si>
  <si>
    <t xml:space="preserve">BT:DIVISLAB#e1d1of2 (git commit N/A)</t>
  </si>
  <si>
    <t xml:space="preserve">BT:HDFCAMC#e1d1of1 (git commit N/A)</t>
  </si>
  <si>
    <t xml:space="preserve">IDFCFIRSTB</t>
  </si>
  <si>
    <t xml:space="preserve">IDFC First Bank Limited</t>
  </si>
  <si>
    <t xml:space="preserve">BT:IDFCFIRSTB#e0d1of1 (git commit N/A)</t>
  </si>
  <si>
    <t xml:space="preserve">LTIM</t>
  </si>
  <si>
    <t xml:space="preserve">BT:LTIM#e0d1of1 (git commit N/A)</t>
  </si>
  <si>
    <t xml:space="preserve">BT:TATAPOWER#e0d2of2 (git commit N/A)</t>
  </si>
  <si>
    <t xml:space="preserve">2025-10-13</t>
  </si>
  <si>
    <t xml:space="preserve">BT:DIVISLAB#e1d2of2 (git commit N/A)</t>
  </si>
  <si>
    <t xml:space="preserve">FEDERALBNK</t>
  </si>
  <si>
    <t xml:space="preserve">The Federal Bank  Limited</t>
  </si>
  <si>
    <t xml:space="preserve">BT:FEDERALBNK#e0d1of2 (git commit N/A)</t>
  </si>
  <si>
    <t xml:space="preserve">2025-10-14</t>
  </si>
  <si>
    <t xml:space="preserve">BIOCON</t>
  </si>
  <si>
    <t xml:space="preserve">Biocon Limited</t>
  </si>
  <si>
    <t xml:space="preserve">BT:BIOCON#e0d1of1 (git commit N/A)</t>
  </si>
  <si>
    <t xml:space="preserve">BT:FEDERALBNK#e0d2of2 (git commit N/A)</t>
  </si>
  <si>
    <t xml:space="preserve">LAURUSLABS</t>
  </si>
  <si>
    <t xml:space="preserve">Laurus Labs Limited</t>
  </si>
  <si>
    <t xml:space="preserve">BT:LAURUSLABS#e0d1of1 (git commit N/A)</t>
  </si>
  <si>
    <t xml:space="preserve">2025-10-15</t>
  </si>
  <si>
    <t xml:space="preserve">360ONE</t>
  </si>
  <si>
    <t xml:space="preserve">360 ONE WAM LIMITED</t>
  </si>
  <si>
    <t xml:space="preserve">BT:360ONE#e0d1of1 (git commit N/A)</t>
  </si>
  <si>
    <t xml:space="preserve">BAJAJFINSV</t>
  </si>
  <si>
    <t xml:space="preserve">Bajaj Finserv Limited</t>
  </si>
  <si>
    <t xml:space="preserve">BT:BAJAJFINSV#e0d1of2 (git commit N/A)</t>
  </si>
  <si>
    <t xml:space="preserve">BAJFINANCE</t>
  </si>
  <si>
    <t xml:space="preserve">Bajaj Finance Limited</t>
  </si>
  <si>
    <t xml:space="preserve">BT:BAJFINANCE#e0d1of1 (git commit N/A)</t>
  </si>
  <si>
    <t xml:space="preserve">CIPLA</t>
  </si>
  <si>
    <t xml:space="preserve">Cipla Limited</t>
  </si>
  <si>
    <t xml:space="preserve">BT:CIPLA#e0d1of1 (git commit N/A)</t>
  </si>
  <si>
    <t xml:space="preserve">BT:HINDALCO#e1d1of1 (git commit N/A)</t>
  </si>
  <si>
    <t xml:space="preserve">BT:HINDPETRO#e1d1of1 (git commit N/A)</t>
  </si>
  <si>
    <t xml:space="preserve">BT:IOC#e2d1of1 (git commit N/A)</t>
  </si>
  <si>
    <t xml:space="preserve">BT:SRF#e1d1of1 (git commit N/A)</t>
  </si>
  <si>
    <t xml:space="preserve">WIPRO</t>
  </si>
  <si>
    <t xml:space="preserve">Wipro Limited</t>
  </si>
  <si>
    <t xml:space="preserve">BT:WIPRO#e0d1of1 (git commit N/A)</t>
  </si>
  <si>
    <t xml:space="preserve">2025-10-16</t>
  </si>
  <si>
    <t xml:space="preserve">ADANIPORTS</t>
  </si>
  <si>
    <t xml:space="preserve">Adani Ports and Special Economic Zone Limited</t>
  </si>
  <si>
    <t xml:space="preserve">BT:ADANIPORTS#e0d1of1 (git commit N/A)</t>
  </si>
  <si>
    <t xml:space="preserve">BT:BAJAJFINSV#e0d2of2 (git commit N/A)</t>
  </si>
  <si>
    <t xml:space="preserve">ITC</t>
  </si>
  <si>
    <t xml:space="preserve">ITC Limited</t>
  </si>
  <si>
    <t xml:space="preserve">BT:ITC#e0d1of1 (git commit N/A)</t>
  </si>
  <si>
    <t xml:space="preserve">KOTAKBANK</t>
  </si>
  <si>
    <t xml:space="preserve">Kotak Mahindra Bank Limited</t>
  </si>
  <si>
    <t xml:space="preserve">BT:KOTAKBANK#e0d1of1 (git commit N/A)</t>
  </si>
  <si>
    <t xml:space="preserve">PHOENIXLTD</t>
  </si>
  <si>
    <t xml:space="preserve">The Phoenix Mills Limited</t>
  </si>
  <si>
    <t xml:space="preserve">BT:PHOENIXLTD#e0d1of1 (git commit N/A)</t>
  </si>
  <si>
    <t xml:space="preserve">BT:TATACONSUM#e1d1of1 (git commit N/A)</t>
  </si>
  <si>
    <t xml:space="preserve">2025-10-17</t>
  </si>
  <si>
    <t xml:space="preserve">BHARTIARTL</t>
  </si>
  <si>
    <t xml:space="preserve">Bharti Airtel Limited</t>
  </si>
  <si>
    <t xml:space="preserve">BT:BHARTIARTL#e0d1of1 (git commit N/A)</t>
  </si>
  <si>
    <t xml:space="preserve">HINDUNILVR</t>
  </si>
  <si>
    <t xml:space="preserve">Hindustan Unilever Limited</t>
  </si>
  <si>
    <t xml:space="preserve">BT:HINDUNILVR#e0d1of1 (git commit N/A)</t>
  </si>
  <si>
    <t xml:space="preserve">BT:MANKIND#e1d1of1 (git commit N/A)</t>
  </si>
  <si>
    <t xml:space="preserve">BT:PIDILITIND#e1d1of1 (git commit N/A)</t>
  </si>
  <si>
    <t xml:space="preserve">2025-10-20</t>
  </si>
  <si>
    <t xml:space="preserve">BT:CIPLA#e1d1of1 (git commit N/A)</t>
  </si>
  <si>
    <t xml:space="preserve">2025-10-29</t>
  </si>
  <si>
    <t xml:space="preserve">BT:BIOCON#e1d1of2 (git commit N/A)</t>
  </si>
  <si>
    <t xml:space="preserve">DLF</t>
  </si>
  <si>
    <t xml:space="preserve">DLF Limited</t>
  </si>
  <si>
    <t xml:space="preserve">BT:DLF#e0d1of1 (git commit N/A)</t>
  </si>
  <si>
    <t xml:space="preserve">GAIL</t>
  </si>
  <si>
    <t xml:space="preserve">GAIL (India) Limited</t>
  </si>
  <si>
    <t xml:space="preserve">BT:GAIL#e0d1of1 (git commit N/A)</t>
  </si>
  <si>
    <t xml:space="preserve">GMRAIRPORT</t>
  </si>
  <si>
    <t xml:space="preserve">GMR AIRPORTS LIMITED</t>
  </si>
  <si>
    <t xml:space="preserve">BT:GMRAIRPORT#e0d1of2 (git commit N/A)</t>
  </si>
  <si>
    <t xml:space="preserve">IRCTC</t>
  </si>
  <si>
    <t xml:space="preserve">Indian Railway Catering And Tourism Corporation Limited</t>
  </si>
  <si>
    <t xml:space="preserve">BT:IRCTC#e0d1of1 (git commit N/A)</t>
  </si>
  <si>
    <t xml:space="preserve">MPHASIS</t>
  </si>
  <si>
    <t xml:space="preserve">MphasiS Limited</t>
  </si>
  <si>
    <t xml:space="preserve">BT:MPHASIS#e0d1of1 (git commit N/A)</t>
  </si>
  <si>
    <t xml:space="preserve">NBCC</t>
  </si>
  <si>
    <t xml:space="preserve">NBCC (India) Limited</t>
  </si>
  <si>
    <t xml:space="preserve">BT:NBCC#e0d1of1 (git commit N/A)</t>
  </si>
  <si>
    <t xml:space="preserve">NTPC</t>
  </si>
  <si>
    <t xml:space="preserve">NTPC Limited</t>
  </si>
  <si>
    <t xml:space="preserve">BT:NTPC#e0d1of1 (git commit N/A)</t>
  </si>
  <si>
    <t xml:space="preserve">PATANJALI</t>
  </si>
  <si>
    <t xml:space="preserve">Patanjali Foods Limited</t>
  </si>
  <si>
    <t xml:space="preserve">BT:PATANJALI#e0d1of1 (git commit N/A)</t>
  </si>
  <si>
    <t xml:space="preserve">BT:PETRONET#e1d1of1 (git commit N/A)</t>
  </si>
  <si>
    <t xml:space="preserve">UPL</t>
  </si>
  <si>
    <t xml:space="preserve">UPL Limited</t>
  </si>
  <si>
    <t xml:space="preserve">BT:UPL#e0d1of1 (git commit N/A)</t>
  </si>
  <si>
    <t xml:space="preserve">2025-10-30</t>
  </si>
  <si>
    <t xml:space="preserve">BT:BIOCON#e1d2of2 (git commit N/A)</t>
  </si>
  <si>
    <t xml:space="preserve">GLENMARK</t>
  </si>
  <si>
    <t xml:space="preserve">Glenmark Pharmaceuticals Limited</t>
  </si>
  <si>
    <t xml:space="preserve">BT:GLENMARK#e0d1of1 (git commit N/A)</t>
  </si>
  <si>
    <t xml:space="preserve">BT:GMRAIRPORT#e0d2of2 (git commit N/A)</t>
  </si>
  <si>
    <t xml:space="preserve">2025-10-31</t>
  </si>
  <si>
    <t xml:space="preserve">ASHOKLEY</t>
  </si>
  <si>
    <t xml:space="preserve">Ashok Leyland Limited</t>
  </si>
  <si>
    <t xml:space="preserve">BT:ASHOKLEY#e0d1of1 (git commit N/A)</t>
  </si>
  <si>
    <t xml:space="preserve">BT:HINDPETRO#e2d1of1 (git commit N/A)</t>
  </si>
  <si>
    <t xml:space="preserve">INDIANB</t>
  </si>
  <si>
    <t xml:space="preserve">Indian Bank</t>
  </si>
  <si>
    <t xml:space="preserve">BT:INDIANB#e0d1of1 (git commit N/A)</t>
  </si>
  <si>
    <t xml:space="preserve">LUPIN</t>
  </si>
  <si>
    <t xml:space="preserve">Lupin Limited</t>
  </si>
  <si>
    <t xml:space="preserve">BT:LUPIN#e0d1of3 (git commit N/A)</t>
  </si>
  <si>
    <t xml:space="preserve">1/3</t>
  </si>
  <si>
    <t xml:space="preserve">SBIN</t>
  </si>
  <si>
    <t xml:space="preserve">State Bank of India</t>
  </si>
  <si>
    <t xml:space="preserve">BT:SBIN#e0d1of1 (git commit N/A)</t>
  </si>
  <si>
    <t xml:space="preserve">SHRIRAMFIN</t>
  </si>
  <si>
    <t xml:space="preserve">Shriram Finance Limited</t>
  </si>
  <si>
    <t xml:space="preserve">BT:SHRIRAMFIN#e0d1of1 (git commit N/A)</t>
  </si>
  <si>
    <t xml:space="preserve">2025-11-03</t>
  </si>
  <si>
    <t xml:space="preserve">BT:ASTRAL#e1d1of1 (git commit N/A)</t>
  </si>
  <si>
    <t xml:space="preserve">BT:BIOCON#e2d1of1 (git commit N/A)</t>
  </si>
  <si>
    <t xml:space="preserve">CUMMINSIND</t>
  </si>
  <si>
    <t xml:space="preserve">Cummins India Limited</t>
  </si>
  <si>
    <t xml:space="preserve">BT:CUMMINSIND#e0d1of1 (git commit N/A)</t>
  </si>
  <si>
    <t xml:space="preserve">LICI</t>
  </si>
  <si>
    <t xml:space="preserve">Life Insurance Corporation Of India</t>
  </si>
  <si>
    <t xml:space="preserve">BT:LICI#e0d1of1 (git commit N/A)</t>
  </si>
  <si>
    <t xml:space="preserve">DERIVED (consecutive-session streak day between recorded first &amp; latest detection)</t>
  </si>
  <si>
    <t xml:space="preserve">BT:LUPIN#e0d2of3 (git commit N/A)</t>
  </si>
  <si>
    <t xml:space="preserve">2/3</t>
  </si>
  <si>
    <t xml:space="preserve">2025-11-04</t>
  </si>
  <si>
    <t xml:space="preserve">CHOLAFIN</t>
  </si>
  <si>
    <t xml:space="preserve">Cholamandalam Investment and Finance Company Limited</t>
  </si>
  <si>
    <t xml:space="preserve">BT:CHOLAFIN#e0d1of1 (git commit N/A)</t>
  </si>
  <si>
    <t xml:space="preserve">BT:DELHIVERY#e1d1of1 (git commit N/A)</t>
  </si>
  <si>
    <t xml:space="preserve">BT:LUPIN#e0d3of3 (git commit N/A)</t>
  </si>
  <si>
    <t xml:space="preserve">3/3</t>
  </si>
  <si>
    <t xml:space="preserve">BT:MFSL#e1d1of1 (git commit N/A)</t>
  </si>
  <si>
    <t xml:space="preserve">2025-11-06</t>
  </si>
  <si>
    <t xml:space="preserve">BT:BIOCON#e3d1of1 (git commit N/A)</t>
  </si>
  <si>
    <t xml:space="preserve">BRITANNIA</t>
  </si>
  <si>
    <t xml:space="preserve">Britannia Industries Limited</t>
  </si>
  <si>
    <t xml:space="preserve">BT:BRITANNIA#e0d1of2 (git commit N/A)</t>
  </si>
  <si>
    <t xml:space="preserve">BT:DIVISLAB#e2d1of1 (git commit N/A)</t>
  </si>
  <si>
    <t xml:space="preserve">2025-11-07</t>
  </si>
  <si>
    <t xml:space="preserve">ALKEM</t>
  </si>
  <si>
    <t xml:space="preserve">Alkem Laboratories Limited</t>
  </si>
  <si>
    <t xml:space="preserve">BT:ALKEM#e0d1of1 (git commit N/A)</t>
  </si>
  <si>
    <t xml:space="preserve">BT:BRITANNIA#e0d2of2 (git commit N/A)</t>
  </si>
  <si>
    <t xml:space="preserve">EICHERMOT</t>
  </si>
  <si>
    <t xml:space="preserve">Eicher Motors Limited</t>
  </si>
  <si>
    <t xml:space="preserve">BT:EICHERMOT#e0d1of1 (git commit N/A)</t>
  </si>
  <si>
    <t xml:space="preserve">BT:SHRIRAMFIN#e1d1of1 (git commit N/A)</t>
  </si>
  <si>
    <t xml:space="preserve">2025-11-10</t>
  </si>
  <si>
    <t xml:space="preserve">ASIANPAINT</t>
  </si>
  <si>
    <t xml:space="preserve">Asian Paints Limited</t>
  </si>
  <si>
    <t xml:space="preserve">BT:ASIANPAINT#e0d1of1 (git commit N/A)</t>
  </si>
  <si>
    <t xml:space="preserve">BT:BAJAJ-AUTO#e1d1of1 (git commit N/A)</t>
  </si>
  <si>
    <t xml:space="preserve">MANAPPURAM</t>
  </si>
  <si>
    <t xml:space="preserve">Manappuram Finance Limited</t>
  </si>
  <si>
    <t xml:space="preserve">BT:MANAPPURAM#e0d1of1 (git commit N/A)</t>
  </si>
  <si>
    <t xml:space="preserve">BT:TECHM#e1d1of2 (git commit N/A)</t>
  </si>
  <si>
    <t xml:space="preserve">2025-11-11</t>
  </si>
  <si>
    <t xml:space="preserve">BT:IOC#e3d1of1 (git commit N/A)</t>
  </si>
  <si>
    <t xml:space="preserve">PERSISTENT</t>
  </si>
  <si>
    <t xml:space="preserve">Persistent Systems Limited</t>
  </si>
  <si>
    <t xml:space="preserve">BT:PERSISTENT#e0d1of1 (git commit N/A)</t>
  </si>
  <si>
    <t xml:space="preserve">BT:TECHM#e1d2of2 (git commit N/A)</t>
  </si>
  <si>
    <t xml:space="preserve">2025-11-12</t>
  </si>
  <si>
    <t xml:space="preserve">CONCOR</t>
  </si>
  <si>
    <t xml:space="preserve">Container Corporation of India Limited</t>
  </si>
  <si>
    <t xml:space="preserve">BT:CONCOR#e0d1of1 (git commit N/A)</t>
  </si>
  <si>
    <t xml:space="preserve">ETERNAL</t>
  </si>
  <si>
    <t xml:space="preserve">ETERNAL LIMITED</t>
  </si>
  <si>
    <t xml:space="preserve">BT:ETERNAL#e0d1of1 (git commit N/A)</t>
  </si>
  <si>
    <t xml:space="preserve">BT:GLENMARK#e1d1of3 (git commit N/A)</t>
  </si>
  <si>
    <t xml:space="preserve">ICICIPRULI</t>
  </si>
  <si>
    <t xml:space="preserve">ICICI Prudential Life Insurance Company Limited</t>
  </si>
  <si>
    <t xml:space="preserve">BT:ICICIPRULI#e0d1of1 (git commit N/A)</t>
  </si>
  <si>
    <t xml:space="preserve">BT:LTIM#e1d1of1 (git commit N/A)</t>
  </si>
  <si>
    <t xml:space="preserve">MOTHERSON</t>
  </si>
  <si>
    <t xml:space="preserve">Samvardhana Motherson International Limited</t>
  </si>
  <si>
    <t xml:space="preserve">BT:MOTHERSON#e0d1of1 (git commit N/A)</t>
  </si>
  <si>
    <t xml:space="preserve">BT:SRF#e2d1of1 (git commit N/A)</t>
  </si>
  <si>
    <t xml:space="preserve">SYNGENE</t>
  </si>
  <si>
    <t xml:space="preserve">Syngene International Limited</t>
  </si>
  <si>
    <t xml:space="preserve">BT:SYNGENE#e0d1of1 (git commit N/A)</t>
  </si>
  <si>
    <t xml:space="preserve">2025-11-13</t>
  </si>
  <si>
    <t xml:space="preserve">BT:GLENMARK#e1d2of3 (git commit N/A)</t>
  </si>
  <si>
    <t xml:space="preserve">BT:NMDC#e1d1of1 (git commit N/A)</t>
  </si>
  <si>
    <t xml:space="preserve">2025-11-14</t>
  </si>
  <si>
    <t xml:space="preserve">BT:ASIANPAINT#e1d1of1 (git commit N/A)</t>
  </si>
  <si>
    <t xml:space="preserve">AUROPHARMA</t>
  </si>
  <si>
    <t xml:space="preserve">Aurobindo Pharma Limited</t>
  </si>
  <si>
    <t xml:space="preserve">BT:AUROPHARMA#e0d1of1 (git commit N/A)</t>
  </si>
  <si>
    <t xml:space="preserve">BT:GLENMARK#e1d3of3 (git commit N/A)</t>
  </si>
  <si>
    <t xml:space="preserve">SIEMENS</t>
  </si>
  <si>
    <t xml:space="preserve">Siemens Limited</t>
  </si>
  <si>
    <t xml:space="preserve">BT:SIEMENS#e0d1of1 (git commit N/A)</t>
  </si>
  <si>
    <t xml:space="preserve">2025-11-17</t>
  </si>
  <si>
    <t xml:space="preserve">POLICYBZR</t>
  </si>
  <si>
    <t xml:space="preserve">PB Fintech Limited</t>
  </si>
  <si>
    <t xml:space="preserve">BT:POLICYBZR#e0d1of1 (git commit N/A)</t>
  </si>
  <si>
    <t xml:space="preserve">2025-11-18</t>
  </si>
  <si>
    <t xml:space="preserve">BT:CONCOR#e1d1of1 (git commit N/A)</t>
  </si>
  <si>
    <t xml:space="preserve">2025-11-19</t>
  </si>
  <si>
    <t xml:space="preserve">BT:TECHM#e2d1of1 (git commit N/A)</t>
  </si>
  <si>
    <t xml:space="preserve">2025-11-26</t>
  </si>
  <si>
    <t xml:space="preserve">AUBANK</t>
  </si>
  <si>
    <t xml:space="preserve">AU Small Finance Bank Limited</t>
  </si>
  <si>
    <t xml:space="preserve">BT:AUBANK#e0d1of1 (git commit N/A)</t>
  </si>
  <si>
    <t xml:space="preserve">HDFCLIFE</t>
  </si>
  <si>
    <t xml:space="preserve">HDFC Life Insurance Company Limited</t>
  </si>
  <si>
    <t xml:space="preserve">BT:HDFCLIFE#e0d1of1 (git commit N/A)</t>
  </si>
  <si>
    <t xml:space="preserve">BT:LAURUSLABS#e1d1of1 (git commit N/A)</t>
  </si>
  <si>
    <t xml:space="preserve">LICHSGFIN</t>
  </si>
  <si>
    <t xml:space="preserve">LIC Housing Finance Limited</t>
  </si>
  <si>
    <t xml:space="preserve">BT:LICHSGFIN#e0d1of1 (git commit N/A)</t>
  </si>
  <si>
    <t xml:space="preserve">SAIL</t>
  </si>
  <si>
    <t xml:space="preserve">Steel Authority of India Limited</t>
  </si>
  <si>
    <t xml:space="preserve">BT:SAIL#e0d1of1 (git commit N/A)</t>
  </si>
  <si>
    <t xml:space="preserve">BT:UNOMINDA#e1d1of1 (git commit N/A)</t>
  </si>
  <si>
    <t xml:space="preserve">2025-11-27</t>
  </si>
  <si>
    <t xml:space="preserve">BT:JSWSTEEL#e1d1of1 (git commit N/A)</t>
  </si>
  <si>
    <t xml:space="preserve">2025-11-28</t>
  </si>
  <si>
    <t xml:space="preserve">BT:CUMMINSIND#e1d1of1 (git commit N/A)</t>
  </si>
  <si>
    <t xml:space="preserve">NUVAMA</t>
  </si>
  <si>
    <t xml:space="preserve">Nuvama Wealth Management Limited</t>
  </si>
  <si>
    <t xml:space="preserve">BT:NUVAMA#e0d1of1 (git commit N/A)</t>
  </si>
  <si>
    <t xml:space="preserve">2025-12-01</t>
  </si>
  <si>
    <t xml:space="preserve">BT:JSWSTEEL#e2d1of1 (git commit N/A)</t>
  </si>
  <si>
    <t xml:space="preserve">BT:NMDC#e2d1of1 (git commit N/A)</t>
  </si>
  <si>
    <t xml:space="preserve">2025-12-02</t>
  </si>
  <si>
    <t xml:space="preserve">BT:MOTHERSON#e1d1of1 (git commit N/A)</t>
  </si>
  <si>
    <t xml:space="preserve">SHREECEM</t>
  </si>
  <si>
    <t xml:space="preserve">SHREE CEMENT LIMITED</t>
  </si>
  <si>
    <t xml:space="preserve">BT:SHREECEM#e0d1of1 (git commit N/A)</t>
  </si>
  <si>
    <t xml:space="preserve">2025-12-04</t>
  </si>
  <si>
    <t xml:space="preserve">ADANIENT</t>
  </si>
  <si>
    <t xml:space="preserve">Adani Enterprises Limited</t>
  </si>
  <si>
    <t xml:space="preserve">BT:ADANIENT#e0d1of1 (git commit N/A)</t>
  </si>
  <si>
    <t xml:space="preserve">BT:PERSISTENT#e1d1of1 (git commit N/A)</t>
  </si>
  <si>
    <t xml:space="preserve">2025-12-09</t>
  </si>
  <si>
    <t xml:space="preserve">BT:FEDERALBNK#e1d1of1 (git commit N/A)</t>
  </si>
  <si>
    <t xml:space="preserve">2025-12-10</t>
  </si>
  <si>
    <t xml:space="preserve">BT:AUBANK#e1d1of1 (git commit N/A)</t>
  </si>
  <si>
    <t xml:space="preserve">BT:ICICIPRULI#e1d1of1 (git commit N/A)</t>
  </si>
  <si>
    <t xml:space="preserve">BT:PFC#e1d1of1 (git commit N/A)</t>
  </si>
  <si>
    <t xml:space="preserve">2025-12-11</t>
  </si>
  <si>
    <t xml:space="preserve">AMBUJACEM</t>
  </si>
  <si>
    <t xml:space="preserve">Ambuja Cements Limited</t>
  </si>
  <si>
    <t xml:space="preserve">BT:AMBUJACEM#e0d1of1 (git commit N/A)</t>
  </si>
  <si>
    <t xml:space="preserve">BT:MOTHERSON#e2d1of1 (git commit N/A)</t>
  </si>
  <si>
    <t xml:space="preserve">PNBHOUSING</t>
  </si>
  <si>
    <t xml:space="preserve">PNB Housing Finance Limited</t>
  </si>
  <si>
    <t xml:space="preserve">BT:PNBHOUSING#e0d1of1 (git commit N/A)</t>
  </si>
  <si>
    <t xml:space="preserve">2025-12-12</t>
  </si>
  <si>
    <t xml:space="preserve">BT:CHOLAFIN#e1d1of1 (git commit N/A)</t>
  </si>
  <si>
    <t xml:space="preserve">BT:GAIL#e1d1of1 (git commit N/A)</t>
  </si>
  <si>
    <t xml:space="preserve">BT:GMRAIRPORT#e1d1of1 (git commit N/A)</t>
  </si>
  <si>
    <t xml:space="preserve">BT:HINDALCO#e2d1of1 (git commit N/A)</t>
  </si>
  <si>
    <t xml:space="preserve">BT:IOC#e4d1of1 (git commit N/A)</t>
  </si>
  <si>
    <t xml:space="preserve">BT:LODHA#e1d1of1 (git commit N/A)</t>
  </si>
  <si>
    <t xml:space="preserve">BT:MANKIND#e2d1of1 (git commit N/A)</t>
  </si>
  <si>
    <t xml:space="preserve">BT:NMDC#e3d1of2 (git commit N/A)</t>
  </si>
  <si>
    <t xml:space="preserve">SONACOMS</t>
  </si>
  <si>
    <t xml:space="preserve">Sona BLW Precision Forgings Limited</t>
  </si>
  <si>
    <t xml:space="preserve">BT:SONACOMS#e0d1of1 (git commit N/A)</t>
  </si>
  <si>
    <t xml:space="preserve">BT:SYNGENE#e1d1of1 (git commit N/A)</t>
  </si>
  <si>
    <t xml:space="preserve">BT:TATAPOWER#e1d1of1 (git commit N/A)</t>
  </si>
  <si>
    <t xml:space="preserve">BT:VEDL#e1d1of1 (git commit N/A)</t>
  </si>
  <si>
    <t xml:space="preserve">2025-12-15</t>
  </si>
  <si>
    <t xml:space="preserve">BT:NMDC#e3d2of2 (git commit N/A)</t>
  </si>
  <si>
    <t xml:space="preserve">BT:PHOENIXLTD#e1d1of1 (git commit N/A)</t>
  </si>
  <si>
    <t xml:space="preserve">2025-12-17</t>
  </si>
  <si>
    <t xml:space="preserve">BT:APLAPOLLO#e1d1of1 (git commit N/A)</t>
  </si>
  <si>
    <t xml:space="preserve">BT:AUBANK#e2d1of1 (git commit N/A)</t>
  </si>
  <si>
    <t xml:space="preserve">BT:IOC#e5d1of1 (git commit N/A)</t>
  </si>
  <si>
    <t xml:space="preserve">BT:LTIM#e2d1of1 (git commit N/A)</t>
  </si>
  <si>
    <t xml:space="preserve">BT:PATANJALI#e1d1of1 (git commit N/A)</t>
  </si>
  <si>
    <t xml:space="preserve">BT:SHRIRAMFIN#e2d1of1 (git commit N/A)</t>
  </si>
  <si>
    <t xml:space="preserve">2025-12-18</t>
  </si>
  <si>
    <t xml:space="preserve">BT:ICICIPRULI#e2d1of1 (git commit N/A)</t>
  </si>
  <si>
    <t xml:space="preserve">BT:LICI#e1d1of1 (git commit N/A)</t>
  </si>
  <si>
    <t xml:space="preserve">2025-12-19</t>
  </si>
  <si>
    <t xml:space="preserve">BT:ASIANPAINT#e2d1of1 (git commit N/A)</t>
  </si>
  <si>
    <t xml:space="preserve">BT:DELHIVERY#e2d1of1 (git commit N/A)</t>
  </si>
  <si>
    <t xml:space="preserve">BT:MANAPPURAM#e1d1of1 (git commit N/A)</t>
  </si>
  <si>
    <t xml:space="preserve">BT:SONACOMS#e1d1of1 (git commit N/A)</t>
  </si>
  <si>
    <t xml:space="preserve">2025-12-22</t>
  </si>
  <si>
    <t xml:space="preserve">BT:IRCTC#e1d1of1 (git commit N/A)</t>
  </si>
  <si>
    <t xml:space="preserve">2025-12-30</t>
  </si>
  <si>
    <t xml:space="preserve">MARUTI</t>
  </si>
  <si>
    <t xml:space="preserve">Maruti Suzuki India Limited</t>
  </si>
  <si>
    <t xml:space="preserve">BT:MARUTI#e0d1of1 (git commit N/A)</t>
  </si>
  <si>
    <t xml:space="preserve">2025-12-31</t>
  </si>
  <si>
    <t xml:space="preserve">ABCAPITAL</t>
  </si>
  <si>
    <t xml:space="preserve">Aditya Birla Capital Limited</t>
  </si>
  <si>
    <t xml:space="preserve">BT:ABCAPITAL#e0d1of1 (git commit N/A)</t>
  </si>
  <si>
    <t xml:space="preserve">BAJAJHLDNG</t>
  </si>
  <si>
    <t xml:space="preserve">Bajaj Holdings &amp; Investment Limited</t>
  </si>
  <si>
    <t xml:space="preserve">BT:BAJAJHLDNG#e0d1of1 (git commit N/A)</t>
  </si>
  <si>
    <t xml:space="preserve">BPCL</t>
  </si>
  <si>
    <t xml:space="preserve">Bharat Petroleum Corporation Limited</t>
  </si>
  <si>
    <t xml:space="preserve">BT:BPCL#e0d1of1 (git commit N/A)</t>
  </si>
  <si>
    <t xml:space="preserve">DABUR</t>
  </si>
  <si>
    <t xml:space="preserve">Dabur India Limited</t>
  </si>
  <si>
    <t xml:space="preserve">BT:DABUR#e0d1of1 (git commit N/A)</t>
  </si>
  <si>
    <t xml:space="preserve">GODREJCP</t>
  </si>
  <si>
    <t xml:space="preserve">Godrej Consumer Products Limited</t>
  </si>
  <si>
    <t xml:space="preserve">BT:GODREJCP#e0d1of1 (git commit N/A)</t>
  </si>
  <si>
    <t xml:space="preserve">BT:ICICIPRULI#e3d1of1 (git commit N/A)</t>
  </si>
  <si>
    <t xml:space="preserve">BT:IOC#e6d1of1 (git commit N/A)</t>
  </si>
  <si>
    <t xml:space="preserve">KEI</t>
  </si>
  <si>
    <t xml:space="preserve">KEI Industries Limited</t>
  </si>
  <si>
    <t xml:space="preserve">BT:KEI#e0d1of1 (git commit N/A)</t>
  </si>
  <si>
    <t xml:space="preserve">SAMMAANCAP</t>
  </si>
  <si>
    <t xml:space="preserve">Sammaan Capital Limited</t>
  </si>
  <si>
    <t xml:space="preserve">BT:SAMMAANCAP#e0d1of1 (git commit N/A)</t>
  </si>
  <si>
    <t xml:space="preserve">2026-01-01</t>
  </si>
  <si>
    <t xml:space="preserve">BT:APLAPOLLO#e2d1of1 (git commit N/A)</t>
  </si>
  <si>
    <t xml:space="preserve">INDUSINDBK</t>
  </si>
  <si>
    <t xml:space="preserve">IndusInd Bank Limited</t>
  </si>
  <si>
    <t xml:space="preserve">BT:INDUSINDBK#e0d1of1 (git commit N/A)</t>
  </si>
  <si>
    <t xml:space="preserve">2026-01-02</t>
  </si>
  <si>
    <t xml:space="preserve">BANKBARODA</t>
  </si>
  <si>
    <t xml:space="preserve">Bank of Baroda</t>
  </si>
  <si>
    <t xml:space="preserve">BT:BANKBARODA#e0d1of1 (git commit N/A)</t>
  </si>
  <si>
    <t xml:space="preserve">BLUESTARCO</t>
  </si>
  <si>
    <t xml:space="preserve">Blue Star Limited</t>
  </si>
  <si>
    <t xml:space="preserve">BT:BLUESTARCO#e0d1of1 (git commit N/A)</t>
  </si>
  <si>
    <t xml:space="preserve">CANBK</t>
  </si>
  <si>
    <t xml:space="preserve">Canara Bank</t>
  </si>
  <si>
    <t xml:space="preserve">BT:CANBK#e0d1of1 (git commit N/A)</t>
  </si>
  <si>
    <t xml:space="preserve">CROMPTON</t>
  </si>
  <si>
    <t xml:space="preserve">Crompton Greaves Consumer Electricals Limited</t>
  </si>
  <si>
    <t xml:space="preserve">BT:CROMPTON#e0d1of2 (git commit N/A)</t>
  </si>
  <si>
    <t xml:space="preserve">JIOFIN</t>
  </si>
  <si>
    <t xml:space="preserve">Jio Financial Services Limited</t>
  </si>
  <si>
    <t xml:space="preserve">BT:JIOFIN#e0d1of1 (git commit N/A)</t>
  </si>
  <si>
    <t xml:space="preserve">BT:LODHA#e2d1of1 (git commit N/A)</t>
  </si>
  <si>
    <t xml:space="preserve">POWERGRID</t>
  </si>
  <si>
    <t xml:space="preserve">Power Grid Corporation of India Limited</t>
  </si>
  <si>
    <t xml:space="preserve">BT:POWERGRID#e0d1of2 (git commit N/A)</t>
  </si>
  <si>
    <t xml:space="preserve">BT:UNOMINDA#e2d1of1 (git commit N/A)</t>
  </si>
  <si>
    <t xml:space="preserve">2026-01-05</t>
  </si>
  <si>
    <t xml:space="preserve">BT:BRITANNIA#e1d1of2 (git commit N/A)</t>
  </si>
  <si>
    <t xml:space="preserve">BT:CROMPTON#e0d2of2 (git commit N/A)</t>
  </si>
  <si>
    <t xml:space="preserve">BT:DELHIVERY#e3d1of3 (git commit N/A)</t>
  </si>
  <si>
    <t xml:space="preserve">BT:DLF#e1d1of1 (git commit N/A)</t>
  </si>
  <si>
    <t xml:space="preserve">KALYANKJIL</t>
  </si>
  <si>
    <t xml:space="preserve">Kalyan Jewellers India Limited</t>
  </si>
  <si>
    <t xml:space="preserve">BT:KALYANKJIL#e0d1of1 (git commit N/A)</t>
  </si>
  <si>
    <t xml:space="preserve">MUTHOOTFIN</t>
  </si>
  <si>
    <t xml:space="preserve">Muthoot Finance Limited</t>
  </si>
  <si>
    <t xml:space="preserve">BT:MUTHOOTFIN#e0d1of2 (git commit N/A)</t>
  </si>
  <si>
    <t xml:space="preserve">NESTLEIND</t>
  </si>
  <si>
    <t xml:space="preserve">Nestle India Limited</t>
  </si>
  <si>
    <t xml:space="preserve">BT:NESTLEIND#e0d1of1 (git commit N/A)</t>
  </si>
  <si>
    <t xml:space="preserve">BT:PHOENIXLTD#e2d1of2 (git commit N/A)</t>
  </si>
  <si>
    <t xml:space="preserve">BT:PIDILITIND#e2d1of1 (git commit N/A)</t>
  </si>
  <si>
    <t xml:space="preserve">BT:POWERGRID#e0d2of2 (git commit N/A)</t>
  </si>
  <si>
    <t xml:space="preserve">PRESTIGE</t>
  </si>
  <si>
    <t xml:space="preserve">Prestige Estates Projects Limited</t>
  </si>
  <si>
    <t xml:space="preserve">BT:PRESTIGE#e0d1of1 (git commit N/A)</t>
  </si>
  <si>
    <t xml:space="preserve">BT:SAMMAANCAP#e1d1of1 (git commit N/A)</t>
  </si>
  <si>
    <t xml:space="preserve">TORNTPOWER</t>
  </si>
  <si>
    <t xml:space="preserve">Torrent Power Limited</t>
  </si>
  <si>
    <t xml:space="preserve">BT:TORNTPOWER#e0d1of1 (git commit N/A)</t>
  </si>
  <si>
    <t xml:space="preserve">2026-01-06</t>
  </si>
  <si>
    <t xml:space="preserve">BT:AUROPHARMA#e1d1of1 (git commit N/A)</t>
  </si>
  <si>
    <t xml:space="preserve">BT:BRITANNIA#e1d2of2 (git commit N/A)</t>
  </si>
  <si>
    <t xml:space="preserve">BT:CIPLA#e2d1of1 (git commit N/A)</t>
  </si>
  <si>
    <t xml:space="preserve">BT:DELHIVERY#e3d2of3 (git commit N/A)</t>
  </si>
  <si>
    <t xml:space="preserve">GRASIM</t>
  </si>
  <si>
    <t xml:space="preserve">Grasim Industries Limited</t>
  </si>
  <si>
    <t xml:space="preserve">BT:GRASIM#e0d1of1 (git commit N/A)</t>
  </si>
  <si>
    <t xml:space="preserve">HAVELLS</t>
  </si>
  <si>
    <t xml:space="preserve">Havells India Limited</t>
  </si>
  <si>
    <t xml:space="preserve">BT:HAVELLS#e0d1of1 (git commit N/A)</t>
  </si>
  <si>
    <t xml:space="preserve">BT:HDFCLIFE#e1d1of1 (git commit N/A)</t>
  </si>
  <si>
    <t xml:space="preserve">BT:HINDUNILVR#e1d1of1 (git commit N/A)</t>
  </si>
  <si>
    <t xml:space="preserve">BT:LUPIN#e1d1of1 (git commit N/A)</t>
  </si>
  <si>
    <t xml:space="preserve">BT:MFSL#e2d1of1 (git commit N/A)</t>
  </si>
  <si>
    <t xml:space="preserve">BT:MUTHOOTFIN#e0d2of2 (git commit N/A)</t>
  </si>
  <si>
    <t xml:space="preserve">BT:PHOENIXLTD#e2d2of2 (git commit N/A)</t>
  </si>
  <si>
    <t xml:space="preserve">RECLTD</t>
  </si>
  <si>
    <t xml:space="preserve">REC Limited</t>
  </si>
  <si>
    <t xml:space="preserve">BT:RECLTD#e0d1of1 (git commit N/A)</t>
  </si>
  <si>
    <t xml:space="preserve">BT:SBIN#e1d1of1 (git commit N/A)</t>
  </si>
  <si>
    <t xml:space="preserve">BT:TATACONSUM#e2d1of1 (git commit N/A)</t>
  </si>
  <si>
    <t xml:space="preserve">VBL</t>
  </si>
  <si>
    <t xml:space="preserve">Varun Beverages Limited</t>
  </si>
  <si>
    <t xml:space="preserve">BT:VBL#e0d1of2 (git commit N/A)</t>
  </si>
  <si>
    <t xml:space="preserve">BT:VOLTAS#e1d1of1 (git commit N/A)</t>
  </si>
  <si>
    <t xml:space="preserve">2026-01-07</t>
  </si>
  <si>
    <t xml:space="preserve">BT:ALKEM#e1d1of1 (git commit N/A)</t>
  </si>
  <si>
    <t xml:space="preserve">APOLLOHOSP</t>
  </si>
  <si>
    <t xml:space="preserve">Apollo Hospitals Enterprise Limited</t>
  </si>
  <si>
    <t xml:space="preserve">BT:APOLLOHOSP#e0d1of1 (git commit N/A)</t>
  </si>
  <si>
    <t xml:space="preserve">BT:BIOCON#e4d1of1 (git commit N/A)</t>
  </si>
  <si>
    <t xml:space="preserve">BT:DELHIVERY#e3d3of3 (git commit N/A)</t>
  </si>
  <si>
    <t xml:space="preserve">BT:ETERNAL#e1d1of1 (git commit N/A)</t>
  </si>
  <si>
    <t xml:space="preserve">HCLTECH</t>
  </si>
  <si>
    <t xml:space="preserve">HCL Technologies Limited</t>
  </si>
  <si>
    <t xml:space="preserve">BT:HCLTECH#e0d1of1 (git commit N/A)</t>
  </si>
  <si>
    <t xml:space="preserve">BT:JIOFIN#e1d1of1 (git commit N/A)</t>
  </si>
  <si>
    <t xml:space="preserve">NAUKRI</t>
  </si>
  <si>
    <t xml:space="preserve">Info Edge (India) Limited</t>
  </si>
  <si>
    <t xml:space="preserve">BT:NAUKRI#e0d1of1 (git commit N/A)</t>
  </si>
  <si>
    <t xml:space="preserve">BT:TECHM#e3d1of1 (git commit N/A)</t>
  </si>
  <si>
    <t xml:space="preserve">BT:TORNTPHARM#e1d1of1 (git commit N/A)</t>
  </si>
  <si>
    <t xml:space="preserve">BT:VBL#e0d2of2 (git commit N/A)</t>
  </si>
  <si>
    <t xml:space="preserve">2026-01-08</t>
  </si>
  <si>
    <t xml:space="preserve">ICICIBANK</t>
  </si>
  <si>
    <t xml:space="preserve">ICICI Bank Limited</t>
  </si>
  <si>
    <t xml:space="preserve">BT:ICICIBANK#e0d1of1 (git commit N/A)</t>
  </si>
  <si>
    <t xml:space="preserve">INDUSTOWER</t>
  </si>
  <si>
    <t xml:space="preserve">Indus Towers Limited</t>
  </si>
  <si>
    <t xml:space="preserve">BT:INDUSTOWER#e0d1of1 (git commit N/A)</t>
  </si>
  <si>
    <t xml:space="preserve">SBILIFE</t>
  </si>
  <si>
    <t xml:space="preserve">SBI Life Insurance Company Limited</t>
  </si>
  <si>
    <t xml:space="preserve">BT:SBILIFE#e0d1of1 (git commit N/A)</t>
  </si>
  <si>
    <t xml:space="preserve">2026-01-09</t>
  </si>
  <si>
    <t xml:space="preserve">DMART</t>
  </si>
  <si>
    <t xml:space="preserve">Avenue Supermarts Limited</t>
  </si>
  <si>
    <t xml:space="preserve">BT:DMART#e0d1of1 (git commit N/A)</t>
  </si>
  <si>
    <t xml:space="preserve">BT:ETERNAL#e2d1of1 (git commit N/A)</t>
  </si>
  <si>
    <t xml:space="preserve">2026-01-12</t>
  </si>
  <si>
    <t xml:space="preserve">BT:ALKEM#e2d1of1 (git commit N/A)</t>
  </si>
  <si>
    <t xml:space="preserve">BT:HCLTECH#e1d1of1 (git commit N/A)</t>
  </si>
  <si>
    <t xml:space="preserve">ONGC</t>
  </si>
  <si>
    <t xml:space="preserve">Oil &amp; Natural Gas Corporation Limited</t>
  </si>
  <si>
    <t xml:space="preserve">BT:ONGC#e0d1of2 (git commit N/A)</t>
  </si>
  <si>
    <t xml:space="preserve">BT:SBILIFE#e1d1of1 (git commit N/A)</t>
  </si>
  <si>
    <t xml:space="preserve">SUNPHARMA</t>
  </si>
  <si>
    <t xml:space="preserve">Sun Pharmaceutical Industries Limited</t>
  </si>
  <si>
    <t xml:space="preserve">BT:SUNPHARMA#e0d1of1 (git commit N/A)</t>
  </si>
  <si>
    <t xml:space="preserve">2026-01-13</t>
  </si>
  <si>
    <t xml:space="preserve">BT:DALBHARAT#e1d1of2 (git commit N/A)</t>
  </si>
  <si>
    <t xml:space="preserve">BT:ICICIBANK#e1d1of1 (git commit N/A)</t>
  </si>
  <si>
    <t xml:space="preserve">OIL</t>
  </si>
  <si>
    <t xml:space="preserve">Oil India Limited</t>
  </si>
  <si>
    <t xml:space="preserve">BT:OIL#e0d1of1 (git commit N/A)</t>
  </si>
  <si>
    <t xml:space="preserve">BT:ONGC#e0d2of2 (git commit N/A)</t>
  </si>
  <si>
    <t xml:space="preserve">PAGEIND</t>
  </si>
  <si>
    <t xml:space="preserve">Page Industries Limited</t>
  </si>
  <si>
    <t xml:space="preserve">BT:PAGEIND#e0d1of1 (git commit N/A)</t>
  </si>
  <si>
    <t xml:space="preserve">2026-01-14</t>
  </si>
  <si>
    <t xml:space="preserve">BT:APLAPOLLO#e3d1of1 (git commit N/A)</t>
  </si>
  <si>
    <t xml:space="preserve">BT:BANKBARODA#e1d1of1 (git commit N/A)</t>
  </si>
  <si>
    <t xml:space="preserve">BANKINDIA</t>
  </si>
  <si>
    <t xml:space="preserve">Bank of India</t>
  </si>
  <si>
    <t xml:space="preserve">BT:BANKINDIA#e0d1of1 (git commit N/A)</t>
  </si>
  <si>
    <t xml:space="preserve">BEL</t>
  </si>
  <si>
    <t xml:space="preserve">Bharat Electronics Limited</t>
  </si>
  <si>
    <t xml:space="preserve">BT:BEL#e0d1of1 (git commit N/A)</t>
  </si>
  <si>
    <t xml:space="preserve">BT:DALBHARAT#e1d2of2 (git commit N/A)</t>
  </si>
  <si>
    <t xml:space="preserve">BT:INDIANB#e1d1of1 (git commit N/A)</t>
  </si>
  <si>
    <t xml:space="preserve">BT:JSWSTEEL#e3d1of1 (git commit N/A)</t>
  </si>
  <si>
    <t xml:space="preserve">2026-01-16</t>
  </si>
  <si>
    <t xml:space="preserve">BT:AUBANK#e3d1of1 (git commit N/A)</t>
  </si>
  <si>
    <t xml:space="preserve">BT:GRASIM#e1d1of1 (git commit N/A)</t>
  </si>
  <si>
    <t xml:space="preserve">BT:ICICIPRULI#e4d1of1 (git commit N/A)</t>
  </si>
  <si>
    <t xml:space="preserve">BT:LTIM#e3d1of1 (git commit N/A)</t>
  </si>
  <si>
    <t xml:space="preserve">BT:SHRIRAMFIN#e3d1of1 (git commit N/A)</t>
  </si>
  <si>
    <t xml:space="preserve">BT:TECHM#e4d1of1 (git commit N/A)</t>
  </si>
  <si>
    <t xml:space="preserve">ULTRACEMCO</t>
  </si>
  <si>
    <t xml:space="preserve">UltraTech Cement Limited</t>
  </si>
  <si>
    <t xml:space="preserve">BT:ULTRACEMCO#e0d1of1 (git commit N/A)</t>
  </si>
  <si>
    <t xml:space="preserve">2026-01-19</t>
  </si>
  <si>
    <t xml:space="preserve">BT:TORNTPHARM#e2d1of1 (git commit N/A)</t>
  </si>
  <si>
    <t xml:space="preserve">UNIONBANK</t>
  </si>
  <si>
    <t xml:space="preserve">Union Bank of India</t>
  </si>
  <si>
    <t xml:space="preserve">BT:UNIONBANK#e0d1of1 (git commit N/A)</t>
  </si>
  <si>
    <t xml:space="preserve">2026-01-28</t>
  </si>
  <si>
    <t xml:space="preserve">BHARATFORG</t>
  </si>
  <si>
    <t xml:space="preserve">Bharat Forge Limited</t>
  </si>
  <si>
    <t xml:space="preserve">BT:BHARATFORG#e0d1of1 (git commit N/A)</t>
  </si>
  <si>
    <t xml:space="preserve">BT:BPCL#e1d1of2 (git commit N/A)</t>
  </si>
  <si>
    <t xml:space="preserve">BT:DABUR#e1d1of1 (git commit N/A)</t>
  </si>
  <si>
    <t xml:space="preserve">BT:DELHIVERY#e4d1of2 (git commit N/A)</t>
  </si>
  <si>
    <t xml:space="preserve">BT:GMRAIRPORT#e2d1of1 (git commit N/A)</t>
  </si>
  <si>
    <t xml:space="preserve">HAL</t>
  </si>
  <si>
    <t xml:space="preserve">Hindustan Aeronautics Limited</t>
  </si>
  <si>
    <t xml:space="preserve">BT:HAL#e0d1of1 (git commit N/A)</t>
  </si>
  <si>
    <t xml:space="preserve">BT:HDFCAMC#e2d1of1 (git commit N/A)</t>
  </si>
  <si>
    <t xml:space="preserve">BT:IOC#e7d1of1 (git commit N/A)</t>
  </si>
  <si>
    <t xml:space="preserve">BT:NTPC#e1d1of2 (git commit N/A)</t>
  </si>
  <si>
    <t xml:space="preserve">BT:POWERGRID#e1d1of2 (git commit N/A)</t>
  </si>
  <si>
    <t xml:space="preserve">BT:SAMMAANCAP#e2d1of2 (git commit N/A)</t>
  </si>
  <si>
    <t xml:space="preserve">BT:SBILIFE#e2d1of1 (git commit N/A)</t>
  </si>
  <si>
    <t xml:space="preserve">TIINDIA</t>
  </si>
  <si>
    <t xml:space="preserve">Tube Investments of India Limited</t>
  </si>
  <si>
    <t xml:space="preserve">BT:TIINDIA#e0d1of1 (git commit N/A)</t>
  </si>
  <si>
    <t xml:space="preserve">2026-01-29</t>
  </si>
  <si>
    <t xml:space="preserve">BT:AMBUJACEM#e1d1of1 (git commit N/A)</t>
  </si>
  <si>
    <t xml:space="preserve">BT:BPCL#e1d2of2 (git commit N/A)</t>
  </si>
  <si>
    <t xml:space="preserve">COALINDIA</t>
  </si>
  <si>
    <t xml:space="preserve">Coal India Limited</t>
  </si>
  <si>
    <t xml:space="preserve">BT:COALINDIA#e0d1of1 (git commit N/A)</t>
  </si>
  <si>
    <t xml:space="preserve">BT:DELHIVERY#e4d2of2 (git commit N/A)</t>
  </si>
  <si>
    <t xml:space="preserve">BT:NMDC#e4d1of1 (git commit N/A)</t>
  </si>
  <si>
    <t xml:space="preserve">BT:NTPC#e1d2of2 (git commit N/A)</t>
  </si>
  <si>
    <t xml:space="preserve">BT:POWERGRID#e1d2of2 (git commit N/A)</t>
  </si>
  <si>
    <t xml:space="preserve">BT:SAMMAANCAP#e2d2of2 (git commit N/A)</t>
  </si>
  <si>
    <t xml:space="preserve">2026-01-30</t>
  </si>
  <si>
    <t xml:space="preserve">BT:BRITANNIA#e2d1of1 (git commit N/A)</t>
  </si>
  <si>
    <t xml:space="preserve">BT:HAVELLS#e1d1of1 (git commit N/A)</t>
  </si>
  <si>
    <t xml:space="preserve">BT:INDUSTOWER#e1d1of1 (git commit N/A)</t>
  </si>
  <si>
    <t xml:space="preserve">BT:KEI#e1d1of1 (git commit N/A)</t>
  </si>
  <si>
    <t xml:space="preserve">BT:TORNTPOWER#e1d1of1 (git commit N/A)</t>
  </si>
  <si>
    <t xml:space="preserve">TVSMOTOR</t>
  </si>
  <si>
    <t xml:space="preserve">TVS Motor Company Limited</t>
  </si>
  <si>
    <t xml:space="preserve">BT:TVSMOTOR#e0d1of1 (git commit N/A)</t>
  </si>
  <si>
    <t xml:space="preserve">2026-02-02</t>
  </si>
  <si>
    <t xml:space="preserve">BT:IOC#e8d1of3 (git commit N/A)</t>
  </si>
  <si>
    <t xml:space="preserve">BT:SBILIFE#e3d1of1 (git commit N/A)</t>
  </si>
  <si>
    <t xml:space="preserve">BT:SBIN#e2d1of1 (git commit N/A)</t>
  </si>
  <si>
    <t xml:space="preserve">2026-02-03</t>
  </si>
  <si>
    <t xml:space="preserve">ABB</t>
  </si>
  <si>
    <t xml:space="preserve">ABB India Limited</t>
  </si>
  <si>
    <t xml:space="preserve">BT:ABB#e0d1of1 (git commit N/A)</t>
  </si>
  <si>
    <t xml:space="preserve">BT:BHARATFORG#e1d1of1 (git commit N/A)</t>
  </si>
  <si>
    <t xml:space="preserve">BT:BIOCON#e5d1of1 (git commit N/A)</t>
  </si>
  <si>
    <t xml:space="preserve">BT:BPCL#e2d1of1 (git commit N/A)</t>
  </si>
  <si>
    <t xml:space="preserve">BT:CAMS#e1d1of1 (git commit N/A)</t>
  </si>
  <si>
    <t xml:space="preserve">BT:COALINDIA#e1d1of1 (git commit N/A)</t>
  </si>
  <si>
    <t xml:space="preserve">BT:CONCOR#e2d1of1 (git commit N/A)</t>
  </si>
  <si>
    <t xml:space="preserve">BT:HDFCLIFE#e2d1of2 (git commit N/A)</t>
  </si>
  <si>
    <t xml:space="preserve">BT:ICICIGI#e1d1of1 (git commit N/A)</t>
  </si>
  <si>
    <t xml:space="preserve">BT:IOC#e8d2of3 (git commit N/A)</t>
  </si>
  <si>
    <t xml:space="preserve">BT:MANKIND#e3d1of1 (git commit N/A)</t>
  </si>
  <si>
    <t xml:space="preserve">BT:MUTHOOTFIN#e1d1of1 (git commit N/A)</t>
  </si>
  <si>
    <t xml:space="preserve">BT:PAGEIND#e1d1of1 (git commit N/A)</t>
  </si>
  <si>
    <t xml:space="preserve">BT:PFC#e2d1of2 (git commit N/A)</t>
  </si>
  <si>
    <t xml:space="preserve">BT:SIEMENS#e1d1of2 (git commit N/A)</t>
  </si>
  <si>
    <t xml:space="preserve">BT:SONACOMS#e2d1of1 (git commit N/A)</t>
  </si>
  <si>
    <t xml:space="preserve">BT:SRF#e3d1of1 (git commit N/A)</t>
  </si>
  <si>
    <t xml:space="preserve">BT:SUNPHARMA#e1d1of1 (git commit N/A)</t>
  </si>
  <si>
    <t xml:space="preserve">2026-02-04</t>
  </si>
  <si>
    <t xml:space="preserve">BT:ASHOKLEY#e1d1of1 (git commit N/A)</t>
  </si>
  <si>
    <t xml:space="preserve">BT:BLUESTARCO#e1d1of1 (git commit N/A)</t>
  </si>
  <si>
    <t xml:space="preserve">BT:GMRAIRPORT#e3d1of1 (git commit N/A)</t>
  </si>
  <si>
    <t xml:space="preserve">BT:HDFCAMC#e3d1of1 (git commit N/A)</t>
  </si>
  <si>
    <t xml:space="preserve">BT:HDFCLIFE#e2d2of2 (git commit N/A)</t>
  </si>
  <si>
    <t xml:space="preserve">BT:IOC#e8d3of3 (git commit N/A)</t>
  </si>
  <si>
    <t xml:space="preserve">BT:JINDALSTEL#e1d1of1 (git commit N/A)</t>
  </si>
  <si>
    <t xml:space="preserve">BT:NTPC#e2d1of1 (git commit N/A)</t>
  </si>
  <si>
    <t xml:space="preserve">BT:PFC#e2d2of2 (git commit N/A)</t>
  </si>
  <si>
    <t xml:space="preserve">BT:PIDILITIND#e3d1of1 (git commit N/A)</t>
  </si>
  <si>
    <t xml:space="preserve">BT:SIEMENS#e1d2of2 (git commit N/A)</t>
  </si>
  <si>
    <t xml:space="preserve">SUPREMEIND</t>
  </si>
  <si>
    <t xml:space="preserve">Supreme Industries Limited</t>
  </si>
  <si>
    <t xml:space="preserve">BT:SUPREMEIND#e0d1of1 (git commit N/A)</t>
  </si>
  <si>
    <t xml:space="preserve">BT:TORNTPOWER#e2d1of3 (git commit N/A)</t>
  </si>
  <si>
    <t xml:space="preserve">2026-02-05</t>
  </si>
  <si>
    <t xml:space="preserve">BT:DMART#e1d1of1 (git commit N/A)</t>
  </si>
  <si>
    <t xml:space="preserve">BT:TORNTPOWER#e2d2of3 (git commit N/A)</t>
  </si>
  <si>
    <t xml:space="preserve">2026-02-06</t>
  </si>
  <si>
    <t xml:space="preserve">BT:APOLLOHOSP#e1d1of1 (git commit N/A)</t>
  </si>
  <si>
    <t xml:space="preserve">BT:TORNTPOWER#e2d3of3 (git commit N/A)</t>
  </si>
  <si>
    <t xml:space="preserve">2026-02-09</t>
  </si>
  <si>
    <t xml:space="preserve">BT:ALKEM#e3d1of1 (git commit N/A)</t>
  </si>
  <si>
    <t xml:space="preserve">BT:BLUESTARCO#e2d1of1 (git commit N/A)</t>
  </si>
  <si>
    <t xml:space="preserve">BT:GMRAIRPORT#e4d1of1 (git commit N/A)</t>
  </si>
  <si>
    <t xml:space="preserve">BT:HDFCLIFE#e3d1of1 (git commit N/A)</t>
  </si>
  <si>
    <t xml:space="preserve">BT:INDUSINDBK#e1d1of1 (git commit N/A)</t>
  </si>
  <si>
    <t xml:space="preserve">BT:LICHSGFIN#e1d1of1 (git commit N/A)</t>
  </si>
  <si>
    <t xml:space="preserve">BT:MFSL#e3d1of1 (git commit N/A)</t>
  </si>
  <si>
    <t xml:space="preserve">BT:TORNTPHARM#e3d1of1 (git commit N/A)</t>
  </si>
  <si>
    <t xml:space="preserve">BT:UNOMINDA#e3d1of1 (git commit N/A)</t>
  </si>
  <si>
    <t xml:space="preserve">2026-02-10</t>
  </si>
  <si>
    <t xml:space="preserve">BT:DELHIVERY#e5d1of1 (git commit N/A)</t>
  </si>
  <si>
    <t xml:space="preserve">MAXHEALTH</t>
  </si>
  <si>
    <t xml:space="preserve">Max Healthcare Institute Limited</t>
  </si>
  <si>
    <t xml:space="preserve">BT:MAXHEALTH#e0d1of1 (git commit N/A)</t>
  </si>
  <si>
    <t xml:space="preserve">NYKAA</t>
  </si>
  <si>
    <t xml:space="preserve">FSN E-Commerce Ventures Limited</t>
  </si>
  <si>
    <t xml:space="preserve">BT:NYKAA#e0d1of1 (git commit N/A)</t>
  </si>
  <si>
    <t xml:space="preserve">PPLPHARMA</t>
  </si>
  <si>
    <t xml:space="preserve">Piramal Pharma Limited</t>
  </si>
  <si>
    <t xml:space="preserve">BT:PPLPHARMA#e0d1of1 (git commit N/A)</t>
  </si>
  <si>
    <t xml:space="preserve">2026-02-11</t>
  </si>
  <si>
    <t xml:space="preserve">BT:BRITANNIA#e3d1of1 (git commit N/A)</t>
  </si>
  <si>
    <t xml:space="preserve">BT:FEDERALBNK#e2d1of1 (git commit N/A)</t>
  </si>
  <si>
    <t xml:space="preserve">BT:INDUSTOWER#e2d1of1 (git commit N/A)</t>
  </si>
  <si>
    <t xml:space="preserve">BT:SBIN#e3d1of3 (git commit N/A)</t>
  </si>
  <si>
    <t xml:space="preserve">BT:SYNGENE#e2d1of1 (git commit N/A)</t>
  </si>
  <si>
    <t xml:space="preserve">2026-02-12</t>
  </si>
  <si>
    <t xml:space="preserve">BT:BLUESTARCO#e3d1of1 (git commit N/A)</t>
  </si>
  <si>
    <t xml:space="preserve">BT:SBIN#e3d2of3 (git commit N/A)</t>
  </si>
  <si>
    <t xml:space="preserve">2026-02-13</t>
  </si>
  <si>
    <t xml:space="preserve">BT:MFSL#e4d1of1 (git commit N/A)</t>
  </si>
  <si>
    <t xml:space="preserve">BT:SBIN#e3d3of3 (git commit N/A)</t>
  </si>
  <si>
    <t xml:space="preserve">2026-02-16</t>
  </si>
  <si>
    <t xml:space="preserve">BT:ASTRAL#e2d1of1 (git commit N/A)</t>
  </si>
  <si>
    <t xml:space="preserve">BT:GLENMARK#e2d1of1 (git commit N/A)</t>
  </si>
  <si>
    <t xml:space="preserve">2026-02-17</t>
  </si>
  <si>
    <t xml:space="preserve">BT:INDUSINDBK#e2d1of1 (git commit N/A)</t>
  </si>
  <si>
    <t xml:space="preserve">2026-02-23</t>
  </si>
  <si>
    <t xml:space="preserve">BT:NTPC#e3d1of2 (git commit N/A)</t>
  </si>
  <si>
    <t xml:space="preserve">2026-02-24</t>
  </si>
  <si>
    <t xml:space="preserve">BT:NTPC#e3d2of2 (git commit N/A)</t>
  </si>
  <si>
    <t xml:space="preserve">2026-02-25</t>
  </si>
  <si>
    <t xml:space="preserve">BT:BIOCON#e6d1of1 (git commit N/A)</t>
  </si>
  <si>
    <t xml:space="preserve">COLPAL</t>
  </si>
  <si>
    <t xml:space="preserve">Colgate Palmolive (India) Limited</t>
  </si>
  <si>
    <t xml:space="preserve">BT:COLPAL#e0d1of1 (git commit N/A)</t>
  </si>
  <si>
    <t xml:space="preserve">EXIDEIND</t>
  </si>
  <si>
    <t xml:space="preserve">Exide Industries Limited</t>
  </si>
  <si>
    <t xml:space="preserve">BT:EXIDEIND#e0d1of1 (git commit N/A)</t>
  </si>
  <si>
    <t xml:space="preserve">BT:HAVELLS#e2d1of1 (git commit N/A)</t>
  </si>
  <si>
    <t xml:space="preserve">BT:IOC#e9d1of1 (git commit N/A)</t>
  </si>
  <si>
    <t xml:space="preserve">BT:JSWSTEEL#e4d1of1 (git commit N/A)</t>
  </si>
  <si>
    <t xml:space="preserve">BT:LUPIN#e2d1of1 (git commit N/A)</t>
  </si>
  <si>
    <t xml:space="preserve">BT:MANKIND#e4d1of1 (git commit N/A)</t>
  </si>
  <si>
    <t xml:space="preserve">BT:PETRONET#e2d1of1 (git commit N/A)</t>
  </si>
  <si>
    <t xml:space="preserve">BT:SAIL#e1d1of1 (git commit N/A)</t>
  </si>
  <si>
    <t xml:space="preserve">BT:SUPREMEIND#e1d1of1 (git commit N/A)</t>
  </si>
  <si>
    <t xml:space="preserve">2026-02-26</t>
  </si>
  <si>
    <t xml:space="preserve">CGPOWER</t>
  </si>
  <si>
    <t xml:space="preserve">CG Power and Industrial Solutions Limited</t>
  </si>
  <si>
    <t xml:space="preserve">BT:CGPOWER#e0d1of1 (git commit N/A)</t>
  </si>
  <si>
    <t xml:space="preserve">BT:CIPLA#e3d1of1 (git commit N/A)</t>
  </si>
  <si>
    <t xml:space="preserve">BT:ICICIBANK#e2d1of1 (git commit N/A)</t>
  </si>
  <si>
    <t xml:space="preserve">TMPV</t>
  </si>
  <si>
    <t xml:space="preserve">Tata Motors Passenger Vehicles Limited</t>
  </si>
  <si>
    <t xml:space="preserve">BT:TMPV#e0d1of1 (git commit N/A)</t>
  </si>
  <si>
    <t xml:space="preserve">BT:UNIONBANK#e1d1of1 (git commit N/A)</t>
  </si>
  <si>
    <t xml:space="preserve">2026-02-27</t>
  </si>
  <si>
    <t xml:space="preserve">BT:IOC#e10d1of1 (git commit N/A)</t>
  </si>
  <si>
    <t xml:space="preserve">JUBLFOOD</t>
  </si>
  <si>
    <t xml:space="preserve">Jubilant Foodworks Limited</t>
  </si>
  <si>
    <t xml:space="preserve">BT:JUBLFOOD#e0d1of1 (git commit N/A)</t>
  </si>
  <si>
    <t xml:space="preserve">BT:TIINDIA#e1d1of2 (git commit N/A)</t>
  </si>
  <si>
    <t xml:space="preserve">2026-03-02</t>
  </si>
  <si>
    <t xml:space="preserve">BT:SUNPHARMA#e2d1of1 (git commit N/A)</t>
  </si>
  <si>
    <t xml:space="preserve">BT:TIINDIA#e1d2of2 (git commit N/A)</t>
  </si>
  <si>
    <t xml:space="preserve">2026-03-05</t>
  </si>
  <si>
    <t xml:space="preserve">BT:SUNPHARMA#e3d1of1 (git commit N/A)</t>
  </si>
  <si>
    <t xml:space="preserve">2026-03-06</t>
  </si>
  <si>
    <t xml:space="preserve">BT:ASTRAL#e3d1of1 (git commit N/A)</t>
  </si>
  <si>
    <t xml:space="preserve">BT:NTPC#e4d1of1 (git commit N/A)</t>
  </si>
  <si>
    <t xml:space="preserve">2026-03-09</t>
  </si>
  <si>
    <t xml:space="preserve">BT:SUNPHARMA#e4d1of2 (git commit N/A)</t>
  </si>
  <si>
    <t xml:space="preserve">2026-03-10</t>
  </si>
  <si>
    <t xml:space="preserve">BT:DALBHARAT#e2d1of1 (git commit N/A)</t>
  </si>
  <si>
    <t xml:space="preserve">BT:LUPIN#e3d1of1 (git commit N/A)</t>
  </si>
  <si>
    <t xml:space="preserve">BT:NESTLEIND#e1d1of1 (git commit N/A)</t>
  </si>
  <si>
    <t xml:space="preserve">BT:SUNPHARMA#e4d2of2 (git commit N/A)</t>
  </si>
  <si>
    <t xml:space="preserve">2026-03-11</t>
  </si>
  <si>
    <t xml:space="preserve">BT:SUPREMEIND#e2d1of1 (git commit N/A)</t>
  </si>
  <si>
    <t xml:space="preserve">BT:WIPRO#e1d1of1 (git commit N/A)</t>
  </si>
  <si>
    <t xml:space="preserve">2026-03-12</t>
  </si>
  <si>
    <t xml:space="preserve">BT:NTPC#e5d1of1 (git commit N/A)</t>
  </si>
  <si>
    <t xml:space="preserve">2026-03-16</t>
  </si>
  <si>
    <t xml:space="preserve">NHPC</t>
  </si>
  <si>
    <t xml:space="preserve">NHPC Limited</t>
  </si>
  <si>
    <t xml:space="preserve">BT:NHPC#e0d1of1 (git commit N/A)</t>
  </si>
  <si>
    <t xml:space="preserve">2026-03-17</t>
  </si>
  <si>
    <t xml:space="preserve">BT:RECLTD#e1d1of2 (git commit N/A)</t>
  </si>
  <si>
    <t xml:space="preserve">BT:SBILIFE#e4d1of1 (git commit N/A)</t>
  </si>
  <si>
    <t xml:space="preserve">BT:SONACOMS#e3d1of1 (git commit N/A)</t>
  </si>
  <si>
    <t xml:space="preserve">2026-03-18</t>
  </si>
  <si>
    <t xml:space="preserve">BT:BHARATFORG#e2d1of1 (git commit N/A)</t>
  </si>
  <si>
    <t xml:space="preserve">BT:DELHIVERY#e6d1of1 (git commit N/A)</t>
  </si>
  <si>
    <t xml:space="preserve">BT:LODHA#e3d1of1 (git commit N/A)</t>
  </si>
  <si>
    <t xml:space="preserve">BT:NUVAMA#e1d1of1 (git commit N/A)</t>
  </si>
  <si>
    <t xml:space="preserve">BT:PHOENIXLTD#e3d1of1 (git commit N/A)</t>
  </si>
  <si>
    <t xml:space="preserve">BT:PNBHOUSING#e1d1of1 (git commit N/A)</t>
  </si>
  <si>
    <t xml:space="preserve">POLYCAB</t>
  </si>
  <si>
    <t xml:space="preserve">Polycab India Limited</t>
  </si>
  <si>
    <t xml:space="preserve">BT:POLYCAB#e0d1of1 (git commit N/A)</t>
  </si>
  <si>
    <t xml:space="preserve">BT:RECLTD#e1d2of2 (git commit N/A)</t>
  </si>
  <si>
    <t xml:space="preserve">2026-03-20</t>
  </si>
  <si>
    <t xml:space="preserve">BT:COALINDIA#e2d1of1 (git commit N/A)</t>
  </si>
  <si>
    <t xml:space="preserve">BT:DELHIVERY#e7d1of1 (git commit N/A)</t>
  </si>
  <si>
    <t xml:space="preserve">BT:GRASIM#e2d1of1 (git commit N/A)</t>
  </si>
  <si>
    <t xml:space="preserve">BT:HCLTECH#e2d1of2 (git commit N/A)</t>
  </si>
  <si>
    <t xml:space="preserve">HEROMOTOCO</t>
  </si>
  <si>
    <t xml:space="preserve">Hero MotoCorp Limited</t>
  </si>
  <si>
    <t xml:space="preserve">BT:HEROMOTOCO#e0d1of1 (git commit N/A)</t>
  </si>
  <si>
    <t xml:space="preserve">INFY</t>
  </si>
  <si>
    <t xml:space="preserve">Infosys Limited</t>
  </si>
  <si>
    <t xml:space="preserve">BT:INFY#e0d1of1 (git commit N/A)</t>
  </si>
  <si>
    <t xml:space="preserve">BT:MAXHEALTH#e1d1of1 (git commit N/A)</t>
  </si>
  <si>
    <t xml:space="preserve">BT:MFSL#e5d1of1 (git commit N/A)</t>
  </si>
  <si>
    <t xml:space="preserve">PIIND</t>
  </si>
  <si>
    <t xml:space="preserve">PI Industries Limited</t>
  </si>
  <si>
    <t xml:space="preserve">BT:PIIND#e0d1of1 (git commit N/A)</t>
  </si>
  <si>
    <t xml:space="preserve">BT:POWERGRID#e2d1of1 (git commit N/A)</t>
  </si>
  <si>
    <t xml:space="preserve">RELIANCE</t>
  </si>
  <si>
    <t xml:space="preserve">Reliance Industries Limited</t>
  </si>
  <si>
    <t xml:space="preserve">BT:RELIANCE#e0d1of1 (git commit N/A)</t>
  </si>
  <si>
    <t xml:space="preserve">BT:TECHM#e5d1of1 (git commit N/A)</t>
  </si>
  <si>
    <t xml:space="preserve">BT:TMPV#e1d1of1 (git commit N/A)</t>
  </si>
  <si>
    <t xml:space="preserve">BT:WIPRO#e2d1of1 (git commit N/A)</t>
  </si>
  <si>
    <t xml:space="preserve">2026-03-23</t>
  </si>
  <si>
    <t xml:space="preserve">BT:HCLTECH#e2d2of2 (git commit N/A)</t>
  </si>
  <si>
    <t xml:space="preserve">2026-04-01</t>
  </si>
  <si>
    <t xml:space="preserve">BT:ADANIPORTS#e1d1of1 (git commit N/A)</t>
  </si>
  <si>
    <t xml:space="preserve">BT:AUROPHARMA#e2d1of1 (git commit N/A)</t>
  </si>
  <si>
    <t xml:space="preserve">BT:BAJFINANCE#e1d1of1 (git commit N/A)</t>
  </si>
  <si>
    <t xml:space="preserve">HDFCBANK</t>
  </si>
  <si>
    <t xml:space="preserve">HDFC Bank Limited</t>
  </si>
  <si>
    <t xml:space="preserve">BT:HDFCBANK#e0d1of1 (git commit N/A)</t>
  </si>
  <si>
    <t xml:space="preserve">BT:ICICIBANK#e3d1of1 (git commit N/A)</t>
  </si>
  <si>
    <t xml:space="preserve">BT:ICICIPRULI#e5d1of1 (git commit N/A)</t>
  </si>
  <si>
    <t xml:space="preserve">MARICO</t>
  </si>
  <si>
    <t xml:space="preserve">Marico Limited</t>
  </si>
  <si>
    <t xml:space="preserve">BT:MARICO#e0d1of2 (git commit N/A)</t>
  </si>
  <si>
    <t xml:space="preserve">BT:MOTHERSON#e3d1of1 (git commit N/A)</t>
  </si>
  <si>
    <t xml:space="preserve">NAM-INDIA</t>
  </si>
  <si>
    <t xml:space="preserve">Nippon Life India Asset Management Limited</t>
  </si>
  <si>
    <t xml:space="preserve">BT:NAM-INDIA#e0d1of1 (git commit N/A)</t>
  </si>
  <si>
    <t xml:space="preserve">BT:NESTLEIND#e2d1of1 (git commit N/A)</t>
  </si>
  <si>
    <t xml:space="preserve">BT:NYKAA#e1d1of3 (git commit N/A)</t>
  </si>
  <si>
    <t xml:space="preserve">BT:PNBHOUSING#e2d1of1 (git commit N/A)</t>
  </si>
  <si>
    <t xml:space="preserve">PREMIERENE</t>
  </si>
  <si>
    <t xml:space="preserve">Premier Energies Limited</t>
  </si>
  <si>
    <t xml:space="preserve">BT:PREMIERENE#e0d1of1 (git commit N/A)</t>
  </si>
  <si>
    <t xml:space="preserve">BT:PRESTIGE#e1d1of2 (git commit N/A)</t>
  </si>
  <si>
    <t xml:space="preserve">BT:SAIL#e2d1of1 (git commit N/A)</t>
  </si>
  <si>
    <t xml:space="preserve">SWIGGY</t>
  </si>
  <si>
    <t xml:space="preserve">Swiggy Limited</t>
  </si>
  <si>
    <t xml:space="preserve">BT:SWIGGY#e0d1of1 (git commit N/A)</t>
  </si>
  <si>
    <t xml:space="preserve">2026-04-02</t>
  </si>
  <si>
    <t xml:space="preserve">BT:LODHA#e4d1of2 (git commit N/A)</t>
  </si>
  <si>
    <t xml:space="preserve">LTM</t>
  </si>
  <si>
    <t xml:space="preserve">LTM Limited</t>
  </si>
  <si>
    <t xml:space="preserve">BT:LTM#e0d1of1 (git commit N/A)</t>
  </si>
  <si>
    <t xml:space="preserve">BT:MARICO#e0d2of2 (git commit N/A)</t>
  </si>
  <si>
    <t xml:space="preserve">BT:NYKAA#e1d2of3 (git commit N/A)</t>
  </si>
  <si>
    <t xml:space="preserve">BT:PRESTIGE#e1d2of2 (git commit N/A)</t>
  </si>
  <si>
    <t xml:space="preserve">TCS</t>
  </si>
  <si>
    <t xml:space="preserve">Tata Consultancy Services Limited</t>
  </si>
  <si>
    <t xml:space="preserve">BT:TCS#e0d1of1 (git commit N/A)</t>
  </si>
  <si>
    <t xml:space="preserve">TITAN</t>
  </si>
  <si>
    <t xml:space="preserve">Titan Company Limited</t>
  </si>
  <si>
    <t xml:space="preserve">BT:TITAN#e0d1of2 (git commit N/A)</t>
  </si>
  <si>
    <t xml:space="preserve">2026-04-06</t>
  </si>
  <si>
    <t xml:space="preserve">ADANIPOWER</t>
  </si>
  <si>
    <t xml:space="preserve">Adani Power Limited</t>
  </si>
  <si>
    <t xml:space="preserve">BT:ADANIPOWER#e0d1of1 (git commit N/A)</t>
  </si>
  <si>
    <t xml:space="preserve">BT:LODHA#e4d2of2 (git commit N/A)</t>
  </si>
  <si>
    <t xml:space="preserve">BT:NAM-INDIA#e1d1of1 (git commit N/A)</t>
  </si>
  <si>
    <t xml:space="preserve">BT:NYKAA#e1d3of3 (git commit N/A)</t>
  </si>
  <si>
    <t xml:space="preserve">BT:SBIN#e4d1of1 (git commit N/A)</t>
  </si>
  <si>
    <t xml:space="preserve">BT:TATACONSUM#e3d1of1 (git commit N/A)</t>
  </si>
  <si>
    <t xml:space="preserve">BT:TITAN#e0d2of2 (git commit N/A)</t>
  </si>
  <si>
    <t xml:space="preserve">2026-04-07</t>
  </si>
  <si>
    <t xml:space="preserve">BT:BAJAJFINSV#e1d1of1 (git commit N/A)</t>
  </si>
  <si>
    <t xml:space="preserve">BT:HINDUNILVR#e2d1of2 (git commit N/A)</t>
  </si>
  <si>
    <t xml:space="preserve">BT:JSWSTEEL#e5d1of1 (git commit N/A)</t>
  </si>
  <si>
    <t xml:space="preserve">2026-04-08</t>
  </si>
  <si>
    <t xml:space="preserve">BT:ABB#e1d1of3 (git commit N/A)</t>
  </si>
  <si>
    <t xml:space="preserve">BT:AUROPHARMA#e3d1of1 (git commit N/A)</t>
  </si>
  <si>
    <t xml:space="preserve">BT:BRITANNIA#e4d1of1 (git commit N/A)</t>
  </si>
  <si>
    <t xml:space="preserve">BT:CHOLAFIN#e2d1of1 (git commit N/A)</t>
  </si>
  <si>
    <t xml:space="preserve">BT:CIPLA#e4d1of1 (git commit N/A)</t>
  </si>
  <si>
    <t xml:space="preserve">BT:CROMPTON#e1d1of1 (git commit N/A)</t>
  </si>
  <si>
    <t xml:space="preserve">BT:DALBHARAT#e3d1of1 (git commit N/A)</t>
  </si>
  <si>
    <t xml:space="preserve">BT:DELHIVERY#e8d1of1 (git commit N/A)</t>
  </si>
  <si>
    <t xml:space="preserve">BT:EICHERMOT#e1d1of1 (git commit N/A)</t>
  </si>
  <si>
    <t xml:space="preserve">BT:GAIL#e2d1of1 (git commit N/A)</t>
  </si>
  <si>
    <t xml:space="preserve">BT:GODREJCP#e1d1of1 (git commit N/A)</t>
  </si>
  <si>
    <t xml:space="preserve">BT:HCLTECH#e3d1of1 (git commit N/A)</t>
  </si>
  <si>
    <t xml:space="preserve">BT:HEROMOTOCO#e1d1of1 (git commit N/A)</t>
  </si>
  <si>
    <t xml:space="preserve">BT:HINDUNILVR#e2d2of2 (git commit N/A)</t>
  </si>
  <si>
    <t xml:space="preserve">BT:INFY#e1d1of1 (git commit N/A)</t>
  </si>
  <si>
    <t xml:space="preserve">BT:KEI#e2d1of1 (git commit N/A)</t>
  </si>
  <si>
    <t xml:space="preserve">BT:NTPC#e6d1of2 (git commit N/A)</t>
  </si>
  <si>
    <t xml:space="preserve">BT:PETRONET#e3d1of2 (git commit N/A)</t>
  </si>
  <si>
    <t xml:space="preserve">BT:POLYCAB#e1d1of1 (git commit N/A)</t>
  </si>
  <si>
    <t xml:space="preserve">BT:SAIL#e3d1of1 (git commit N/A)</t>
  </si>
  <si>
    <t xml:space="preserve">BT:SBIN#e5d1of1 (git commit N/A)</t>
  </si>
  <si>
    <t xml:space="preserve">BT:SONACOMS#e4d1of1 (git commit N/A)</t>
  </si>
  <si>
    <t xml:space="preserve">BT:SRF#e4d1of1 (git commit N/A)</t>
  </si>
  <si>
    <t xml:space="preserve">BT:TCS#e1d1of1 (git commit N/A)</t>
  </si>
  <si>
    <t xml:space="preserve">BT:UNOMINDA#e4d1of1 (git commit N/A)</t>
  </si>
  <si>
    <t xml:space="preserve">BT:UPL#e1d1of1 (git commit N/A)</t>
  </si>
  <si>
    <t xml:space="preserve">2026-04-09</t>
  </si>
  <si>
    <t xml:space="preserve">BT:360ONE#e1d1of1 (git commit N/A)</t>
  </si>
  <si>
    <t xml:space="preserve">BT:ABB#e1d2of3 (git commit N/A)</t>
  </si>
  <si>
    <t xml:space="preserve">BT:NTPC#e6d2of2 (git commit N/A)</t>
  </si>
  <si>
    <t xml:space="preserve">BT:PETRONET#e3d2of2 (git commit N/A)</t>
  </si>
  <si>
    <t xml:space="preserve">BT:TATACONSUM#e4d1of1 (git commit N/A)</t>
  </si>
  <si>
    <t xml:space="preserve">2026-04-10</t>
  </si>
  <si>
    <t xml:space="preserve">BT:ABB#e1d3of3 (git commit N/A)</t>
  </si>
  <si>
    <t xml:space="preserve">BT:ASTRAL#e4d1of1 (git commit N/A)</t>
  </si>
  <si>
    <t xml:space="preserve">BT:CUMMINSIND#e2d1of1 (git commit N/A)</t>
  </si>
  <si>
    <t xml:space="preserve">BT:HEROMOTOCO#e2d1of1 (git commit N/A)</t>
  </si>
  <si>
    <t xml:space="preserve">BT:NAM-INDIA#e2d1of1 (git commit N/A)</t>
  </si>
  <si>
    <t xml:space="preserve">BT:PHOENIXLTD#e4d1of1 (git commit N/A)</t>
  </si>
  <si>
    <t xml:space="preserve">BT:PIDILITIND#e4d1of1 (git commit N/A)</t>
  </si>
  <si>
    <t xml:space="preserve">UNITDSPR</t>
  </si>
  <si>
    <t xml:space="preserve">United Spirits Limited</t>
  </si>
  <si>
    <t xml:space="preserve">BT:UNITDSPR#e0d1of1 (git commit N/A)</t>
  </si>
  <si>
    <t xml:space="preserve">2026-04-15</t>
  </si>
  <si>
    <t xml:space="preserve">BT:360ONE#e2d1of1 (git commit N/A)</t>
  </si>
  <si>
    <t xml:space="preserve">BT:ABB#e2d1of1 (git commit N/A)</t>
  </si>
  <si>
    <t xml:space="preserve">BT:ALKEM#e4d1of1 (git commit N/A)</t>
  </si>
  <si>
    <t xml:space="preserve">BT:BPCL#e3d1of1 (git commit N/A)</t>
  </si>
  <si>
    <t xml:space="preserve">BT:CAMS#e2d1of1 (git commit N/A)</t>
  </si>
  <si>
    <t xml:space="preserve">BT:CGPOWER#e1d1of1 (git commit N/A)</t>
  </si>
  <si>
    <t xml:space="preserve">BT:DALBHARAT#e4d1of1 (git commit N/A)</t>
  </si>
  <si>
    <t xml:space="preserve">BT:ICICIGI#e2d1of1 (git commit N/A)</t>
  </si>
  <si>
    <t xml:space="preserve">BT:LTM#e1d1of2 (git commit N/A)</t>
  </si>
  <si>
    <t xml:space="preserve">BT:PAGEIND#e2d1of1 (git commit N/A)</t>
  </si>
  <si>
    <t xml:space="preserve">BT:PATANJALI#e2d1of1 (git commit N/A)</t>
  </si>
  <si>
    <t xml:space="preserve">BT:PIIND#e1d1of1 (git commit N/A)</t>
  </si>
  <si>
    <t xml:space="preserve">BT:PNBHOUSING#e3d1of1 (git commit N/A)</t>
  </si>
  <si>
    <t xml:space="preserve">BT:PRESTIGE#e2d1of1 (git commit N/A)</t>
  </si>
  <si>
    <t xml:space="preserve">BT:SHREECEM#e1d1of1 (git commit N/A)</t>
  </si>
  <si>
    <t xml:space="preserve">BT:UNOMINDA#e5d1of1 (git commit N/A)</t>
  </si>
  <si>
    <t xml:space="preserve">BT:WIPRO#e3d1of1 (git commit N/A)</t>
  </si>
  <si>
    <t xml:space="preserve">2026-04-16</t>
  </si>
  <si>
    <t xml:space="preserve">BT:BAJAJHLDNG#e1d1of1 (git commit N/A)</t>
  </si>
  <si>
    <t xml:space="preserve">BHEL</t>
  </si>
  <si>
    <t xml:space="preserve">Bharat Heavy Electricals Limited</t>
  </si>
  <si>
    <t xml:space="preserve">BT:BHEL#e0d1of1 (git commit N/A)</t>
  </si>
  <si>
    <t xml:space="preserve">BT:LTM#e1d2of2 (git commit N/A)</t>
  </si>
  <si>
    <t xml:space="preserve">BT:POLICYBZR#e1d1of1 (git commit N/A)</t>
  </si>
  <si>
    <t xml:space="preserve">2026-04-17</t>
  </si>
  <si>
    <t xml:space="preserve">BT:360ONE#e3d1of1 (git commit N/A)</t>
  </si>
  <si>
    <t xml:space="preserve">ADANIENSOL</t>
  </si>
  <si>
    <t xml:space="preserve">Adani Energy Solutions Limited</t>
  </si>
  <si>
    <t xml:space="preserve">BT:ADANIENSOL#e0d1of1 (git commit N/A)</t>
  </si>
  <si>
    <t xml:space="preserve">BT:ASTRAL#e5d1of1 (git commit N/A)</t>
  </si>
  <si>
    <t xml:space="preserve">BT:CIPLA#e5d1of1 (git commit N/A)</t>
  </si>
  <si>
    <t xml:space="preserve">BT:DRREDDY#e1d1of1 (git commit N/A)</t>
  </si>
  <si>
    <t xml:space="preserve">BT:HDFCAMC#e4d1of1 (git commit N/A)</t>
  </si>
  <si>
    <t xml:space="preserve">HYUNDAI</t>
  </si>
  <si>
    <t xml:space="preserve">Hyundai Motor India Limited</t>
  </si>
  <si>
    <t xml:space="preserve">BT:HYUNDAI#e0d1of1 (git commit N/A)</t>
  </si>
  <si>
    <t xml:space="preserve">BT:ICICIPRULI#e6d1of1 (git commit N/A)</t>
  </si>
  <si>
    <t xml:space="preserve">BT:JIOFIN#e2d1of1 (git commit N/A)</t>
  </si>
  <si>
    <t xml:space="preserve">BT:NAM-INDIA#e3d1of1 (git commit N/A)</t>
  </si>
  <si>
    <t xml:space="preserve">BT:NHPC#e1d1of1 (git commit N/A)</t>
  </si>
  <si>
    <t xml:space="preserve">BT:PATANJALI#e3d1of1 (git commit N/A)</t>
  </si>
  <si>
    <t xml:space="preserve">BT:PIIND#e2d1of1 (git commit N/A)</t>
  </si>
  <si>
    <t xml:space="preserve">BT:PREMIERENE#e1d1of1 (git commit N/A)</t>
  </si>
  <si>
    <t xml:space="preserve">BT:SUPREMEIND#e3d1of1 (git commit N/A)</t>
  </si>
  <si>
    <t xml:space="preserve">VMM</t>
  </si>
  <si>
    <t xml:space="preserve">Vishal Mega Mart Limited</t>
  </si>
  <si>
    <t xml:space="preserve">BT:VMM#e0d1of1 (git commit N/A)</t>
  </si>
  <si>
    <t xml:space="preserve">2026-04-20</t>
  </si>
  <si>
    <t xml:space="preserve">OFSS</t>
  </si>
  <si>
    <t xml:space="preserve">Oracle Financial Services Software Limited</t>
  </si>
  <si>
    <t xml:space="preserve">BT:OFSS#e0d1of1 (git commit N/A)</t>
  </si>
  <si>
    <t xml:space="preserve">2026-04-21</t>
  </si>
  <si>
    <t xml:space="preserve">BT:HINDUNILVR#e3d1of1 (git commit N/A)</t>
  </si>
  <si>
    <t xml:space="preserve">BT:NAM-INDIA#e4d1of1 (git commit N/A)</t>
  </si>
  <si>
    <t xml:space="preserve">BT:PHOENIXLTD#e5d1of1 (git commit N/A)</t>
  </si>
  <si>
    <t xml:space="preserve">2026-04-29</t>
  </si>
  <si>
    <t xml:space="preserve">BT:LICHSGFIN#e2d1of1 (git commit N/A)</t>
  </si>
  <si>
    <t xml:space="preserve">BT:SUNPHARMA#e5d1of1 (git commit N/A)</t>
  </si>
  <si>
    <t xml:space="preserve">2026-04-30</t>
  </si>
  <si>
    <t xml:space="preserve">BT:CHOLAFIN#e3d1of1 (git commit N/A)</t>
  </si>
  <si>
    <t xml:space="preserve">BT:KOTAKBANK#e1d1of1 (git commit N/A)</t>
  </si>
  <si>
    <t xml:space="preserve">2026-05-04</t>
  </si>
  <si>
    <t xml:space="preserve">BT:360ONE#e4d1of1 (git commit N/A)</t>
  </si>
  <si>
    <t xml:space="preserve">BT:BAJAJFINSV#e2d1of1 (git commit N/A)</t>
  </si>
  <si>
    <t xml:space="preserve">BT:GMRAIRPORT#e5d1of1 (git commit N/A)</t>
  </si>
  <si>
    <t xml:space="preserve">BT:KEI#e3d1of1 (git commit N/A)</t>
  </si>
  <si>
    <t xml:space="preserve">BT:LAURUSLABS#e2d1of1 (git commit N/A)</t>
  </si>
  <si>
    <t xml:space="preserve">2026-05-05</t>
  </si>
  <si>
    <t xml:space="preserve">BT:GLENMARK#e3d1of1 (git commit N/A)</t>
  </si>
  <si>
    <t xml:space="preserve">BT:NUVAMA#e2d1of1 (git commit N/A)</t>
  </si>
  <si>
    <t xml:space="preserve">2026-05-06</t>
  </si>
  <si>
    <t xml:space="preserve">BT:360ONE#e5d1of1 (git commit N/A)</t>
  </si>
  <si>
    <t xml:space="preserve">BT:BANKBARODA#e2d1of1 (git commit N/A)</t>
  </si>
  <si>
    <t xml:space="preserve">BT:HDFCLIFE#e4d1of2 (git commit N/A)</t>
  </si>
  <si>
    <t xml:space="preserve">BT:HINDPETRO#e3d1of1 (git commit N/A)</t>
  </si>
  <si>
    <t xml:space="preserve">HINDZINC</t>
  </si>
  <si>
    <t xml:space="preserve">Hindustan Zinc Limited</t>
  </si>
  <si>
    <t xml:space="preserve">BT:HINDZINC#e0d1of1 (git commit N/A)</t>
  </si>
  <si>
    <t xml:space="preserve">BT:IDFCFIRSTB#e1d1of1 (git commit N/A)</t>
  </si>
  <si>
    <t xml:space="preserve">BT:LAURUSLABS#e3d1of2 (git commit N/A)</t>
  </si>
  <si>
    <t xml:space="preserve">BT:LUPIN#e4d1of1 (git commit N/A)</t>
  </si>
  <si>
    <t xml:space="preserve">BT:POLYCAB#e2d1of1 (git commit N/A)</t>
  </si>
  <si>
    <t xml:space="preserve">SBICARD</t>
  </si>
  <si>
    <t xml:space="preserve">SBI Cards and Payment Services Limited</t>
  </si>
  <si>
    <t xml:space="preserve">BT:SBICARD#e0d1of1 (git commit N/A)</t>
  </si>
  <si>
    <t xml:space="preserve">BT:SHREECEM#e2d1of1 (git commit N/A)</t>
  </si>
  <si>
    <t xml:space="preserve">2026-05-07</t>
  </si>
  <si>
    <t xml:space="preserve">BT:GMRAIRPORT#e6d1of1 (git commit N/A)</t>
  </si>
  <si>
    <t xml:space="preserve">BT:HDFCLIFE#e4d2of2 (git commit N/A)</t>
  </si>
  <si>
    <t xml:space="preserve">BT:LAURUSLABS#e3d2of2 (git commit N/A)</t>
  </si>
  <si>
    <t xml:space="preserve">BT:MARUTI#e1d1of1 (git commit N/A)</t>
  </si>
  <si>
    <t xml:space="preserve">BT:NUVAMA#e3d1of1 (git commit N/A)</t>
  </si>
  <si>
    <t xml:space="preserve">BT:PIDILITIND#e5d1of1 (git commit N/A)</t>
  </si>
  <si>
    <t xml:space="preserve">2026-05-08</t>
  </si>
  <si>
    <t xml:space="preserve">BT:FORTIS#e1d1of1 (git commit N/A)</t>
  </si>
  <si>
    <t xml:space="preserve">BT:TATACONSUM#e5d1of1 (git commit N/A)</t>
  </si>
  <si>
    <t xml:space="preserve">2026-05-11</t>
  </si>
  <si>
    <t xml:space="preserve">BT:BIOCON#e7d1of1 (git commit N/A)</t>
  </si>
  <si>
    <t xml:space="preserve">BT:MANKIND#e5d1of1 (git commit N/A)</t>
  </si>
  <si>
    <t xml:space="preserve">BT:SONACOMS#e5d1of1 (git commit N/A)</t>
  </si>
  <si>
    <t xml:space="preserve">2026-05-12</t>
  </si>
  <si>
    <t xml:space="preserve">BT:VEDL#e2d1of1 (git commit N/A)</t>
  </si>
  <si>
    <t xml:space="preserve">2026-05-13</t>
  </si>
  <si>
    <t xml:space="preserve">BT:AUROPHARMA#e4d1of1 (git commit N/A)</t>
  </si>
  <si>
    <t xml:space="preserve">BT:DIVISLAB#e3d1of1 (git commit N/A)</t>
  </si>
  <si>
    <t xml:space="preserve">BT:GRASIM#e3d1of1 (git commit N/A)</t>
  </si>
  <si>
    <t xml:space="preserve">BT:LICHSGFIN#e3d1of1 (git commit N/A)</t>
  </si>
  <si>
    <t xml:space="preserve">BT:MUTHOOTFIN#e2d1of1 (git commit N/A)</t>
  </si>
  <si>
    <t xml:space="preserve">BT:NMDC#e5d1of1 (git commit N/A)</t>
  </si>
  <si>
    <t xml:space="preserve">BT:PATANJALI#e4d1of1 (git commit N/A)</t>
  </si>
  <si>
    <t xml:space="preserve">2026-05-14</t>
  </si>
  <si>
    <t xml:space="preserve">BT:BIOCON#e8d1of1 (git commit N/A)</t>
  </si>
  <si>
    <t xml:space="preserve">BT:IDFCFIRSTB#e2d1of1 (git commit N/A)</t>
  </si>
  <si>
    <t xml:space="preserve">BT:NYKAA#e2d1of1 (git commit N/A)</t>
  </si>
  <si>
    <t xml:space="preserve">2026-05-15</t>
  </si>
  <si>
    <t xml:space="preserve">BT:DELHIVERY#e9d1of1 (git commit N/A)</t>
  </si>
  <si>
    <t xml:space="preserve">BT:MANKIND#e6d1of1 (git commit N/A)</t>
  </si>
  <si>
    <t xml:space="preserve">2026-05-18</t>
  </si>
  <si>
    <t xml:space="preserve">BT:POLICYBZR#e2d1of3 (git commit N/A)</t>
  </si>
  <si>
    <t xml:space="preserve">2026-05-19</t>
  </si>
  <si>
    <t xml:space="preserve">BT:INFY#e2d1of1 (git commit N/A)</t>
  </si>
  <si>
    <t xml:space="preserve">BT:MOTHERSON#e4d1of1 (git commit N/A)</t>
  </si>
  <si>
    <t xml:space="preserve">BT:POLICYBZR#e2d2of3 (git commit N/A)</t>
  </si>
  <si>
    <t xml:space="preserve">BT:TCS#e2d1of1 (git commit N/A)</t>
  </si>
  <si>
    <t xml:space="preserve">BT:TECHM#e6d1of1 (git commit N/A)</t>
  </si>
  <si>
    <t xml:space="preserve">2026-05-20</t>
  </si>
  <si>
    <t xml:space="preserve">BT:ABCAPITAL#e1d1of1 (git commit N/A)</t>
  </si>
  <si>
    <t xml:space="preserve">BT:POLICYBZR#e2d3of3 (git commit N/A)</t>
  </si>
  <si>
    <t xml:space="preserve">BT:TIINDIA#e2d1of1 (git commit N/A)</t>
  </si>
  <si>
    <t xml:space="preserve">2026-05-27</t>
  </si>
  <si>
    <t xml:space="preserve">GVT&amp;D</t>
  </si>
  <si>
    <t xml:space="preserve">GE Vernova T&amp;D India Limited</t>
  </si>
  <si>
    <t xml:space="preserve">BT:GVT&amp;D#e0d1of2 (git commit N/A)</t>
  </si>
  <si>
    <t xml:space="preserve">BT:HAVELLS#e3d1of1 (git commit N/A)</t>
  </si>
  <si>
    <t xml:space="preserve">JSWENERGY</t>
  </si>
  <si>
    <t xml:space="preserve">JSW Energy Limited</t>
  </si>
  <si>
    <t xml:space="preserve">BT:JSWENERGY#e0d1of1 (git commit N/A)</t>
  </si>
  <si>
    <t xml:space="preserve">BT:MOTHERSON#e5d1of2 (git commit N/A)</t>
  </si>
  <si>
    <t xml:space="preserve">SUZLON</t>
  </si>
  <si>
    <t xml:space="preserve">Suzlon Energy Limited</t>
  </si>
  <si>
    <t xml:space="preserve">BT:SUZLON#e0d1of1 (git commit N/A)</t>
  </si>
  <si>
    <t xml:space="preserve">2026-05-29</t>
  </si>
  <si>
    <t xml:space="preserve">BT:ALKEM#e5d1of1 (git commit N/A)</t>
  </si>
  <si>
    <t xml:space="preserve">BT:BHARATFORG#e3d1of1 (git commit N/A)</t>
  </si>
  <si>
    <t xml:space="preserve">BT:GMRAIRPORT#e7d1of1 (git commit N/A)</t>
  </si>
  <si>
    <t xml:space="preserve">BT:GVT&amp;D#e0d2of2 (git commit N/A)</t>
  </si>
  <si>
    <t xml:space="preserve">BT:HCLTECH#e4d1of1 (git commit N/A)</t>
  </si>
  <si>
    <t xml:space="preserve">IREDA</t>
  </si>
  <si>
    <t xml:space="preserve">Indian Renewable Energy Development Agency Limited</t>
  </si>
  <si>
    <t xml:space="preserve">BT:IREDA#e0d1of1 (git commit N/A)</t>
  </si>
  <si>
    <t xml:space="preserve">BT:LTF#e1d1of1 (git commit N/A)</t>
  </si>
  <si>
    <t xml:space="preserve">BT:MOTHERSON#e5d2of2 (git commit N/A)</t>
  </si>
  <si>
    <t xml:space="preserve">BT:MPHASIS#e1d1of1 (git commit N/A)</t>
  </si>
  <si>
    <t xml:space="preserve">BT:MUTHOOTFIN#e3d1of1 (git commit N/A)</t>
  </si>
  <si>
    <t xml:space="preserve">OBEROIRLTY</t>
  </si>
  <si>
    <t xml:space="preserve">Oberoi Realty Limited</t>
  </si>
  <si>
    <t xml:space="preserve">BT:OBEROIRLTY#e0d1of1 (git commit N/A)</t>
  </si>
  <si>
    <t xml:space="preserve">RADICO</t>
  </si>
  <si>
    <t xml:space="preserve">Radico Khaitan Limited</t>
  </si>
  <si>
    <t xml:space="preserve">BT:RADICO#e0d1of1 (git commit N/A)</t>
  </si>
  <si>
    <t xml:space="preserve">BT:TECHM#e7d1of1 (git commit N/A)</t>
  </si>
  <si>
    <t xml:space="preserve">BT:YESBANK#e2d1of1 (git commit N/A)</t>
  </si>
  <si>
    <t xml:space="preserve">2026-06-01</t>
  </si>
  <si>
    <t xml:space="preserve">BT:COALINDIA#e3d1of1 (git commit N/A)</t>
  </si>
  <si>
    <t xml:space="preserve">COFORGE</t>
  </si>
  <si>
    <t xml:space="preserve">Coforge Limited</t>
  </si>
  <si>
    <t xml:space="preserve">BT:COFORGE#e0d1of2 (git commit N/A)</t>
  </si>
  <si>
    <t xml:space="preserve">2026-06-02</t>
  </si>
  <si>
    <t xml:space="preserve">BT:COFORGE#e0d2of2 (git commit N/A)</t>
  </si>
  <si>
    <t xml:space="preserve">BT:CUMMINSIND#e3d1of1 (git commit N/A)</t>
  </si>
  <si>
    <t xml:space="preserve">BT:GVT&amp;D#e1d1of1 (git commit N/A)</t>
  </si>
  <si>
    <t xml:space="preserve">BT:VBL#e1d1of1 (git commit N/A)</t>
  </si>
  <si>
    <t xml:space="preserve">BT:WIPRO#e4d1of1 (git commit N/A)</t>
  </si>
  <si>
    <t xml:space="preserve">2026-06-03</t>
  </si>
  <si>
    <t xml:space="preserve">BT:CANBK#e1d1of1 (git commit N/A)</t>
  </si>
  <si>
    <t xml:space="preserve">BT:SBIN#e6d1of1 (git commit N/A)</t>
  </si>
  <si>
    <t xml:space="preserve">2026-06-05</t>
  </si>
  <si>
    <t xml:space="preserve">BT:ETERNAL#e3d1of1 (git commit N/A)</t>
  </si>
  <si>
    <t xml:space="preserve">BT:PFC#e3d1of1 (git commit N/A)</t>
  </si>
  <si>
    <t xml:space="preserve">BT:VMM#e1d1of1 (git commit N/A)</t>
  </si>
  <si>
    <t xml:space="preserve">2026-06-09</t>
  </si>
  <si>
    <t xml:space="preserve">BT:APOLLOHOSP#e2d1of1 (git commit N/A)</t>
  </si>
  <si>
    <t xml:space="preserve">BT:BANKBARODA#e3d1of1 (git commit N/A)</t>
  </si>
  <si>
    <t xml:space="preserve">BT:BANKINDIA#e1d1of1 (git commit N/A)</t>
  </si>
  <si>
    <t xml:space="preserve">BT:CANBK#e2d1of1 (git commit N/A)</t>
  </si>
  <si>
    <t xml:space="preserve">BT:DIVISLAB#e4d1of1 (git commit N/A)</t>
  </si>
  <si>
    <t xml:space="preserve">BT:NAM-INDIA#e5d1of1 (git commit N/A)</t>
  </si>
  <si>
    <t xml:space="preserve">2026-06-10</t>
  </si>
  <si>
    <t xml:space="preserve">BT:PHOENIXLTD#e6d1of1 (git commit N/A)</t>
  </si>
  <si>
    <t xml:space="preserve">2026-06-12</t>
  </si>
  <si>
    <t xml:space="preserve">BT:BAJAJFINSV#e3d1of1 (git commit N/A)</t>
  </si>
  <si>
    <t xml:space="preserve">BT:CHOLAFIN#e4d1of1 (git commit N/A)</t>
  </si>
  <si>
    <t xml:space="preserve">BT:CROMPTON#e2d1of1 (git commit N/A)</t>
  </si>
  <si>
    <t xml:space="preserve">INDIGO</t>
  </si>
  <si>
    <t xml:space="preserve">InterGlobe Aviation Limited</t>
  </si>
  <si>
    <t xml:space="preserve">BT:INDIGO#e0d1of1 (git commit N/A)</t>
  </si>
  <si>
    <t xml:space="preserve">BT:INDUSINDBK#e3d1of1 (git commit N/A)</t>
  </si>
  <si>
    <t xml:space="preserve">BT:MARUTI#e2d1of1 (git commit N/A)</t>
  </si>
  <si>
    <t xml:space="preserve">BT:OBEROIRLTY#e1d1of3 (git commit N/A)</t>
  </si>
  <si>
    <t xml:space="preserve">BT:PIDILITIND#e6d1of2 (git commit N/A)</t>
  </si>
  <si>
    <t xml:space="preserve">BT:PNBHOUSING#e4d1of1 (git commit N/A)</t>
  </si>
  <si>
    <t xml:space="preserve">BT:TVSMOTOR#e1d1of1 (git commit N/A)</t>
  </si>
  <si>
    <t xml:space="preserve">2026-06-15</t>
  </si>
  <si>
    <t xml:space="preserve">BT:360ONE#e6d1of1 (git commit N/A)</t>
  </si>
  <si>
    <t xml:space="preserve">BT:APLAPOLLO#e4d1of1 (git commit N/A)</t>
  </si>
  <si>
    <t xml:space="preserve">BT:DALBHARAT#e5d1of1 (git commit N/A)</t>
  </si>
  <si>
    <t xml:space="preserve">BT:DLF#e2d1of1 (git commit N/A)</t>
  </si>
  <si>
    <t xml:space="preserve">BT:GAIL#e3d1of1 (git commit N/A)</t>
  </si>
  <si>
    <t xml:space="preserve">BT:IOC#e11d1of1 (git commit N/A)</t>
  </si>
  <si>
    <t xml:space="preserve">BT:JIOFIN#e3d1of1 (git commit N/A)</t>
  </si>
  <si>
    <t xml:space="preserve">BT:OBEROIRLTY#e1d2of3 (git commit N/A)</t>
  </si>
  <si>
    <t xml:space="preserve">BT:PHOENIXLTD#e7d1of1 (git commit N/A)</t>
  </si>
  <si>
    <t xml:space="preserve">BT:PIDILITIND#e6d2of2 (git commit N/A)</t>
  </si>
  <si>
    <t xml:space="preserve">BT:PRESTIGE#e3d1of1 (git commit N/A)</t>
  </si>
  <si>
    <t xml:space="preserve">BT:TATAPOWER#e2d1of1 (git commit N/A)</t>
  </si>
  <si>
    <t xml:space="preserve">BT:VBL#e2d1of1 (git commit N/A)</t>
  </si>
  <si>
    <t xml:space="preserve">2026-06-16</t>
  </si>
  <si>
    <t xml:space="preserve">BT:COLPAL#e1d1of1 (git commit N/A)</t>
  </si>
  <si>
    <t xml:space="preserve">BT:OBEROIRLTY#e1d3of3 (git commit N/A)</t>
  </si>
  <si>
    <t xml:space="preserve">BT:SRF#e5d1of1 (git commit N/A)</t>
  </si>
  <si>
    <t xml:space="preserve">2026-06-17</t>
  </si>
  <si>
    <t xml:space="preserve">BT:ADANIPORTS#e2d1of1 (git commit N/A)</t>
  </si>
  <si>
    <t xml:space="preserve">BT:BEL#e1d1of1 (git commit N/A)</t>
  </si>
  <si>
    <t xml:space="preserve">BT:CANBK#e3d1of1 (git commit N/A)</t>
  </si>
  <si>
    <t xml:space="preserve">BT:ICICIGI#e3d1of1 (git commit N/A)</t>
  </si>
  <si>
    <t xml:space="preserve">BT:MPHASIS#e2d1of1 (git commit N/A)</t>
  </si>
  <si>
    <t xml:space="preserve">BT:NYKAA#e3d1of1 (git commit N/A)</t>
  </si>
  <si>
    <t xml:space="preserve">2026-06-18</t>
  </si>
  <si>
    <t xml:space="preserve">BT:DLF#e3d1of1 (git commit N/A)</t>
  </si>
  <si>
    <t xml:space="preserve">BT:RADICO#e1d1of1 (git commit N/A)</t>
  </si>
  <si>
    <t xml:space="preserve">2026-06-19</t>
  </si>
  <si>
    <t xml:space="preserve">BT:360ONE#e7d1of1 (git commit N/A)</t>
  </si>
  <si>
    <t xml:space="preserve">BT:BAJFINANCE#e2d1of1 (git commit N/A)</t>
  </si>
  <si>
    <t xml:space="preserve">BT:BHARATFORG#e4d1of1 (git commit N/A)</t>
  </si>
  <si>
    <t xml:space="preserve">BT:GVT&amp;D#e2d1of1 (git commit N/A)</t>
  </si>
  <si>
    <t xml:space="preserve">BT:NYKAA#e4d1of1 (git commit N/A)</t>
  </si>
  <si>
    <t xml:space="preserve">TRENT</t>
  </si>
  <si>
    <t xml:space="preserve">Trent Limited</t>
  </si>
  <si>
    <t xml:space="preserve">BT:TRENT#e0d1of1 (git commit N/A)</t>
  </si>
  <si>
    <t xml:space="preserve">2026-06-22</t>
  </si>
  <si>
    <t xml:space="preserve">BT:BAJAJ-AUTO#e2d1of1 (git commit N/A)</t>
  </si>
  <si>
    <t xml:space="preserve">BT:ICICIPRULI#e7d1of1 (git commit N/A)</t>
  </si>
  <si>
    <t xml:space="preserve">BT:PFC#e4d1of1 (git commit N/A)</t>
  </si>
  <si>
    <t xml:space="preserve">BT:POLICYBZR#e3d1of1 (git commit N/A)</t>
  </si>
  <si>
    <t xml:space="preserve">2026-06-23</t>
  </si>
  <si>
    <t xml:space="preserve">BT:BHARATFORG#e5d1of1 (git commit N/A)</t>
  </si>
  <si>
    <t xml:space="preserve">2026-06-30</t>
  </si>
  <si>
    <t xml:space="preserve">BT:ALKEM#e6d1of1 (git commit N/A)</t>
  </si>
  <si>
    <t xml:space="preserve">BT:MARUTI#e3d1of1 (git commit N/A)</t>
  </si>
  <si>
    <t xml:space="preserve">2026-07-01</t>
  </si>
  <si>
    <t xml:space="preserve">BT:ADANIENT#e1d1of1 (git commit N/A)</t>
  </si>
  <si>
    <t xml:space="preserve">BT:BAJAJFINSV#e4d1of1 (git commit N/A)</t>
  </si>
  <si>
    <t xml:space="preserve">BT:BAJAJHLDNG#e2d1of1 (git commit N/A)</t>
  </si>
  <si>
    <t xml:space="preserve">BT:BRITANNIA#e5d1of2 (git commit N/A)</t>
  </si>
  <si>
    <t xml:space="preserve">2026-07-02</t>
  </si>
  <si>
    <t xml:space="preserve">BT:BRITANNIA#e5d2of2 (git commit N/A)</t>
  </si>
  <si>
    <t xml:space="preserve">BT:CAMS#e3d1of1 (git commit N/A)</t>
  </si>
  <si>
    <t xml:space="preserve">BT:DABUR#e2d1of1 (git commit N/A)</t>
  </si>
  <si>
    <t xml:space="preserve">BT:DELHIVERY#e10d1of1 (git commit N/A)</t>
  </si>
  <si>
    <t xml:space="preserve">BT:DLF#e4d1of2 (git commit N/A)</t>
  </si>
  <si>
    <t xml:space="preserve">BT:HINDUNILVR#e4d1of1 (git commit N/A)</t>
  </si>
  <si>
    <t xml:space="preserve">BT:IOC#e12d1of1 (git commit N/A)</t>
  </si>
  <si>
    <t xml:space="preserve">BT:TATACONSUM#e6d1of1 (git commit N/A)</t>
  </si>
  <si>
    <t xml:space="preserve">2026-07-03</t>
  </si>
  <si>
    <t xml:space="preserve">BT:ALKEM#e7d1of1 (git commit N/A)</t>
  </si>
  <si>
    <t xml:space="preserve">BT:BIOCON#e9d1of1 (git commit N/A)</t>
  </si>
  <si>
    <t xml:space="preserve">BT:DLF#e4d2of2 (git commit N/A)</t>
  </si>
  <si>
    <t xml:space="preserve">BT:LAURUSLABS#e4d1of1 (git commit N/A)</t>
  </si>
  <si>
    <t xml:space="preserve">BT:PHOENIXLTD#e8d1of1 (git commit N/A)</t>
  </si>
  <si>
    <t xml:space="preserve">BT:PNBHOUSING#e5d1of1 (git commit N/A)</t>
  </si>
  <si>
    <t xml:space="preserve">ZYDUSLIFE</t>
  </si>
  <si>
    <t xml:space="preserve">Zydus Lifesciences Limited</t>
  </si>
  <si>
    <t xml:space="preserve">BT:ZYDUSLIFE#e0d1of1 (git commit N/A)</t>
  </si>
  <si>
    <t xml:space="preserve">2026-07-06</t>
  </si>
  <si>
    <t xml:space="preserve">BT:AUBANK#e4d1of1 (git commit N/A)</t>
  </si>
  <si>
    <t xml:space="preserve">BT:CHOLAFIN#e5d1of1 (git commit N/A)</t>
  </si>
  <si>
    <t xml:space="preserve">BT:LODHA#e5d1of1 (git commit N/A)</t>
  </si>
  <si>
    <t xml:space="preserve">BT:MUTHOOTFIN#e4d1of1 (git commit N/A)</t>
  </si>
  <si>
    <t xml:space="preserve">BT:OBEROIRLTY#e2d1of1 (git commit N/A)</t>
  </si>
  <si>
    <t xml:space="preserve">BT:ONGC#e1d1of1 (git commit N/A)</t>
  </si>
  <si>
    <t xml:space="preserve">BT:UNITDSPR#e1d1of1 (git commit N/A)</t>
  </si>
  <si>
    <t xml:space="preserve">2026-07-07</t>
  </si>
  <si>
    <t xml:space="preserve">BT:ALKEM#e8d1of1 (git commit N/A)</t>
  </si>
  <si>
    <t xml:space="preserve">BT:HINDUNILVR#e5d1of1 (git commit N/A)</t>
  </si>
  <si>
    <t xml:space="preserve">BT:IOC#e13d1of1 (git commit N/A)</t>
  </si>
  <si>
    <t xml:space="preserve">BT:PETRONET#e4d1of1 (git commit N/A)</t>
  </si>
  <si>
    <t xml:space="preserve">BT:VOLTAS#e2d1of1 (git commit N/A)</t>
  </si>
  <si>
    <t xml:space="preserve">2026-07-08</t>
  </si>
  <si>
    <t xml:space="preserve">BT:ICICIGI#e4d1of1 (git commit N/A)</t>
  </si>
  <si>
    <t xml:space="preserve">2026-07-09</t>
  </si>
  <si>
    <t xml:space="preserve">BT:APOLLOHOSP#e3d1of1 (git commit N/A)</t>
  </si>
  <si>
    <t xml:space="preserve">BT:BHARTIARTL#e1d1of1 (git commit N/A)</t>
  </si>
  <si>
    <t xml:space="preserve">BT:HDFCAMC#e5d1of1 (git commit N/A)</t>
  </si>
  <si>
    <t xml:space="preserve">BT:HINDUNILVR#e6d1of1 (git commit N/A)</t>
  </si>
  <si>
    <t xml:space="preserve">KFINTECH</t>
  </si>
  <si>
    <t xml:space="preserve">Kfin Technologies Limited</t>
  </si>
  <si>
    <t xml:space="preserve">BT:KFINTECH#e0d1of1 (git commit N/A)</t>
  </si>
  <si>
    <t xml:space="preserve">MOTILALOFS</t>
  </si>
  <si>
    <t xml:space="preserve">Motilal Oswal Financial Services Limited</t>
  </si>
  <si>
    <t xml:space="preserve">BT:MOTILALOFS#e0d1of1 (git commit N/A)</t>
  </si>
  <si>
    <t xml:space="preserve">2026-07-10</t>
  </si>
  <si>
    <t xml:space="preserve">BT:360ONE#e8d1of1 (git commit N/A)</t>
  </si>
  <si>
    <t xml:space="preserve">BT:DELHIVERY#e11d1of1 (git commit N/A)</t>
  </si>
  <si>
    <t xml:space="preserve">BT:DLF#e5d1of1 (git commit N/A)</t>
  </si>
  <si>
    <t xml:space="preserve">BT:ICICIPRULI#e8d1of1 (git commit N/A)</t>
  </si>
  <si>
    <t xml:space="preserve">INOXWIND</t>
  </si>
  <si>
    <t xml:space="preserve">Inox Wind Limited</t>
  </si>
  <si>
    <t xml:space="preserve">BT:INOXWIND#e0d1of1 (git commit N/A)</t>
  </si>
  <si>
    <t xml:space="preserve">2026-07-13</t>
  </si>
  <si>
    <t xml:space="preserve">BT:BAJAJ-AUTO#e3d1of1 (git commit N/A)</t>
  </si>
  <si>
    <t xml:space="preserve">BT:INFY#e3d1of1 (git commit N/A)</t>
  </si>
  <si>
    <t xml:space="preserve">BT:TORNTPHARM#e4d1of3 (git commit N/A)</t>
  </si>
  <si>
    <t xml:space="preserve">2026-07-14</t>
  </si>
  <si>
    <t xml:space="preserve">BT:ALKEM#e9d1of1 (git commit N/A)</t>
  </si>
  <si>
    <t xml:space="preserve">BT:OIL#e1d1of1 (git commit N/A)</t>
  </si>
  <si>
    <t xml:space="preserve">BT:SBICARD#e1d1of1 (git commit N/A)</t>
  </si>
  <si>
    <t xml:space="preserve">BT:TORNTPHARM#e4d2of3 (git commit N/A)</t>
  </si>
  <si>
    <t xml:space="preserve">2026-07-15</t>
  </si>
  <si>
    <t xml:space="preserve">BT:BHEL#e1d1of1 (git commit N/A)</t>
  </si>
  <si>
    <t xml:space="preserve">BT:DIVISLAB#e5d1of1 (git commit N/A)</t>
  </si>
  <si>
    <t xml:space="preserve">BT:HDFCAMC#e6d1of1 (git commit N/A)</t>
  </si>
  <si>
    <t xml:space="preserve">BT:IOC#e14d1of2 (git commit N/A)</t>
  </si>
  <si>
    <t xml:space="preserve">BT:PIDILITIND#e7d1of1 (git commit N/A)</t>
  </si>
  <si>
    <t xml:space="preserve">BT:TORNTPHARM#e4d3of3 (git commit N/A)</t>
  </si>
  <si>
    <t xml:space="preserve">BT:ULTRACEMCO#e1d1of1 (git commit N/A)</t>
  </si>
  <si>
    <t xml:space="preserve">2026-07-16</t>
  </si>
  <si>
    <t xml:space="preserve">BT:CROMPTON#e3d1of1 (git commit N/A)</t>
  </si>
  <si>
    <t xml:space="preserve">BT:CUMMINSIND#e4d1of1 (git commit N/A)</t>
  </si>
  <si>
    <t xml:space="preserve">BT:IOC#e14d2of2 (git commit N/A)</t>
  </si>
  <si>
    <t xml:space="preserve">BT:SONACOMS#e6d1of1 (git commit N/A)</t>
  </si>
  <si>
    <t xml:space="preserve">2026-07-17</t>
  </si>
  <si>
    <t xml:space="preserve">BT:COLPAL#e2d1of1 (git commit N/A)</t>
  </si>
  <si>
    <t xml:space="preserve">BT:PIDILITIND#e8d1of1 (git commit N/A)</t>
  </si>
  <si>
    <t xml:space="preserve">2026-07-20</t>
  </si>
  <si>
    <t xml:space="preserve">BT:BPCL#e4d1of1 (git commit N/A)</t>
  </si>
  <si>
    <t xml:space="preserve">BT:MANAPPURAM#e2d1of1 (git commit N/A)</t>
  </si>
  <si>
    <t xml:space="preserve">BT:RADICO#e2d1of1 (git commit N/A)</t>
  </si>
  <si>
    <t xml:space="preserve">2026-07-28</t>
  </si>
  <si>
    <t xml:space="preserve">BT:TCS#e3d1of1 (git commit N/A)</t>
  </si>
  <si>
    <t xml:space="preserve">2026-07-29</t>
  </si>
  <si>
    <t xml:space="preserve">AXISBANK</t>
  </si>
  <si>
    <t xml:space="preserve">Axis Bank Limited</t>
  </si>
  <si>
    <t xml:space="preserve">BT:AXISBANK#e0d1of1 (git commit N/A)</t>
  </si>
  <si>
    <t xml:space="preserve">BT:BRITANNIA#e6d1of1 (git commit N/A)</t>
  </si>
  <si>
    <t xml:space="preserve">BT:CIPLA#e6d1of1 (git commit N/A)</t>
  </si>
  <si>
    <t xml:space="preserve">BT:LICHSGFIN#e4d1of1 (git commit N/A)</t>
  </si>
  <si>
    <t xml:space="preserve">BT:LUPIN#e5d1of1 (git commit N/A)</t>
  </si>
  <si>
    <t xml:space="preserve">BT:MFSL#e6d1of1 (git commit N/A)</t>
  </si>
  <si>
    <t xml:space="preserve">BT:PFC#e5d1of1 (git commit N/A)</t>
  </si>
  <si>
    <t xml:space="preserve">BT:RECLTD#e2d1of1 (git commit N/A)</t>
  </si>
  <si>
    <t xml:space="preserve">2026-07-30</t>
  </si>
  <si>
    <t xml:space="preserve">BT:COALINDIA#e4d1of1 (git commit N/A)</t>
  </si>
  <si>
    <t xml:space="preserve">BT:DIVISLAB#e6d1of2 (git commit N/A)</t>
  </si>
  <si>
    <t xml:space="preserve">BT:NYKAA#e5d1of1 (git commit N/A)</t>
  </si>
  <si>
    <t xml:space="preserve">BT:TECHM#e8d1of1 (git commit N/A)</t>
  </si>
  <si>
    <t xml:space="preserve">2026-07-31</t>
  </si>
  <si>
    <t xml:space="preserve">BT:AUBANK#e5d1of1 (git commit N/A)</t>
  </si>
  <si>
    <t xml:space="preserve">BT:BHARATFORG#e6d1of1 (git commit N/A)</t>
  </si>
  <si>
    <t xml:space="preserve">BT:CHOLAFIN#e6d1of2 (git commit N/A)</t>
  </si>
  <si>
    <t xml:space="preserve">BT:DIVISLAB#e6d2of2 (git commit N/A)</t>
  </si>
  <si>
    <t xml:space="preserve">BT:HDFCLIFE#e5d1of1 (git commit N/A)</t>
  </si>
  <si>
    <t xml:space="preserve">BT:HINDALCO#e3d1of2 (git commit N/A)</t>
  </si>
  <si>
    <t xml:space="preserve">BT:JIOFIN#e4d1of1 (git commit N/A)</t>
  </si>
  <si>
    <t xml:space="preserve">BT:MANAPPURAM#e3d1of1 (git commit N/A)</t>
  </si>
  <si>
    <t xml:space="preserve">BT:MOTHERSON#e6d1of1 (git commit N/A)</t>
  </si>
  <si>
    <t xml:space="preserve">BT:MUTHOOTFIN#e5d1of1 (git commit N/A)</t>
  </si>
  <si>
    <t xml:space="preserve">TATASTEEL</t>
  </si>
  <si>
    <t xml:space="preserve">Tata Steel Limited</t>
  </si>
  <si>
    <t xml:space="preserve">BT:TATASTEEL#e0d1of2 (git commit N/A)</t>
  </si>
  <si>
    <t xml:space="preserve">2026-08-03</t>
  </si>
  <si>
    <t xml:space="preserve">BT:APLAPOLLO#e5d1of1 (git commit N/A)</t>
  </si>
  <si>
    <t xml:space="preserve">BT:BLUESTARCO#e4d1of1 (git commit N/A)</t>
  </si>
  <si>
    <t xml:space="preserve">BT:CHOLAFIN#e6d2of2 (git commit N/A)</t>
  </si>
  <si>
    <t xml:space="preserve">BT:HINDALCO#e3d2of2 (git commit N/A)</t>
  </si>
  <si>
    <t xml:space="preserve">BT:MARICO#e1d1of1 (git commit N/A)</t>
  </si>
  <si>
    <t xml:space="preserve">BT:TATASTEEL#e0d2of2 (git commit N/A)</t>
  </si>
  <si>
    <t xml:space="preserve">2026-08-04</t>
  </si>
  <si>
    <t xml:space="preserve">BT:AUROPHARMA#e5d1of2 (git commit N/A)</t>
  </si>
  <si>
    <t xml:space="preserve">BT:HEROMOTOCO#e3d1of1 (git commit N/A)</t>
  </si>
  <si>
    <t xml:space="preserve">BT:NAM-INDIA#e6d1of2 (git commit N/A)</t>
  </si>
  <si>
    <t xml:space="preserve">BT:NMDC#e6d1of2 (git commit N/A)</t>
  </si>
  <si>
    <t xml:space="preserve">2026-08-05</t>
  </si>
  <si>
    <t xml:space="preserve">BT:360ONE#e9d1of1 (git commit N/A)</t>
  </si>
  <si>
    <t xml:space="preserve">BT:AMBUJACEM#e2d1of1 (git commit N/A)</t>
  </si>
  <si>
    <t xml:space="preserve">BT:AUROPHARMA#e5d2of2 (git commit N/A)</t>
  </si>
  <si>
    <t xml:space="preserve">BT:GAIL#e4d1of1 (git commit N/A)</t>
  </si>
  <si>
    <t xml:space="preserve">BT:GODREJCP#e2d1of1 (git commit N/A)</t>
  </si>
  <si>
    <t xml:space="preserve">BT:HDFCLIFE#e6d1of1 (git commit N/A)</t>
  </si>
  <si>
    <t xml:space="preserve">BT:ICICIGI#e5d1of1 (git commit N/A)</t>
  </si>
  <si>
    <t xml:space="preserve">BT:JSWSTEEL#e6d1of1 (git commit N/A)</t>
  </si>
  <si>
    <t xml:space="preserve">BT:JUBLFOOD#e1d1of1 (git commit N/A)</t>
  </si>
  <si>
    <t xml:space="preserve">BT:NAM-INDIA#e6d2of2 (git commit N/A)</t>
  </si>
  <si>
    <t xml:space="preserve">BT:NMDC#e6d2of2 (git commit N/A)</t>
  </si>
  <si>
    <t xml:space="preserve">BT:NTPC#e7d1of1 (git commit N/A)</t>
  </si>
  <si>
    <t xml:space="preserve">BT:PIIND#e3d1of1 (git commit N/A)</t>
  </si>
  <si>
    <t xml:space="preserve">BT:SAIL#e4d1of1 (git commit N/A)</t>
  </si>
  <si>
    <t xml:space="preserve">BT:VEDL#e3d1of1 (git commit N/A)</t>
  </si>
  <si>
    <t xml:space="preserve">2026-08-06</t>
  </si>
  <si>
    <t xml:space="preserve">BANDHANBNK</t>
  </si>
  <si>
    <t xml:space="preserve">Bandhan Bank Limited</t>
  </si>
  <si>
    <t xml:space="preserve">BT:BANDHANBNK#e0d1of1 (git commit N/A)</t>
  </si>
  <si>
    <t xml:space="preserve">BT:CHOLAFIN#e7d1of1 (git commit N/A)</t>
  </si>
  <si>
    <t xml:space="preserve">BT:HAL#e1d1of1 (git commit N/A)</t>
  </si>
  <si>
    <t xml:space="preserve">BT:RELIANCE#e1d1of1 (git commit N/A)</t>
  </si>
  <si>
    <t xml:space="preserve">BT:TITAN#e1d1of1 (git commit N/A)</t>
  </si>
  <si>
    <t xml:space="preserve">2026-08-07</t>
  </si>
  <si>
    <t xml:space="preserve">BT:GRASIM#e4d1of1 (git commit N/A)</t>
  </si>
  <si>
    <t xml:space="preserve">BT:JUBLFOOD#e2d1of1 (git commit N/A)</t>
  </si>
  <si>
    <t xml:space="preserve">2026-08-10</t>
  </si>
  <si>
    <t xml:space="preserve">BT:TATASTEEL#e1d1of1 (git commit N/A)</t>
  </si>
  <si>
    <t xml:space="preserve">2026-08-11</t>
  </si>
  <si>
    <t xml:space="preserve">BT:COALINDIA#e5d1of1 (git commit N/A)</t>
  </si>
  <si>
    <t xml:space="preserve">BT:LICI#e2d1of2 (git commit N/A)</t>
  </si>
  <si>
    <t xml:space="preserve">2026-08-12</t>
  </si>
  <si>
    <t xml:space="preserve">BT:INDUSTOWER#e3d1of1 (git commit N/A)</t>
  </si>
  <si>
    <t xml:space="preserve">BT:LICI#e2d2of2 (git commit N/A)</t>
  </si>
  <si>
    <t xml:space="preserve">BT:UNIONBANK#e2d1of1 (git commit N/A)</t>
  </si>
  <si>
    <t xml:space="preserve">2026-08-14</t>
  </si>
  <si>
    <t xml:space="preserve">BT:ADANIENSOL#e1d1of1 (git commit N/A)</t>
  </si>
  <si>
    <t xml:space="preserve">BT:INDUSTOWER#e4d1of1 (git commit N/A)</t>
  </si>
  <si>
    <t xml:space="preserve">2026-08-17</t>
  </si>
  <si>
    <t xml:space="preserve">BT:NAUKRI#e1d1of1 (git commit N/A)</t>
  </si>
  <si>
    <t xml:space="preserve">BT:UNOMINDA#e6d1of1 (git commit N/A)</t>
  </si>
  <si>
    <t xml:space="preserve">2026-08-18</t>
  </si>
  <si>
    <t xml:space="preserve">AMBER</t>
  </si>
  <si>
    <t xml:space="preserve">Amber Enterprises India Limited</t>
  </si>
  <si>
    <t xml:space="preserve">BT:AMBER#e0d1of1 (git commit N/A)</t>
  </si>
  <si>
    <t xml:space="preserve">2026-08-19</t>
  </si>
  <si>
    <t xml:space="preserve">BT:NAM-INDIA#e7d1of1 (git commit N/A)</t>
  </si>
  <si>
    <t xml:space="preserve">2026-08-26</t>
  </si>
  <si>
    <t xml:space="preserve">BT:DIVISLAB#e7d1of1 (git commit N/A)</t>
  </si>
  <si>
    <t xml:space="preserve">BT:KOTAKBANK#e2d1of2 (git commit N/A)</t>
  </si>
  <si>
    <t xml:space="preserve">BT:LAURUSLABS#e5d1of2 (git commit N/A)</t>
  </si>
  <si>
    <t xml:space="preserve">BT:LICHSGFIN#e5d1of1 (git commit N/A)</t>
  </si>
  <si>
    <t xml:space="preserve">BT:TATASTEEL#e2d1of1 (git commit N/A)</t>
  </si>
  <si>
    <t xml:space="preserve">BT:VEDL#e4d1of1 (git commit N/A)</t>
  </si>
  <si>
    <t xml:space="preserve">2026-08-27</t>
  </si>
  <si>
    <t xml:space="preserve">BT:ALKEM#e10d1of2 (git commit N/A)</t>
  </si>
  <si>
    <t xml:space="preserve">BT:ETERNAL#e4d1of1 (git commit N/A)</t>
  </si>
  <si>
    <t xml:space="preserve">GODREJPROP</t>
  </si>
  <si>
    <t xml:space="preserve">Godrej Properties Limited</t>
  </si>
  <si>
    <t xml:space="preserve">BT:GODREJPROP#e0d1of1 (git commit N/A)</t>
  </si>
  <si>
    <t xml:space="preserve">BT:INDUSTOWER#e5d1of1 (git commit N/A)</t>
  </si>
  <si>
    <t xml:space="preserve">BT:KOTAKBANK#e2d2of2 (git commit N/A)</t>
  </si>
  <si>
    <t xml:space="preserve">BT:LAURUSLABS#e5d2of2 (git commit N/A)</t>
  </si>
  <si>
    <t xml:space="preserve">SAGILITY</t>
  </si>
  <si>
    <t xml:space="preserve">SAGILITY LIMITED</t>
  </si>
  <si>
    <t xml:space="preserve">BT:SAGILITY#e0d1of1 (git commit N/A)</t>
  </si>
  <si>
    <t xml:space="preserve">BT:TITAN#e2d1of1 (git commit N/A)</t>
  </si>
  <si>
    <t xml:space="preserve">BT:ZYDUSLIFE#e1d1of1 (git commit N/A)</t>
  </si>
  <si>
    <t xml:space="preserve">2026-08-28</t>
  </si>
  <si>
    <t xml:space="preserve">BT:ALKEM#e10d2of2 (git commit N/A)</t>
  </si>
  <si>
    <t xml:space="preserve">BT:APLAPOLLO#e6d1of1 (git commit N/A)</t>
  </si>
  <si>
    <t xml:space="preserve">BT:DIVISLAB#e8d1of1 (git commit N/A)</t>
  </si>
  <si>
    <t xml:space="preserve">BT:MPHASIS#e3d1of1 (git commit N/A)</t>
  </si>
  <si>
    <t xml:space="preserve">BT:TECHM#e9d1of1 (git commit N/A)</t>
  </si>
  <si>
    <t xml:space="preserve">BT:VEDL#e5d1of1 (git commit N/A)</t>
  </si>
  <si>
    <t xml:space="preserve">2026-08-31</t>
  </si>
  <si>
    <t xml:space="preserve">BT:AUROPHARMA#e6d1of1 (git commit N/A)</t>
  </si>
  <si>
    <t xml:space="preserve">BT:BAJAJHLDNG#e3d1of1 (git commit N/A)</t>
  </si>
  <si>
    <t xml:space="preserve">BOSCHLTD</t>
  </si>
  <si>
    <t xml:space="preserve">Bosch Limited</t>
  </si>
  <si>
    <t xml:space="preserve">BT:BOSCHLTD#e0d1of1 (git commit N/A)</t>
  </si>
  <si>
    <t xml:space="preserve">BT:HINDPETRO#e4d1of1 (git commit N/A)</t>
  </si>
  <si>
    <t xml:space="preserve">BT:ICICIBANK#e4d1of1 (git commit N/A)</t>
  </si>
  <si>
    <t xml:space="preserve">BT:ICICIPRULI#e9d1of1 (git commit N/A)</t>
  </si>
  <si>
    <t xml:space="preserve">BT:JIOFIN#e5d1of1 (git commit N/A)</t>
  </si>
  <si>
    <t xml:space="preserve">BT:NESTLEIND#e3d1of1 (git commit N/A)</t>
  </si>
  <si>
    <t xml:space="preserve">BT:OFSS#e1d1of1 (git commit N/A)</t>
  </si>
  <si>
    <t xml:space="preserve">BT:PETRONET#e5d1of1 (git commit N/A)</t>
  </si>
  <si>
    <t xml:space="preserve">BT:PRESTIGE#e4d1of1 (git commit N/A)</t>
  </si>
  <si>
    <t xml:space="preserve">BT:SUNPHARMA#e6d1of1 (git commit N/A)</t>
  </si>
  <si>
    <t xml:space="preserve">BT:TORNTPHARM#e5d1of1 (git commit N/A)</t>
  </si>
  <si>
    <t xml:space="preserve">BT:WIPRO#e5d1of1 (git commit N/A)</t>
  </si>
  <si>
    <t xml:space="preserve">2026-09-02</t>
  </si>
  <si>
    <t xml:space="preserve">BT:ABCAPITAL#e2d1of1 (git commit N/A)</t>
  </si>
  <si>
    <t xml:space="preserve">BT:BPCL#e5d1of1 (git commit N/A)</t>
  </si>
  <si>
    <t xml:space="preserve">2026-09-03</t>
  </si>
  <si>
    <t xml:space="preserve">BT:BAJAJHLDNG#e4d1of1 (git commit N/A)</t>
  </si>
  <si>
    <t xml:space="preserve">BT:IDFCFIRSTB#e3d1of1 (git commit N/A)</t>
  </si>
  <si>
    <t xml:space="preserve">INDHOTEL</t>
  </si>
  <si>
    <t xml:space="preserve">The Indian Hotels Company Limited</t>
  </si>
  <si>
    <t xml:space="preserve">BT:INDHOTEL#e0d1of1 (git commit N/A)</t>
  </si>
  <si>
    <t xml:space="preserve">BT:PRESTIGE#e5d1of1 (git commit N/A)</t>
  </si>
  <si>
    <t xml:space="preserve">BT:SWIGGY#e1d1of1 (git commit N/A)</t>
  </si>
  <si>
    <t xml:space="preserve">Latest/Current Verified Price</t>
  </si>
  <si>
    <t xml:space="preserve">Current Price Date</t>
  </si>
  <si>
    <t xml:space="preserve">Absolute Price Change</t>
  </si>
  <si>
    <t xml:space="preserve">Percentage Change (%)</t>
  </si>
  <si>
    <t xml:space="preserve">Status</t>
  </si>
  <si>
    <t xml:space="preserve">Corporate-action note</t>
  </si>
  <si>
    <t xml:space="preserve">2026-09-28</t>
  </si>
  <si>
    <t xml:space="preserve">CORPORATE ACTION STATUS UNKNOWN (no heuristic flag)</t>
  </si>
  <si>
    <t xml:space="preserve">SUSPECTED discontinuity (heuristic ≥20% 1-day move): 2025-11-26 (-49.8%) — CORPORATE ACTION STATUS UNKNOWN</t>
  </si>
  <si>
    <t xml:space="preserve">SUSPECTED discontinuity (heuristic ≥20% 1-day move): 2026-04-30 (-64.9%) — CORPORATE ACTION STATUS UNKNOWN</t>
  </si>
  <si>
    <t xml:space="preserve">SUSPECTED discontinuity (heuristic ≥20% 1-day move): 2025-12-05 (-80.4%) — CORPORATE ACTION STATUS UNKNOWN</t>
  </si>
  <si>
    <t xml:space="preserve">NO PRICE AT LATEST SESSION (symbol absent) — CORPORATE ACTION STATUS UNKNOWN</t>
  </si>
  <si>
    <t xml:space="preserve">SUSPECTED discontinuity (heuristic ≥20% 1-day move): 2026-01-14 (-80.3%) — CORPORATE ACTION STATUS UNKNOWN</t>
  </si>
  <si>
    <t xml:space="preserve">SUSPECTED discontinuity (heuristic ≥20% 1-day move): 2026-05-29 (-50.4%) — CORPORATE ACTION STATUS UNKNOWN</t>
  </si>
  <si>
    <t xml:space="preserve">SUSPECTED discontinuity (heuristic ≥20% 1-day move): 2026-09-24 (-36.0%) — CORPORATE ACTION STATUS UNKNOWN</t>
  </si>
  <si>
    <t xml:space="preserve">SUSPECTED discontinuity (heuristic ≥20% 1-day move): 2025-12-26 (-80.4%) — CORPORATE ACTION STATUS UNKNOWN</t>
  </si>
  <si>
    <t xml:space="preserve">First Catch Date</t>
  </si>
  <si>
    <t xml:space="preserve">Last Catch Date</t>
  </si>
  <si>
    <t xml:space="preserve">Total Confirmed Catches (catch-days)</t>
  </si>
  <si>
    <t xml:space="preserve">Distinct Events</t>
  </si>
  <si>
    <t xml:space="preserve">All Catch Dates</t>
  </si>
  <si>
    <t xml:space="preserve">Catch Frequency</t>
  </si>
  <si>
    <t xml:space="preserve">Current/Latest Price</t>
  </si>
  <si>
    <t xml:space="preserve">Latest Price Date</t>
  </si>
  <si>
    <t xml:space="preserve">Latest Return % (last catch → current)</t>
  </si>
  <si>
    <t xml:space="preserve">Status (last catch)</t>
  </si>
  <si>
    <t xml:space="preserve">Avg Return % across all catches</t>
  </si>
  <si>
    <t xml:space="preserve">Catches Risen</t>
  </si>
  <si>
    <t xml:space="preserve">Catches Fallen</t>
  </si>
  <si>
    <t xml:space="preserve">2025-10-15; 2026-04-09; 2026-04-15; 2026-04-17; 2026-05-04; 2026-05-06; 2026-06-15; 2026-06-19; 2026-07-10; 2026-08-05</t>
  </si>
  <si>
    <t xml:space="preserve">10 catch-days in 10 event(s); 4.37 per 100 evaluated sessions (229 evaluated)</t>
  </si>
  <si>
    <t xml:space="preserve">FALLEN</t>
  </si>
  <si>
    <t xml:space="preserve">2026-02-03; 2026-04-08; 2026-04-09; 2026-04-10; 2026-04-15</t>
  </si>
  <si>
    <t xml:space="preserve">5 catch-days in 3 event(s); 2.18 per 100 evaluated sessions (229 evaluated)</t>
  </si>
  <si>
    <t xml:space="preserve">RISEN</t>
  </si>
  <si>
    <t xml:space="preserve">2025-12-31; 2026-05-20; 2026-09-02</t>
  </si>
  <si>
    <t xml:space="preserve">3 catch-days in 3 event(s); 1.31 per 100 evaluated sessions (229 evaluated)</t>
  </si>
  <si>
    <t xml:space="preserve">2026-04-17; 2026-08-14</t>
  </si>
  <si>
    <t xml:space="preserve">2 catch-days in 2 event(s); 0.87 per 100 evaluated sessions (229 evaluated)</t>
  </si>
  <si>
    <t xml:space="preserve">2025-12-04; 2026-07-01</t>
  </si>
  <si>
    <t xml:space="preserve">2025-10-16; 2026-04-01; 2026-06-17</t>
  </si>
  <si>
    <t xml:space="preserve">1 catch-days in 1 event(s); 0.44 per 100 evaluated sessions (229 evaluated)</t>
  </si>
  <si>
    <t xml:space="preserve">2025-11-07; 2026-01-07; 2026-01-12; 2026-02-09; 2026-04-15; 2026-05-29; 2026-06-30; 2026-07-03; 2026-07-07; 2026-07-14; 2026-08-27; 2026-08-28</t>
  </si>
  <si>
    <t xml:space="preserve">12 catch-days in 11 event(s); 5.24 per 100 evaluated sessions (229 evaluated)</t>
  </si>
  <si>
    <t xml:space="preserve">2025-12-11; 2026-01-29; 2026-08-05</t>
  </si>
  <si>
    <t xml:space="preserve">2025-10-01; 2025-12-17; 2026-01-01; 2026-01-14; 2026-06-15; 2026-08-03; 2026-08-28</t>
  </si>
  <si>
    <t xml:space="preserve">7 catch-days in 7 event(s); 3.06 per 100 evaluated sessions (229 evaluated)</t>
  </si>
  <si>
    <t xml:space="preserve">2026-01-07; 2026-02-06; 2026-06-09; 2026-07-09</t>
  </si>
  <si>
    <t xml:space="preserve">4 catch-days in 4 event(s); 1.75 per 100 evaluated sessions (229 evaluated)</t>
  </si>
  <si>
    <t xml:space="preserve">2025-10-31; 2026-02-04</t>
  </si>
  <si>
    <t xml:space="preserve">2025-11-10; 2025-11-14; 2025-12-19</t>
  </si>
  <si>
    <t xml:space="preserve">2025-10-10; 2025-11-03; 2026-02-16; 2026-03-06; 2026-04-10; 2026-04-17</t>
  </si>
  <si>
    <t xml:space="preserve">6 catch-days in 6 event(s); 2.62 per 100 evaluated sessions (229 evaluated)</t>
  </si>
  <si>
    <t xml:space="preserve">2025-11-26; 2025-12-10; 2025-12-17; 2026-01-16; 2026-07-06; 2026-07-31</t>
  </si>
  <si>
    <t xml:space="preserve">2025-11-14; 2026-01-06; 2026-04-01; 2026-04-08; 2026-05-13; 2026-08-04; 2026-08-05; 2026-08-31</t>
  </si>
  <si>
    <t xml:space="preserve">8 catch-days in 7 event(s); 3.49 per 100 evaluated sessions (229 evaluated)</t>
  </si>
  <si>
    <t xml:space="preserve">2025-10-03; 2025-11-10; 2026-06-22; 2026-07-13</t>
  </si>
  <si>
    <t xml:space="preserve">2025-10-15; 2025-10-16; 2026-04-07; 2026-05-04; 2026-06-12; 2026-07-01</t>
  </si>
  <si>
    <t xml:space="preserve">6 catch-days in 5 event(s); 2.62 per 100 evaluated sessions (229 evaluated)</t>
  </si>
  <si>
    <t xml:space="preserve">2025-12-31; 2026-04-16; 2026-07-01; 2026-08-31; 2026-09-03</t>
  </si>
  <si>
    <t xml:space="preserve">5 catch-days in 5 event(s); 2.18 per 100 evaluated sessions (229 evaluated)</t>
  </si>
  <si>
    <t xml:space="preserve">2025-10-15; 2026-04-01; 2026-06-19</t>
  </si>
  <si>
    <t xml:space="preserve">2026-01-02; 2026-01-14; 2026-05-06; 2026-06-09</t>
  </si>
  <si>
    <t xml:space="preserve">2026-01-14; 2026-06-09</t>
  </si>
  <si>
    <t xml:space="preserve">2026-01-14; 2026-06-17</t>
  </si>
  <si>
    <t xml:space="preserve">2026-01-28; 2026-02-03; 2026-03-18; 2026-05-29; 2026-06-19; 2026-06-23; 2026-07-31</t>
  </si>
  <si>
    <t xml:space="preserve">2025-10-17; 2026-07-09</t>
  </si>
  <si>
    <t xml:space="preserve">2026-04-16; 2026-07-15</t>
  </si>
  <si>
    <t xml:space="preserve">2025-10-14; 2025-10-29; 2025-10-30; 2025-11-03; 2025-11-06; 2026-01-07; 2026-02-03; 2026-02-25; 2026-05-11; 2026-05-14; 2026-07-03</t>
  </si>
  <si>
    <t xml:space="preserve">11 catch-days in 10 event(s); 4.80 per 100 evaluated sessions (229 evaluated)</t>
  </si>
  <si>
    <t xml:space="preserve">2026-01-02; 2026-02-04; 2026-02-09; 2026-02-12; 2026-08-03</t>
  </si>
  <si>
    <t xml:space="preserve">2025-12-31; 2026-01-28; 2026-01-29; 2026-02-03; 2026-04-15; 2026-07-20; 2026-09-02</t>
  </si>
  <si>
    <t xml:space="preserve">7 catch-days in 6 event(s); 3.06 per 100 evaluated sessions (229 evaluated)</t>
  </si>
  <si>
    <t xml:space="preserve">2025-11-06; 2025-11-07; 2026-01-05; 2026-01-06; 2026-01-30; 2026-02-11; 2026-04-08; 2026-07-01; 2026-07-02; 2026-07-29</t>
  </si>
  <si>
    <t xml:space="preserve">10 catch-days in 7 event(s); 4.37 per 100 evaluated sessions (229 evaluated)</t>
  </si>
  <si>
    <t xml:space="preserve">2025-10-06; 2026-02-03; 2026-04-15; 2026-07-02</t>
  </si>
  <si>
    <t xml:space="preserve">2026-01-02; 2026-06-03; 2026-06-09; 2026-06-17</t>
  </si>
  <si>
    <t xml:space="preserve">2026-02-26; 2026-04-15</t>
  </si>
  <si>
    <t xml:space="preserve">2025-11-04; 2025-12-12; 2026-04-08; 2026-04-30; 2026-06-12; 2026-07-06; 2026-07-31; 2026-08-03; 2026-08-06</t>
  </si>
  <si>
    <t xml:space="preserve">9 catch-days in 8 event(s); 3.93 per 100 evaluated sessions (229 evaluated)</t>
  </si>
  <si>
    <t xml:space="preserve">2025-10-15; 2025-10-20; 2026-01-06; 2026-02-26; 2026-04-08; 2026-04-17; 2026-07-29</t>
  </si>
  <si>
    <t xml:space="preserve">2026-01-29; 2026-02-03; 2026-03-20; 2026-06-01; 2026-07-30; 2026-08-11</t>
  </si>
  <si>
    <t xml:space="preserve">2026-06-01; 2026-06-02</t>
  </si>
  <si>
    <t xml:space="preserve">2 catch-days in 1 event(s); 0.87 per 100 evaluated sessions (229 evaluated)</t>
  </si>
  <si>
    <t xml:space="preserve">2026-02-25; 2026-06-16; 2026-07-17</t>
  </si>
  <si>
    <t xml:space="preserve">2025-11-12; 2025-11-18; 2026-02-03</t>
  </si>
  <si>
    <t xml:space="preserve">2026-01-02; 2026-01-05; 2026-04-08; 2026-06-12; 2026-07-16</t>
  </si>
  <si>
    <t xml:space="preserve">5 catch-days in 4 event(s); 2.18 per 100 evaluated sessions (229 evaluated)</t>
  </si>
  <si>
    <t xml:space="preserve">2025-11-03; 2025-11-28; 2026-04-10; 2026-06-02; 2026-07-16</t>
  </si>
  <si>
    <t xml:space="preserve">2025-12-31; 2026-01-28; 2026-07-02</t>
  </si>
  <si>
    <t xml:space="preserve">2025-10-03; 2026-01-13; 2026-01-14; 2026-03-10; 2026-04-08; 2026-04-15; 2026-06-15</t>
  </si>
  <si>
    <t xml:space="preserve">2025-10-03; 2025-11-04; 2025-12-19; 2026-01-05; 2026-01-06; 2026-01-07; 2026-01-28; 2026-01-29; 2026-02-10; 2026-03-18; 2026-03-20; 2026-04-08; 2026-05-15; 2026-07-02; 2026-07-10</t>
  </si>
  <si>
    <t xml:space="preserve">15 catch-days in 12 event(s); 6.55 per 100 evaluated sessions (229 evaluated)</t>
  </si>
  <si>
    <t xml:space="preserve">2025-10-01; 2025-10-03; 2025-10-10; 2025-10-13; 2025-11-06; 2026-05-13; 2026-06-09; 2026-07-15; 2026-07-30; 2026-07-31; 2026-08-26; 2026-08-28</t>
  </si>
  <si>
    <t xml:space="preserve">12 catch-days in 9 event(s); 5.24 per 100 evaluated sessions (229 evaluated)</t>
  </si>
  <si>
    <t xml:space="preserve">2025-10-29; 2026-01-05; 2026-06-15; 2026-06-18; 2026-07-02; 2026-07-03; 2026-07-10</t>
  </si>
  <si>
    <t xml:space="preserve">2026-01-09; 2026-02-05</t>
  </si>
  <si>
    <t xml:space="preserve">2025-10-09; 2026-04-17</t>
  </si>
  <si>
    <t xml:space="preserve">2025-11-07; 2026-04-08</t>
  </si>
  <si>
    <t xml:space="preserve">2025-11-12; 2026-01-07; 2026-01-09; 2026-06-05; 2026-08-27</t>
  </si>
  <si>
    <t xml:space="preserve">2025-10-13; 2025-10-14; 2025-12-09; 2026-02-11</t>
  </si>
  <si>
    <t xml:space="preserve">4 catch-days in 3 event(s); 1.75 per 100 evaluated sessions (229 evaluated)</t>
  </si>
  <si>
    <t xml:space="preserve">2025-10-01; 2026-05-08</t>
  </si>
  <si>
    <t xml:space="preserve">2025-10-29; 2025-12-12; 2026-04-08; 2026-06-15; 2026-08-05</t>
  </si>
  <si>
    <t xml:space="preserve">2025-10-30; 2025-11-12; 2025-11-13; 2025-11-14; 2026-02-16; 2026-05-05</t>
  </si>
  <si>
    <t xml:space="preserve">6 catch-days in 4 event(s); 2.62 per 100 evaluated sessions (229 evaluated)</t>
  </si>
  <si>
    <t xml:space="preserve">2025-10-29; 2025-10-30; 2025-12-12; 2026-01-28; 2026-02-04; 2026-02-09; 2026-05-04; 2026-05-07; 2026-05-29</t>
  </si>
  <si>
    <t xml:space="preserve">2025-12-31; 2026-04-08; 2026-08-05</t>
  </si>
  <si>
    <t xml:space="preserve">2026-01-06; 2026-01-16; 2026-03-20; 2026-05-13; 2026-08-07</t>
  </si>
  <si>
    <t xml:space="preserve">2026-05-27; 2026-05-29; 2026-06-02; 2026-06-19</t>
  </si>
  <si>
    <t xml:space="preserve">2026-01-28; 2026-08-06</t>
  </si>
  <si>
    <t xml:space="preserve">2026-01-06; 2026-01-30; 2026-02-25; 2026-05-27</t>
  </si>
  <si>
    <t xml:space="preserve">2026-01-07; 2026-01-12; 2026-03-20; 2026-03-23; 2026-04-08; 2026-05-29</t>
  </si>
  <si>
    <t xml:space="preserve">2025-10-03; 2025-10-10; 2026-01-28; 2026-02-04; 2026-04-17; 2026-07-09; 2026-07-15</t>
  </si>
  <si>
    <t xml:space="preserve">2025-11-26; 2026-01-06; 2026-02-03; 2026-02-04; 2026-02-09; 2026-05-06; 2026-05-07; 2026-07-31; 2026-08-05</t>
  </si>
  <si>
    <t xml:space="preserve">9 catch-days in 7 event(s); 3.93 per 100 evaluated sessions (229 evaluated)</t>
  </si>
  <si>
    <t xml:space="preserve">2026-03-20; 2026-04-08; 2026-04-10; 2026-08-04</t>
  </si>
  <si>
    <t xml:space="preserve">2025-10-09; 2025-10-15; 2025-12-12; 2026-07-31; 2026-08-03</t>
  </si>
  <si>
    <t xml:space="preserve">2025-10-03; 2025-10-15; 2025-10-31; 2026-05-06; 2026-08-31</t>
  </si>
  <si>
    <t xml:space="preserve">2025-10-17; 2026-01-06; 2026-04-07; 2026-04-08; 2026-04-21; 2026-07-02; 2026-07-07; 2026-07-09</t>
  </si>
  <si>
    <t xml:space="preserve">2026-01-08; 2026-01-13; 2026-02-26; 2026-04-01; 2026-08-31</t>
  </si>
  <si>
    <t xml:space="preserve">2025-10-01; 2026-02-03; 2026-04-15; 2026-06-17; 2026-07-08; 2026-08-05</t>
  </si>
  <si>
    <t xml:space="preserve">2025-11-12; 2025-12-10; 2025-12-18; 2025-12-31; 2026-01-16; 2026-04-01; 2026-04-17; 2026-06-22; 2026-07-10; 2026-08-31</t>
  </si>
  <si>
    <t xml:space="preserve">2025-10-10; 2026-05-06; 2026-05-14; 2026-09-03</t>
  </si>
  <si>
    <t xml:space="preserve">2025-10-01; 2025-10-03</t>
  </si>
  <si>
    <t xml:space="preserve">2025-10-31; 2026-01-14</t>
  </si>
  <si>
    <t xml:space="preserve">2026-01-01; 2026-02-09; 2026-02-17; 2026-06-12</t>
  </si>
  <si>
    <t xml:space="preserve">2026-01-08; 2026-01-30; 2026-02-11; 2026-08-12; 2026-08-14; 2026-08-27</t>
  </si>
  <si>
    <t xml:space="preserve">2026-03-20; 2026-04-08; 2026-05-19; 2026-07-13</t>
  </si>
  <si>
    <t xml:space="preserve">2025-10-06; 2025-10-09; 2025-10-15; 2025-11-11; 2025-12-12; 2025-12-17; 2025-12-31; 2026-01-28; 2026-02-02; 2026-02-03; 2026-02-04; 2026-02-25; 2026-02-27; 2026-06-15; 2026-07-02; 2026-07-07; 2026-07-15; 2026-07-16</t>
  </si>
  <si>
    <t xml:space="preserve">18 catch-days in 15 event(s); 7.86 per 100 evaluated sessions (229 evaluated)</t>
  </si>
  <si>
    <t xml:space="preserve">2025-10-29; 2025-12-22</t>
  </si>
  <si>
    <t xml:space="preserve">2025-10-03; 2026-02-04</t>
  </si>
  <si>
    <t xml:space="preserve">2026-01-02; 2026-01-07; 2026-04-17; 2026-06-15; 2026-07-31; 2026-08-31</t>
  </si>
  <si>
    <t xml:space="preserve">2025-10-09; 2025-11-27; 2025-12-01; 2026-01-14; 2026-02-25; 2026-04-07; 2026-08-05</t>
  </si>
  <si>
    <t xml:space="preserve">2026-02-27; 2026-08-05; 2026-08-07</t>
  </si>
  <si>
    <t xml:space="preserve">2025-12-31; 2026-01-30; 2026-04-08; 2026-05-04</t>
  </si>
  <si>
    <t xml:space="preserve">2025-10-16; 2026-04-30; 2026-08-26; 2026-08-27</t>
  </si>
  <si>
    <t xml:space="preserve">2025-10-14; 2025-11-26; 2026-05-04; 2026-05-06; 2026-05-07; 2026-07-03; 2026-08-26; 2026-08-27</t>
  </si>
  <si>
    <t xml:space="preserve">8 catch-days in 6 event(s); 3.49 per 100 evaluated sessions (229 evaluated)</t>
  </si>
  <si>
    <t xml:space="preserve">2025-11-26; 2026-02-09; 2026-04-29; 2026-05-13; 2026-07-29; 2026-08-26</t>
  </si>
  <si>
    <t xml:space="preserve">2025-11-03; 2025-12-18; 2026-08-11; 2026-08-12</t>
  </si>
  <si>
    <t xml:space="preserve">2025-10-07; 2025-12-12; 2026-01-02; 2026-03-18; 2026-04-02; 2026-04-06; 2026-07-06</t>
  </si>
  <si>
    <t xml:space="preserve">2025-10-03; 2026-05-29</t>
  </si>
  <si>
    <t xml:space="preserve">2025-10-10; 2025-11-12; 2025-12-17; 2026-01-16</t>
  </si>
  <si>
    <t xml:space="preserve">4 catch-days in 4 event(s); 3.92 per 100 evaluated sessions (102 evaluated)</t>
  </si>
  <si>
    <t xml:space="preserve">NO CURRENT DATA</t>
  </si>
  <si>
    <t xml:space="preserve">2026-04-02; 2026-04-15; 2026-04-16</t>
  </si>
  <si>
    <t xml:space="preserve">3 catch-days in 2 event(s); 2.80 per 100 evaluated sessions (107 evaluated)</t>
  </si>
  <si>
    <t xml:space="preserve">2025-10-31; 2025-11-03; 2025-11-04; 2026-01-06; 2026-02-25; 2026-03-10; 2026-05-06; 2026-07-29</t>
  </si>
  <si>
    <t xml:space="preserve">2025-11-10; 2025-12-19; 2026-07-20; 2026-07-31</t>
  </si>
  <si>
    <t xml:space="preserve">2025-10-06; 2025-10-17; 2025-12-12; 2026-02-03; 2026-02-25; 2026-05-11; 2026-05-15</t>
  </si>
  <si>
    <t xml:space="preserve">2026-04-01; 2026-04-02; 2026-08-03</t>
  </si>
  <si>
    <t xml:space="preserve">3 catch-days in 2 event(s); 1.31 per 100 evaluated sessions (229 evaluated)</t>
  </si>
  <si>
    <t xml:space="preserve">2025-12-30; 2026-05-07; 2026-06-12; 2026-06-30</t>
  </si>
  <si>
    <t xml:space="preserve">2026-02-10; 2026-03-20</t>
  </si>
  <si>
    <t xml:space="preserve">2025-10-01; 2025-11-04; 2026-01-06; 2026-02-09; 2026-02-13; 2026-03-20; 2026-07-29</t>
  </si>
  <si>
    <t xml:space="preserve">2025-11-12; 2025-12-02; 2025-12-11; 2026-04-01; 2026-05-19; 2026-05-27; 2026-05-29; 2026-07-31</t>
  </si>
  <si>
    <t xml:space="preserve">2025-10-29; 2026-05-29; 2026-06-17; 2026-08-28</t>
  </si>
  <si>
    <t xml:space="preserve">2026-01-05; 2026-01-06; 2026-02-03; 2026-05-13; 2026-05-29; 2026-07-06; 2026-07-31</t>
  </si>
  <si>
    <t xml:space="preserve">2026-04-01; 2026-04-06; 2026-04-10; 2026-04-17; 2026-04-21; 2026-06-09; 2026-08-04; 2026-08-05; 2026-08-19</t>
  </si>
  <si>
    <t xml:space="preserve">2026-01-07; 2026-08-17</t>
  </si>
  <si>
    <t xml:space="preserve">2026-01-05; 2026-03-10; 2026-04-01; 2026-08-31</t>
  </si>
  <si>
    <t xml:space="preserve">2026-03-16; 2026-04-17</t>
  </si>
  <si>
    <t xml:space="preserve">2025-10-03; 2025-11-13; 2025-12-01; 2025-12-12; 2025-12-15; 2026-01-29; 2026-05-13; 2026-08-04; 2026-08-05</t>
  </si>
  <si>
    <t xml:space="preserve">2025-10-29; 2026-01-28; 2026-01-29; 2026-02-04; 2026-02-23; 2026-02-24; 2026-03-06; 2026-03-12; 2026-04-08; 2026-04-09; 2026-08-05</t>
  </si>
  <si>
    <t xml:space="preserve">11 catch-days in 8 event(s); 4.80 per 100 evaluated sessions (229 evaluated)</t>
  </si>
  <si>
    <t xml:space="preserve">2025-11-28; 2026-03-18; 2026-05-05; 2026-05-07</t>
  </si>
  <si>
    <t xml:space="preserve">2026-02-10; 2026-04-01; 2026-04-02; 2026-04-06; 2026-05-14; 2026-06-17; 2026-06-19; 2026-07-30</t>
  </si>
  <si>
    <t xml:space="preserve">2026-05-29; 2026-06-12; 2026-06-15; 2026-06-16; 2026-07-06</t>
  </si>
  <si>
    <t xml:space="preserve">2026-04-20; 2026-08-31</t>
  </si>
  <si>
    <t xml:space="preserve">2026-01-13; 2026-07-14</t>
  </si>
  <si>
    <t xml:space="preserve">2026-01-12; 2026-01-13; 2026-07-06</t>
  </si>
  <si>
    <t xml:space="preserve">2026-01-13; 2026-02-03; 2026-04-15</t>
  </si>
  <si>
    <t xml:space="preserve">2025-10-29; 2025-12-17; 2026-04-15; 2026-04-17; 2026-05-13</t>
  </si>
  <si>
    <t xml:space="preserve">2025-11-11; 2025-12-04</t>
  </si>
  <si>
    <t xml:space="preserve">2025-10-03; 2025-10-29; 2026-02-25; 2026-04-08; 2026-04-09; 2026-07-07; 2026-08-31</t>
  </si>
  <si>
    <t xml:space="preserve">2025-10-03; 2025-12-10; 2026-02-03; 2026-02-04; 2026-06-05; 2026-06-22; 2026-07-29</t>
  </si>
  <si>
    <t xml:space="preserve">2025-10-16; 2025-12-15; 2026-01-05; 2026-01-06; 2026-03-18; 2026-04-10; 2026-04-21; 2026-06-10; 2026-06-15; 2026-07-03</t>
  </si>
  <si>
    <t xml:space="preserve">10 catch-days in 9 event(s); 4.37 per 100 evaluated sessions (229 evaluated)</t>
  </si>
  <si>
    <t xml:space="preserve">2025-10-08; 2025-10-17; 2026-01-05; 2026-02-04; 2026-04-10; 2026-05-07; 2026-06-12; 2026-06-15; 2026-07-15; 2026-07-17</t>
  </si>
  <si>
    <t xml:space="preserve">2026-03-20; 2026-04-15; 2026-04-17; 2026-08-05</t>
  </si>
  <si>
    <t xml:space="preserve">2025-12-11; 2026-03-18; 2026-04-01; 2026-04-15; 2026-06-12; 2026-07-03</t>
  </si>
  <si>
    <t xml:space="preserve">2025-11-17; 2026-04-16; 2026-05-18; 2026-05-19; 2026-05-20; 2026-06-22</t>
  </si>
  <si>
    <t xml:space="preserve">2026-03-18; 2026-04-08; 2026-05-06</t>
  </si>
  <si>
    <t xml:space="preserve">2026-01-02; 2026-01-05; 2026-01-28; 2026-01-29; 2026-03-20</t>
  </si>
  <si>
    <t xml:space="preserve">2026-04-01; 2026-04-17</t>
  </si>
  <si>
    <t xml:space="preserve">2026-01-05; 2026-04-01; 2026-04-02; 2026-04-15; 2026-06-15; 2026-08-31; 2026-09-03</t>
  </si>
  <si>
    <t xml:space="preserve">2026-05-29; 2026-06-18; 2026-07-20</t>
  </si>
  <si>
    <t xml:space="preserve">2026-01-06; 2026-03-17; 2026-03-18; 2026-07-29</t>
  </si>
  <si>
    <t xml:space="preserve">2026-03-20; 2026-08-06</t>
  </si>
  <si>
    <t xml:space="preserve">2025-11-26; 2026-02-25; 2026-04-01; 2026-04-08; 2026-08-05</t>
  </si>
  <si>
    <t xml:space="preserve">2025-12-31; 2026-01-05; 2026-01-28; 2026-01-29</t>
  </si>
  <si>
    <t xml:space="preserve">2026-05-06; 2026-07-14</t>
  </si>
  <si>
    <t xml:space="preserve">2026-01-08; 2026-01-12; 2026-01-28; 2026-02-02; 2026-03-17</t>
  </si>
  <si>
    <t xml:space="preserve">2025-10-31; 2026-01-06; 2026-02-02; 2026-02-11; 2026-02-12; 2026-02-13; 2026-04-06; 2026-04-08; 2026-06-03</t>
  </si>
  <si>
    <t xml:space="preserve">2025-12-02; 2026-04-15; 2026-05-06</t>
  </si>
  <si>
    <t xml:space="preserve">2025-10-31; 2025-11-07; 2025-12-17; 2026-01-16</t>
  </si>
  <si>
    <t xml:space="preserve">2025-11-14; 2026-02-03; 2026-02-04</t>
  </si>
  <si>
    <t xml:space="preserve">2025-12-12; 2025-12-19; 2026-02-03; 2026-03-17; 2026-04-08; 2026-05-11; 2026-07-16</t>
  </si>
  <si>
    <t xml:space="preserve">2025-10-01; 2025-10-15; 2025-11-12; 2026-02-03; 2026-04-08; 2026-06-16</t>
  </si>
  <si>
    <t xml:space="preserve">2026-01-12; 2026-02-03; 2026-03-02; 2026-03-05; 2026-03-09; 2026-03-10; 2026-04-29; 2026-08-31</t>
  </si>
  <si>
    <t xml:space="preserve">2026-02-04; 2026-02-25; 2026-03-11; 2026-04-17</t>
  </si>
  <si>
    <t xml:space="preserve">2026-04-01; 2026-09-03</t>
  </si>
  <si>
    <t xml:space="preserve">2025-11-12; 2025-12-12; 2026-02-11</t>
  </si>
  <si>
    <t xml:space="preserve">2025-10-06; 2025-10-16; 2026-01-06; 2026-04-06; 2026-04-09; 2026-05-08; 2026-07-02</t>
  </si>
  <si>
    <t xml:space="preserve">2025-10-09; 2025-10-10; 2025-12-12; 2026-06-15</t>
  </si>
  <si>
    <t xml:space="preserve">2026-07-31; 2026-08-03; 2026-08-10; 2026-08-26</t>
  </si>
  <si>
    <t xml:space="preserve">2026-04-02; 2026-04-08; 2026-05-19; 2026-07-28</t>
  </si>
  <si>
    <t xml:space="preserve">2025-10-06; 2025-11-10; 2025-11-11; 2025-11-19; 2026-01-07; 2026-01-16; 2026-03-20; 2026-05-19; 2026-05-29; 2026-07-30; 2026-08-28</t>
  </si>
  <si>
    <t xml:space="preserve">2026-01-28; 2026-02-27; 2026-03-02; 2026-05-20</t>
  </si>
  <si>
    <t xml:space="preserve">2026-04-02; 2026-04-06; 2026-08-06; 2026-08-27</t>
  </si>
  <si>
    <t xml:space="preserve">2026-02-26; 2026-03-20</t>
  </si>
  <si>
    <t xml:space="preserve">2 catch-days in 2 event(s); 1.04 per 100 evaluated sessions (193 evaluated)</t>
  </si>
  <si>
    <t xml:space="preserve">2025-10-06; 2025-10-07; 2026-01-07; 2026-01-19; 2026-02-09; 2026-07-13; 2026-07-14; 2026-07-15; 2026-08-31</t>
  </si>
  <si>
    <t xml:space="preserve">9 catch-days in 6 event(s); 3.93 per 100 evaluated sessions (229 evaluated)</t>
  </si>
  <si>
    <t xml:space="preserve">2026-01-05; 2026-01-30; 2026-02-04; 2026-02-05; 2026-02-06</t>
  </si>
  <si>
    <t xml:space="preserve">2026-01-30; 2026-06-12</t>
  </si>
  <si>
    <t xml:space="preserve">2026-01-16; 2026-07-15</t>
  </si>
  <si>
    <t xml:space="preserve">2026-01-19; 2026-02-26; 2026-08-12</t>
  </si>
  <si>
    <t xml:space="preserve">2026-04-10; 2026-07-06</t>
  </si>
  <si>
    <t xml:space="preserve">2025-10-07; 2025-11-26; 2026-01-02; 2026-02-09; 2026-04-08; 2026-04-15; 2026-08-17</t>
  </si>
  <si>
    <t xml:space="preserve">2025-10-29; 2026-04-08</t>
  </si>
  <si>
    <t xml:space="preserve">2026-01-06; 2026-01-07; 2026-06-02; 2026-06-15</t>
  </si>
  <si>
    <t xml:space="preserve">2025-10-03; 2025-12-12; 2026-05-12; 2026-08-05; 2026-08-26; 2026-08-28</t>
  </si>
  <si>
    <t xml:space="preserve">2026-04-17; 2026-06-05</t>
  </si>
  <si>
    <t xml:space="preserve">2025-10-07; 2026-01-06; 2026-07-07</t>
  </si>
  <si>
    <t xml:space="preserve">2025-10-15; 2026-03-11; 2026-03-20; 2026-04-15; 2026-06-02; 2026-08-31</t>
  </si>
  <si>
    <t xml:space="preserve">2025-10-01; 2025-10-07; 2026-05-29</t>
  </si>
  <si>
    <t xml:space="preserve">2026-07-03; 2026-08-27</t>
  </si>
  <si>
    <t xml:space="preserve">Rank</t>
  </si>
  <si>
    <t xml:space="preserve">Company</t>
  </si>
  <si>
    <t xml:space="preserve">Number of Catches (catch-days)</t>
  </si>
  <si>
    <t xml:space="preserve">First Catch</t>
  </si>
  <si>
    <t xml:space="preserve">Last Catch</t>
  </si>
  <si>
    <t xml:space="preserve">Latest Price</t>
  </si>
  <si>
    <t xml:space="preserve">Date</t>
  </si>
  <si>
    <t xml:space="preserve">Total Stocks Scanned (derived)</t>
  </si>
  <si>
    <t xml:space="preserve">STARTING</t>
  </si>
  <si>
    <t xml:space="preserve">CONFIRMED (catch-days)</t>
  </si>
  <si>
    <t xml:space="preserve">Unique Confirmed</t>
  </si>
  <si>
    <t xml:space="preserve">Repeat Confirmations</t>
  </si>
  <si>
    <t xml:space="preserve">First-time Catches</t>
  </si>
  <si>
    <t xml:space="preserve">Confirmation Rate = CONFIRMED / STARTING</t>
  </si>
  <si>
    <t xml:space="preserve">Supplementary rate (denominator stated)</t>
  </si>
  <si>
    <t xml:space="preserve">Evidence Status</t>
  </si>
  <si>
    <t xml:space="preserve">2025-09-02</t>
  </si>
  <si>
    <t xml:space="preserve">MISSING / UNVERIFIED</t>
  </si>
  <si>
    <t xml:space="preserve">MISSING / UNVERIFIED — warm-up: engine needs 20 prior sessions, no verdict possible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</si>
  <si>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</si>
  <si>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</si>
  <si>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</si>
  <si>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</si>
  <si>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</si>
  <si>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</si>
  <si>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</si>
  <si>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</si>
  <si>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</si>
  <si>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</si>
  <si>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</si>
  <si>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</si>
  <si>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</si>
  <si>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</si>
  <si>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</si>
  <si>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</si>
  <si>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</si>
  <si>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</si>
  <si>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</si>
  <si>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</si>
  <si>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N/A (not stored)</t>
  </si>
  <si>
    <t xml:space="preserve">N/A — STARTING not recorded (CONFIRMED / STARTING)</t>
  </si>
  <si>
    <t xml:space="preserve">0.000% (CONFIRMED / 2085 scanned)</t>
  </si>
  <si>
    <t xml:space="preserve">RECORDED — recorded engine run (REAL_1YEAR_BACKTEST_RESULT.json)</t>
  </si>
  <si>
    <t xml:space="preserve">0.383% (CONFIRMED / 2087 scanned)</t>
  </si>
  <si>
    <t xml:space="preserve">0.671% (CONFIRMED / 2086 scanned)</t>
  </si>
  <si>
    <t xml:space="preserve">0.336% (CONFIRMED / 2086 scanned)</t>
  </si>
  <si>
    <t xml:space="preserve">0.238% (CONFIRMED / 2102 scanned)</t>
  </si>
  <si>
    <t xml:space="preserve">0.046% (CONFIRMED / 2170 scanned)</t>
  </si>
  <si>
    <t xml:space="preserve">0.231% (CONFIRMED / 2169 scanned)</t>
  </si>
  <si>
    <t xml:space="preserve">0.277% (CONFIRMED / 2166 scanned)</t>
  </si>
  <si>
    <t xml:space="preserve">0.092% (CONFIRMED / 2166 scanned)</t>
  </si>
  <si>
    <t xml:space="preserve">0.137% (CONFIRMED / 2188 scanned)</t>
  </si>
  <si>
    <t xml:space="preserve">0.412% (CONFIRMED / 2184 scanned)</t>
  </si>
  <si>
    <t xml:space="preserve">0.275% (CONFIRMED / 2181 scanned)</t>
  </si>
  <si>
    <t xml:space="preserve">0.183% (CONFIRMED / 2184 scanned)</t>
  </si>
  <si>
    <t xml:space="preserve">0.046% (CONFIRMED / 2186 scanned)</t>
  </si>
  <si>
    <t xml:space="preserve">2025-10-21</t>
  </si>
  <si>
    <t xml:space="preserve">0.000% (CONFIRMED / 2197 scanned)</t>
  </si>
  <si>
    <t xml:space="preserve">2025-10-23</t>
  </si>
  <si>
    <t xml:space="preserve">0.000% (CONFIRMED / 2202 scanned)</t>
  </si>
  <si>
    <t xml:space="preserve">2025-10-24</t>
  </si>
  <si>
    <t xml:space="preserve">2025-10-27</t>
  </si>
  <si>
    <t xml:space="preserve">0.000% (CONFIRMED / 2200 scanned)</t>
  </si>
  <si>
    <t xml:space="preserve">2025-10-28</t>
  </si>
  <si>
    <t xml:space="preserve">0.500% (CONFIRMED / 2199 scanned)</t>
  </si>
  <si>
    <t xml:space="preserve">0.136% (CONFIRMED / 2198 scanned)</t>
  </si>
  <si>
    <t xml:space="preserve">0.273% (CONFIRMED / 2199 scanned)</t>
  </si>
  <si>
    <t xml:space="preserve">0.227% (CONFIRMED / 2200 scanned)</t>
  </si>
  <si>
    <t xml:space="preserve">0.180% (CONFIRMED / 2220 scanned)</t>
  </si>
  <si>
    <t xml:space="preserve">0.135% (CONFIRMED / 2221 scanned)</t>
  </si>
  <si>
    <t xml:space="preserve">0.180% (CONFIRMED / 2222 scanned)</t>
  </si>
  <si>
    <t xml:space="preserve">0.180% (CONFIRMED / 2223 scanned)</t>
  </si>
  <si>
    <t xml:space="preserve">0.135% (CONFIRMED / 2223 scanned)</t>
  </si>
  <si>
    <t xml:space="preserve">0.358% (CONFIRMED / 2236 scanned)</t>
  </si>
  <si>
    <t xml:space="preserve">0.089% (CONFIRMED / 2238 scanned)</t>
  </si>
  <si>
    <t xml:space="preserve">0.179% (CONFIRMED / 2239 scanned)</t>
  </si>
  <si>
    <t xml:space="preserve">0.044% (CONFIRMED / 2249 scanned)</t>
  </si>
  <si>
    <t xml:space="preserve">0.044% (CONFIRMED / 2252 scanned)</t>
  </si>
  <si>
    <t xml:space="preserve">0.044% (CONFIRMED / 2262 scanned)</t>
  </si>
  <si>
    <t xml:space="preserve">2025-11-20</t>
  </si>
  <si>
    <t xml:space="preserve">0.000% (CONFIRMED / 2264 scanned)</t>
  </si>
  <si>
    <t xml:space="preserve">2025-11-21</t>
  </si>
  <si>
    <t xml:space="preserve">2025-11-24</t>
  </si>
  <si>
    <t xml:space="preserve">0.000% (CONFIRMED / 2267 scanned)</t>
  </si>
  <si>
    <t xml:space="preserve">2025-11-25</t>
  </si>
  <si>
    <t xml:space="preserve">0.000% (CONFIRMED / 2270 scanned)</t>
  </si>
  <si>
    <t xml:space="preserve">0.264% (CONFIRMED / 2270 scanned)</t>
  </si>
  <si>
    <t xml:space="preserve">0.044% (CONFIRMED / 2269 scanned)</t>
  </si>
  <si>
    <t xml:space="preserve">0.088% (CONFIRMED / 2267 scanned)</t>
  </si>
  <si>
    <t xml:space="preserve">0.088% (CONFIRMED / 2268 scanned)</t>
  </si>
  <si>
    <t xml:space="preserve">0.088% (CONFIRMED / 2279 scanned)</t>
  </si>
  <si>
    <t xml:space="preserve">2025-12-03</t>
  </si>
  <si>
    <t xml:space="preserve">0.000% (CONFIRMED / 2279 scanned)</t>
  </si>
  <si>
    <t xml:space="preserve">0.088% (CONFIRMED / 2277 scanned)</t>
  </si>
  <si>
    <t xml:space="preserve">2025-12-05</t>
  </si>
  <si>
    <t xml:space="preserve">0.000% (CONFIRMED / 2277 scanned)</t>
  </si>
  <si>
    <t xml:space="preserve">2025-12-08</t>
  </si>
  <si>
    <t xml:space="preserve">0.000% (CONFIRMED / 2284 scanned)</t>
  </si>
  <si>
    <t xml:space="preserve">0.044% (CONFIRMED / 2286 scanned)</t>
  </si>
  <si>
    <t xml:space="preserve">0.131% (CONFIRMED / 2285 scanned)</t>
  </si>
  <si>
    <t xml:space="preserve">0.524% (CONFIRMED / 2288 scanned)</t>
  </si>
  <si>
    <t xml:space="preserve">0.087% (CONFIRMED / 2291 scanned)</t>
  </si>
  <si>
    <t xml:space="preserve">2025-12-16</t>
  </si>
  <si>
    <t xml:space="preserve">0.000% (CONFIRMED / 2290 scanned)</t>
  </si>
  <si>
    <t xml:space="preserve">0.262% (CONFIRMED / 2293 scanned)</t>
  </si>
  <si>
    <t xml:space="preserve">0.087% (CONFIRMED / 2296 scanned)</t>
  </si>
  <si>
    <t xml:space="preserve">0.174% (CONFIRMED / 2298 scanned)</t>
  </si>
  <si>
    <t xml:space="preserve">0.043% (CONFIRMED / 2301 scanned)</t>
  </si>
  <si>
    <t xml:space="preserve">2025-12-23</t>
  </si>
  <si>
    <t xml:space="preserve">0.000% (CONFIRMED / 2307 scanned)</t>
  </si>
  <si>
    <t xml:space="preserve">2025-12-24</t>
  </si>
  <si>
    <t xml:space="preserve">0.000% (CONFIRMED / 2293 scanned)</t>
  </si>
  <si>
    <t xml:space="preserve">2025-12-26</t>
  </si>
  <si>
    <t xml:space="preserve">0.000% (CONFIRMED / 2295 scanned)</t>
  </si>
  <si>
    <t xml:space="preserve">2025-12-29</t>
  </si>
  <si>
    <t xml:space="preserve">0.000% (CONFIRMED / 2294 scanned)</t>
  </si>
  <si>
    <t xml:space="preserve">0.389% (CONFIRMED / 2313 scanned)</t>
  </si>
  <si>
    <t xml:space="preserve">0.086% (CONFIRMED / 2320 scanned)</t>
  </si>
  <si>
    <t xml:space="preserve">0.345% (CONFIRMED / 2318 scanned)</t>
  </si>
  <si>
    <t xml:space="preserve">0.559% (CONFIRMED / 2325 scanned)</t>
  </si>
  <si>
    <t xml:space="preserve">0.729% (CONFIRMED / 2333 scanned)</t>
  </si>
  <si>
    <t xml:space="preserve">0.471% (CONFIRMED / 2336 scanned)</t>
  </si>
  <si>
    <t xml:space="preserve">0.128% (CONFIRMED / 2337 scanned)</t>
  </si>
  <si>
    <t xml:space="preserve">0.086% (CONFIRMED / 2339 scanned)</t>
  </si>
  <si>
    <t xml:space="preserve">0.213% (CONFIRMED / 2351 scanned)</t>
  </si>
  <si>
    <t xml:space="preserve">0.212% (CONFIRMED / 2357 scanned)</t>
  </si>
  <si>
    <t xml:space="preserve">0.297% (CONFIRMED / 2355 scanned)</t>
  </si>
  <si>
    <t xml:space="preserve">0.297% (CONFIRMED / 2358 scanned)</t>
  </si>
  <si>
    <t xml:space="preserve">0.085% (CONFIRMED / 2366 scanned)</t>
  </si>
  <si>
    <t xml:space="preserve">2026-01-20</t>
  </si>
  <si>
    <t xml:space="preserve">0.000% (CONFIRMED / 2368 scanned)</t>
  </si>
  <si>
    <t xml:space="preserve">2026-01-21</t>
  </si>
  <si>
    <t xml:space="preserve">2026-01-22</t>
  </si>
  <si>
    <t xml:space="preserve">0.000% (CONFIRMED / 2367 scanned)</t>
  </si>
  <si>
    <t xml:space="preserve">2026-01-23</t>
  </si>
  <si>
    <t xml:space="preserve">0.000% (CONFIRMED / 2377 scanned)</t>
  </si>
  <si>
    <t xml:space="preserve">2026-01-27</t>
  </si>
  <si>
    <t xml:space="preserve">0.000% (CONFIRMED / 2385 scanned)</t>
  </si>
  <si>
    <t xml:space="preserve">0.545% (CONFIRMED / 2384 scanned)</t>
  </si>
  <si>
    <t xml:space="preserve">0.335% (CONFIRMED / 2387 scanned)</t>
  </si>
  <si>
    <t xml:space="preserve">0.251% (CONFIRMED / 2386 scanned)</t>
  </si>
  <si>
    <t xml:space="preserve">0.126% (CONFIRMED / 2389 scanned)</t>
  </si>
  <si>
    <t xml:space="preserve">0.753% (CONFIRMED / 2390 scanned)</t>
  </si>
  <si>
    <t xml:space="preserve">0.544% (CONFIRMED / 2391 scanned)</t>
  </si>
  <si>
    <t xml:space="preserve">0.084% (CONFIRMED / 2391 scanned)</t>
  </si>
  <si>
    <t xml:space="preserve">0.376% (CONFIRMED / 2392 scanned)</t>
  </si>
  <si>
    <t xml:space="preserve">0.167% (CONFIRMED / 2390 scanned)</t>
  </si>
  <si>
    <t xml:space="preserve">0.209% (CONFIRMED / 2392 scanned)</t>
  </si>
  <si>
    <t xml:space="preserve">0.084% (CONFIRMED / 2392 scanned)</t>
  </si>
  <si>
    <t xml:space="preserve">0.084% (CONFIRMED / 2394 scanned)</t>
  </si>
  <si>
    <t xml:space="preserve">0.042% (CONFIRMED / 2394 scanned)</t>
  </si>
  <si>
    <t xml:space="preserve">2026-02-18</t>
  </si>
  <si>
    <t xml:space="preserve">0.000% (CONFIRMED / 2395 scanned)</t>
  </si>
  <si>
    <t xml:space="preserve">2026-02-19</t>
  </si>
  <si>
    <t xml:space="preserve">0.000% (CONFIRMED / 2397 scanned)</t>
  </si>
  <si>
    <t xml:space="preserve">2026-02-20</t>
  </si>
  <si>
    <t xml:space="preserve">0.000% (CONFIRMED / 2396 scanned)</t>
  </si>
  <si>
    <t xml:space="preserve">0.042% (CONFIRMED / 2399 scanned)</t>
  </si>
  <si>
    <t xml:space="preserve">0.042% (CONFIRMED / 2398 scanned)</t>
  </si>
  <si>
    <t xml:space="preserve">0.458% (CONFIRMED / 2400 scanned)</t>
  </si>
  <si>
    <t xml:space="preserve">0.209% (CONFIRMED / 2398 scanned)</t>
  </si>
  <si>
    <t xml:space="preserve">0.125% (CONFIRMED / 2397 scanned)</t>
  </si>
  <si>
    <t xml:space="preserve">0.083% (CONFIRMED / 2400 scanned)</t>
  </si>
  <si>
    <t xml:space="preserve">2026-03-04</t>
  </si>
  <si>
    <t xml:space="preserve">0.000% (CONFIRMED / 2400 scanned)</t>
  </si>
  <si>
    <t xml:space="preserve">0.042% (CONFIRMED / 2402 scanned)</t>
  </si>
  <si>
    <t xml:space="preserve">0.166% (CONFIRMED / 2404 scanned)</t>
  </si>
  <si>
    <t xml:space="preserve">0.083% (CONFIRMED / 2404 scanned)</t>
  </si>
  <si>
    <t xml:space="preserve">0.042% (CONFIRMED / 2404 scanned)</t>
  </si>
  <si>
    <t xml:space="preserve">2026-03-13</t>
  </si>
  <si>
    <t xml:space="preserve">0.000% (CONFIRMED / 2403 scanned)</t>
  </si>
  <si>
    <t xml:space="preserve">0.042% (CONFIRMED / 2406 scanned)</t>
  </si>
  <si>
    <t xml:space="preserve">0.125% (CONFIRMED / 2407 scanned)</t>
  </si>
  <si>
    <t xml:space="preserve">0.332% (CONFIRMED / 2407 scanned)</t>
  </si>
  <si>
    <t xml:space="preserve">2026-03-19</t>
  </si>
  <si>
    <t xml:space="preserve">0.000% (CONFIRMED / 2404 scanned)</t>
  </si>
  <si>
    <t xml:space="preserve">0.582% (CONFIRMED / 2405 scanned)</t>
  </si>
  <si>
    <t xml:space="preserve">0.041% (CONFIRMED / 2411 scanned)</t>
  </si>
  <si>
    <t xml:space="preserve">2026-03-24</t>
  </si>
  <si>
    <t xml:space="preserve">0.000% (CONFIRMED / 2411 scanned)</t>
  </si>
  <si>
    <t xml:space="preserve">2026-03-25</t>
  </si>
  <si>
    <t xml:space="preserve">2026-03-27</t>
  </si>
  <si>
    <t xml:space="preserve">0.000% (CONFIRMED / 2413 scanned)</t>
  </si>
  <si>
    <t xml:space="preserve">2026-03-30</t>
  </si>
  <si>
    <t xml:space="preserve">0.000% (CONFIRMED / 2417 scanned)</t>
  </si>
  <si>
    <t xml:space="preserve">0.662% (CONFIRMED / 2417 scanned)</t>
  </si>
  <si>
    <t xml:space="preserve">0.289% (CONFIRMED / 2421 scanned)</t>
  </si>
  <si>
    <t xml:space="preserve">0.289% (CONFIRMED / 2423 scanned)</t>
  </si>
  <si>
    <t xml:space="preserve">0.124% (CONFIRMED / 2425 scanned)</t>
  </si>
  <si>
    <t xml:space="preserve">1.073% (CONFIRMED / 2424 scanned)</t>
  </si>
  <si>
    <t xml:space="preserve">0.206% (CONFIRMED / 2424 scanned)</t>
  </si>
  <si>
    <t xml:space="preserve">0.330% (CONFIRMED / 2423 scanned)</t>
  </si>
  <si>
    <t xml:space="preserve">2026-04-13</t>
  </si>
  <si>
    <t xml:space="preserve">0.000% (CONFIRMED / 2427 scanned)</t>
  </si>
  <si>
    <t xml:space="preserve">0.700% (CONFIRMED / 2429 scanned)</t>
  </si>
  <si>
    <t xml:space="preserve">0.165% (CONFIRMED / 2429 scanned)</t>
  </si>
  <si>
    <t xml:space="preserve">0.673% (CONFIRMED / 2378 scanned)</t>
  </si>
  <si>
    <t xml:space="preserve">0.042% (CONFIRMED / 2379 scanned)</t>
  </si>
  <si>
    <t xml:space="preserve">0.126% (CONFIRMED / 2378 scanned)</t>
  </si>
  <si>
    <t xml:space="preserve">2026-04-22</t>
  </si>
  <si>
    <t xml:space="preserve">0.000% (CONFIRMED / 2375 scanned)</t>
  </si>
  <si>
    <t xml:space="preserve">2026-04-23</t>
  </si>
  <si>
    <t xml:space="preserve">0.000% (CONFIRMED / 2370 scanned)</t>
  </si>
  <si>
    <t xml:space="preserve">2026-04-24</t>
  </si>
  <si>
    <t xml:space="preserve">0.000% (CONFIRMED / 2365 scanned)</t>
  </si>
  <si>
    <t xml:space="preserve">2026-04-27</t>
  </si>
  <si>
    <t xml:space="preserve">0.000% (CONFIRMED / 2361 scanned)</t>
  </si>
  <si>
    <t xml:space="preserve">2026-04-28</t>
  </si>
  <si>
    <t xml:space="preserve">0.000% (CONFIRMED / 2356 scanned)</t>
  </si>
  <si>
    <t xml:space="preserve">0.085% (CONFIRMED / 2357 scanned)</t>
  </si>
  <si>
    <t xml:space="preserve">0.085% (CONFIRMED / 2340 scanned)</t>
  </si>
  <si>
    <t xml:space="preserve">0.214% (CONFIRMED / 2341 scanned)</t>
  </si>
  <si>
    <t xml:space="preserve">0.085% (CONFIRMED / 2341 scanned)</t>
  </si>
  <si>
    <t xml:space="preserve">0.470% (CONFIRMED / 2342 scanned)</t>
  </si>
  <si>
    <t xml:space="preserve">0.256% (CONFIRMED / 2342 scanned)</t>
  </si>
  <si>
    <t xml:space="preserve">0.086% (CONFIRMED / 2337 scanned)</t>
  </si>
  <si>
    <t xml:space="preserve">0.128% (CONFIRMED / 2338 scanned)</t>
  </si>
  <si>
    <t xml:space="preserve">0.043% (CONFIRMED / 2334 scanned)</t>
  </si>
  <si>
    <t xml:space="preserve">0.301% (CONFIRMED / 2328 scanned)</t>
  </si>
  <si>
    <t xml:space="preserve">0.129% (CONFIRMED / 2324 scanned)</t>
  </si>
  <si>
    <t xml:space="preserve">0.086% (CONFIRMED / 2317 scanned)</t>
  </si>
  <si>
    <t xml:space="preserve">0.043% (CONFIRMED / 2315 scanned)</t>
  </si>
  <si>
    <t xml:space="preserve">0.204% (CONFIRMED / 2447 scanned)</t>
  </si>
  <si>
    <t xml:space="preserve">0.122% (CONFIRMED / 2453 scanned)</t>
  </si>
  <si>
    <t xml:space="preserve">2026-05-21</t>
  </si>
  <si>
    <t xml:space="preserve">0.000% (CONFIRMED / 2451 scanned)</t>
  </si>
  <si>
    <t xml:space="preserve">2026-05-22</t>
  </si>
  <si>
    <t xml:space="preserve">0.000% (CONFIRMED / 2453 scanned)</t>
  </si>
  <si>
    <t xml:space="preserve">2026-05-25</t>
  </si>
  <si>
    <t xml:space="preserve">0.000% (CONFIRMED / 2454 scanned)</t>
  </si>
  <si>
    <t xml:space="preserve">2026-05-26</t>
  </si>
  <si>
    <t xml:space="preserve">0.204% (CONFIRMED / 2451 scanned)</t>
  </si>
  <si>
    <t xml:space="preserve">0.572% (CONFIRMED / 2447 scanned)</t>
  </si>
  <si>
    <t xml:space="preserve">0.082% (CONFIRMED / 2450 scanned)</t>
  </si>
  <si>
    <t xml:space="preserve">0.082% (CONFIRMED / 2444 scanned)</t>
  </si>
  <si>
    <t xml:space="preserve">2026-06-04</t>
  </si>
  <si>
    <t xml:space="preserve">0.000% (CONFIRMED / 2443 scanned)</t>
  </si>
  <si>
    <t xml:space="preserve">0.123% (CONFIRMED / 2435 scanned)</t>
  </si>
  <si>
    <t xml:space="preserve">2026-06-08</t>
  </si>
  <si>
    <t xml:space="preserve">0.000% (CONFIRMED / 2437 scanned)</t>
  </si>
  <si>
    <t xml:space="preserve">0.247% (CONFIRMED / 2434 scanned)</t>
  </si>
  <si>
    <t xml:space="preserve">0.041% (CONFIRMED / 2431 scanned)</t>
  </si>
  <si>
    <t xml:space="preserve">2026-06-11</t>
  </si>
  <si>
    <t xml:space="preserve">0.000% (CONFIRMED / 2423 scanned)</t>
  </si>
  <si>
    <t xml:space="preserve">0.413% (CONFIRMED / 2420 scanned)</t>
  </si>
  <si>
    <t xml:space="preserve">0.538% (CONFIRMED / 2418 scanned)</t>
  </si>
  <si>
    <t xml:space="preserve">0.124% (CONFIRMED / 2422 scanned)</t>
  </si>
  <si>
    <t xml:space="preserve">0.248% (CONFIRMED / 2418 scanned)</t>
  </si>
  <si>
    <t xml:space="preserve">0.083% (CONFIRMED / 2409 scanned)</t>
  </si>
  <si>
    <t xml:space="preserve">0.250% (CONFIRMED / 2404 scanned)</t>
  </si>
  <si>
    <t xml:space="preserve">0.166% (CONFIRMED / 2409 scanned)</t>
  </si>
  <si>
    <t xml:space="preserve">2026-06-24</t>
  </si>
  <si>
    <t xml:space="preserve">0.000% (CONFIRMED / 2401 scanned)</t>
  </si>
  <si>
    <t xml:space="preserve">2026-06-25</t>
  </si>
  <si>
    <t xml:space="preserve">0.000% (CONFIRMED / 2399 scanned)</t>
  </si>
  <si>
    <t xml:space="preserve">2026-06-29</t>
  </si>
  <si>
    <t xml:space="preserve">0.167% (CONFIRMED / 2391 scanned)</t>
  </si>
  <si>
    <t xml:space="preserve">0.336% (CONFIRMED / 2381 scanned)</t>
  </si>
  <si>
    <t xml:space="preserve">0.297% (CONFIRMED / 2360 scanned)</t>
  </si>
  <si>
    <t xml:space="preserve">0.296% (CONFIRMED / 2362 scanned)</t>
  </si>
  <si>
    <t xml:space="preserve">0.212% (CONFIRMED / 2359 scanned)</t>
  </si>
  <si>
    <t xml:space="preserve">0.042% (CONFIRMED / 2354 scanned)</t>
  </si>
  <si>
    <t xml:space="preserve">0.255% (CONFIRMED / 2351 scanned)</t>
  </si>
  <si>
    <t xml:space="preserve">0.213% (CONFIRMED / 2346 scanned)</t>
  </si>
  <si>
    <t xml:space="preserve">0.127% (CONFIRMED / 2354 scanned)</t>
  </si>
  <si>
    <t xml:space="preserve">0.170% (CONFIRMED / 2351 scanned)</t>
  </si>
  <si>
    <t xml:space="preserve">0.297% (CONFIRMED / 2354 scanned)</t>
  </si>
  <si>
    <t xml:space="preserve">0.170% (CONFIRMED / 2355 scanned)</t>
  </si>
  <si>
    <t xml:space="preserve">0.085% (CONFIRMED / 2350 scanned)</t>
  </si>
  <si>
    <t xml:space="preserve">0.128% (CONFIRMED / 2351 scanned)</t>
  </si>
  <si>
    <t xml:space="preserve">2026-07-21</t>
  </si>
  <si>
    <t xml:space="preserve">2026-07-22</t>
  </si>
  <si>
    <t xml:space="preserve">0.000% (CONFIRMED / 2352 scanned)</t>
  </si>
  <si>
    <t xml:space="preserve">2026-07-23</t>
  </si>
  <si>
    <t xml:space="preserve">0.000% (CONFIRMED / 2351 scanned)</t>
  </si>
  <si>
    <t xml:space="preserve">2026-07-24</t>
  </si>
  <si>
    <t xml:space="preserve">2026-07-27</t>
  </si>
  <si>
    <t xml:space="preserve">0.042% (CONFIRMED / 2374 scanned)</t>
  </si>
  <si>
    <t xml:space="preserve">0.337% (CONFIRMED / 2374 scanned)</t>
  </si>
  <si>
    <t xml:space="preserve">0.168% (CONFIRMED / 2374 scanned)</t>
  </si>
  <si>
    <t xml:space="preserve">0.462% (CONFIRMED / 2382 scanned)</t>
  </si>
  <si>
    <t xml:space="preserve">0.251% (CONFIRMED / 2387 scanned)</t>
  </si>
  <si>
    <t xml:space="preserve">0.168% (CONFIRMED / 2383 scanned)</t>
  </si>
  <si>
    <t xml:space="preserve">0.629% (CONFIRMED / 2385 scanned)</t>
  </si>
  <si>
    <t xml:space="preserve">0.210% (CONFIRMED / 2381 scanned)</t>
  </si>
  <si>
    <t xml:space="preserve">0.084% (CONFIRMED / 2381 scanned)</t>
  </si>
  <si>
    <t xml:space="preserve">0.042% (CONFIRMED / 2393 scanned)</t>
  </si>
  <si>
    <t xml:space="preserve">0.083% (CONFIRMED / 2424 scanned)</t>
  </si>
  <si>
    <t xml:space="preserve">2026-08-13</t>
  </si>
  <si>
    <t xml:space="preserve">0.000% (CONFIRMED / 2430 scanned)</t>
  </si>
  <si>
    <t xml:space="preserve">0.082% (CONFIRMED / 2428 scanned)</t>
  </si>
  <si>
    <t xml:space="preserve">0.082% (CONFIRMED / 2453 scanned)</t>
  </si>
  <si>
    <t xml:space="preserve">0.041% (CONFIRMED / 2454 scanned)</t>
  </si>
  <si>
    <t xml:space="preserve">0.041% (CONFIRMED / 2455 scanned)</t>
  </si>
  <si>
    <t xml:space="preserve">2026-08-20</t>
  </si>
  <si>
    <t xml:space="preserve">0.000% (CONFIRMED / 2450 scanned)</t>
  </si>
  <si>
    <t xml:space="preserve">2026-08-21</t>
  </si>
  <si>
    <t xml:space="preserve">2026-08-24</t>
  </si>
  <si>
    <t xml:space="preserve">0.000% (CONFIRMED / 2457 scanned)</t>
  </si>
  <si>
    <t xml:space="preserve">2026-08-25</t>
  </si>
  <si>
    <t xml:space="preserve">0.000% (CONFIRMED / 2458 scanned)</t>
  </si>
  <si>
    <t xml:space="preserve">0.244% (CONFIRMED / 2456 scanned)</t>
  </si>
  <si>
    <t xml:space="preserve">0.367% (CONFIRMED / 2455 scanned)</t>
  </si>
  <si>
    <t xml:space="preserve">0.567% (CONFIRMED / 2470 scanned)</t>
  </si>
  <si>
    <t xml:space="preserve">2026-09-01</t>
  </si>
  <si>
    <t xml:space="preserve">0.000% (CONFIRMED / 2471 scanned)</t>
  </si>
  <si>
    <t xml:space="preserve">0.081% (CONFIRMED / 2474 scanned)</t>
  </si>
  <si>
    <t xml:space="preserve">0.203% (CONFIRMED / 2469 scanned)</t>
  </si>
  <si>
    <t xml:space="preserve">2026-09-04</t>
  </si>
  <si>
    <t xml:space="preserve">MISSING / UNVERIFIED — recorded run saw zero-filled delivery data on this date; zero events there is NOT a verified zero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</si>
  <si>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</si>
  <si>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</si>
  <si>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</si>
  <si>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</si>
  <si>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</si>
  <si>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2026-09-15</t>
  </si>
  <si>
    <t xml:space="preserve">2026-09-16</t>
  </si>
  <si>
    <t xml:space="preserve">MISSING / UNVERIFIED — no recorded V15 run covers this date (raw files exist, no verdicts stored)</t>
  </si>
  <si>
    <t xml:space="preserve">2026-09-17</t>
  </si>
  <si>
    <t xml:space="preserve">2026-09-18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</si>
  <si>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</si>
  <si>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</si>
  <si>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</si>
  <si>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</si>
  <si>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Week (ISO)</t>
  </si>
  <si>
    <t xml:space="preserve">Session range</t>
  </si>
  <si>
    <t xml:space="preserve">Trading Sessions</t>
  </si>
  <si>
    <t xml:space="preserve">Verified Sessions</t>
  </si>
  <si>
    <t xml:space="preserve">Missing Sessions</t>
  </si>
  <si>
    <t xml:space="preserve">Total STARTING</t>
  </si>
  <si>
    <t xml:space="preserve">Total CONFIRMED (verified sessions only)</t>
  </si>
  <si>
    <t xml:space="preserve">Unique Confirmed Stocks</t>
  </si>
  <si>
    <t xml:space="preserve">Average Confirmed per Verified Session</t>
  </si>
  <si>
    <t xml:space="preserve">Confirmation Rate (CONFIRMED / STARTING)</t>
  </si>
  <si>
    <t xml:space="preserve">Supplementary rate</t>
  </si>
  <si>
    <t xml:space="preserve">Risen (current)</t>
  </si>
  <si>
    <t xml:space="preserve">Fallen (current)</t>
  </si>
  <si>
    <t xml:space="preserve">Unchanged</t>
  </si>
  <si>
    <t xml:space="preserve">No Current Data</t>
  </si>
  <si>
    <t xml:space="preserve">Up vs Down outcome</t>
  </si>
  <si>
    <t xml:space="preserve">2025-W36</t>
  </si>
  <si>
    <t xml:space="preserve">2025-09-02 → 2025-09-05</t>
  </si>
  <si>
    <t xml:space="preserve">N/A — STARTING not recorded</t>
  </si>
  <si>
    <t xml:space="preserve">2025-W37</t>
  </si>
  <si>
    <t xml:space="preserve">2025-09-08 → 2025-09-12</t>
  </si>
  <si>
    <t xml:space="preserve">2025-W38</t>
  </si>
  <si>
    <t xml:space="preserve">2025-09-15 → 2025-09-19</t>
  </si>
  <si>
    <t xml:space="preserve">2025-W39</t>
  </si>
  <si>
    <t xml:space="preserve">2025-09-22 → 2025-09-26</t>
  </si>
  <si>
    <t xml:space="preserve">2025-W40</t>
  </si>
  <si>
    <t xml:space="preserve">2025-09-29 → 2025-10-03</t>
  </si>
  <si>
    <t xml:space="preserve">7.33 (÷ 3 verified sessions)</t>
  </si>
  <si>
    <t xml:space="preserve">3.52 per 1,000 scanned (6,258 stock-sessions)</t>
  </si>
  <si>
    <t xml:space="preserve">8 up / 14 down</t>
  </si>
  <si>
    <t xml:space="preserve">2025-W41</t>
  </si>
  <si>
    <t xml:space="preserve">2025-10-06 → 2025-10-10</t>
  </si>
  <si>
    <t xml:space="preserve">4.80 (÷ 5 verified sessions)</t>
  </si>
  <si>
    <t xml:space="preserve">2.24 per 1,000 scanned (10,693 stock-sessions)</t>
  </si>
  <si>
    <t xml:space="preserve">8 up / 15 down</t>
  </si>
  <si>
    <t xml:space="preserve">2025-W42</t>
  </si>
  <si>
    <t xml:space="preserve">2025-10-13 → 2025-10-17</t>
  </si>
  <si>
    <t xml:space="preserve">2.20 per 1,000 scanned (10,903 stock-sessions)</t>
  </si>
  <si>
    <t xml:space="preserve">8 up / 16 down</t>
  </si>
  <si>
    <t xml:space="preserve">2025-W43</t>
  </si>
  <si>
    <t xml:space="preserve">2025-10-20 → 2025-10-24</t>
  </si>
  <si>
    <t xml:space="preserve">0.25 (÷ 4 verified sessions)</t>
  </si>
  <si>
    <t xml:space="preserve">0.11 per 1,000 scanned (8,787 stock-sessions)</t>
  </si>
  <si>
    <t xml:space="preserve">0 up / 1 down</t>
  </si>
  <si>
    <t xml:space="preserve">2025-W44</t>
  </si>
  <si>
    <t xml:space="preserve">2025-10-27 → 2025-10-31</t>
  </si>
  <si>
    <t xml:space="preserve">4.00 (÷ 5 verified sessions)</t>
  </si>
  <si>
    <t xml:space="preserve">1.82 per 1,000 scanned (10,996 stock-sessions)</t>
  </si>
  <si>
    <t xml:space="preserve">9 up / 11 down</t>
  </si>
  <si>
    <t xml:space="preserve">2025-W45</t>
  </si>
  <si>
    <t xml:space="preserve">2025-11-03 → 2025-11-07</t>
  </si>
  <si>
    <t xml:space="preserve">4.00 (÷ 4 verified sessions)</t>
  </si>
  <si>
    <t xml:space="preserve">1.81 per 1,000 scanned (8,863 stock-sessions)</t>
  </si>
  <si>
    <t xml:space="preserve">6 up / 10 down</t>
  </si>
  <si>
    <t xml:space="preserve">2025-W46</t>
  </si>
  <si>
    <t xml:space="preserve">2025-11-10 → 2025-11-14</t>
  </si>
  <si>
    <t xml:space="preserve">4.20 (÷ 5 verified sessions)</t>
  </si>
  <si>
    <t xml:space="preserve">1.88 per 1,000 scanned (11,159 stock-sessions)</t>
  </si>
  <si>
    <t xml:space="preserve">12 up / 8 down</t>
  </si>
  <si>
    <t xml:space="preserve">2025-W47</t>
  </si>
  <si>
    <t xml:space="preserve">2025-11-17 → 2025-11-21</t>
  </si>
  <si>
    <t xml:space="preserve">0.60 (÷ 5 verified sessions)</t>
  </si>
  <si>
    <t xml:space="preserve">0.27 per 1,000 scanned (11,291 stock-sessions)</t>
  </si>
  <si>
    <t xml:space="preserve">1 up / 2 down</t>
  </si>
  <si>
    <t xml:space="preserve">2025-W48</t>
  </si>
  <si>
    <t xml:space="preserve">2025-11-24 → 2025-11-28</t>
  </si>
  <si>
    <t xml:space="preserve">1.80 (÷ 5 verified sessions)</t>
  </si>
  <si>
    <t xml:space="preserve">0.79 per 1,000 scanned (11,343 stock-sessions)</t>
  </si>
  <si>
    <t xml:space="preserve">6 up / 3 down</t>
  </si>
  <si>
    <t xml:space="preserve">2025-W49</t>
  </si>
  <si>
    <t xml:space="preserve">2025-12-01 → 2025-12-05</t>
  </si>
  <si>
    <t xml:space="preserve">1.20 (÷ 5 verified sessions)</t>
  </si>
  <si>
    <t xml:space="preserve">0.53 per 1,000 scanned (11,380 stock-sessions)</t>
  </si>
  <si>
    <t xml:space="preserve">4 up / 2 down</t>
  </si>
  <si>
    <t xml:space="preserve">2025-W50</t>
  </si>
  <si>
    <t xml:space="preserve">2025-12-08 → 2025-12-12</t>
  </si>
  <si>
    <t xml:space="preserve">3.80 (÷ 5 verified sessions)</t>
  </si>
  <si>
    <t xml:space="preserve">1.66 per 1,000 scanned (11,428 stock-sessions)</t>
  </si>
  <si>
    <t xml:space="preserve">9 up / 10 down</t>
  </si>
  <si>
    <t xml:space="preserve">2025-W51</t>
  </si>
  <si>
    <t xml:space="preserve">2025-12-15 → 2025-12-19</t>
  </si>
  <si>
    <t xml:space="preserve">2.80 (÷ 5 verified sessions)</t>
  </si>
  <si>
    <t xml:space="preserve">1.22 per 1,000 scanned (11,468 stock-sessions)</t>
  </si>
  <si>
    <t xml:space="preserve">7 up / 6 down</t>
  </si>
  <si>
    <t xml:space="preserve">2025-W52</t>
  </si>
  <si>
    <t xml:space="preserve">2025-12-22 → 2025-12-26</t>
  </si>
  <si>
    <t xml:space="preserve">0.11 per 1,000 scanned (9,196 stock-sessions)</t>
  </si>
  <si>
    <t xml:space="preserve">2026-W01</t>
  </si>
  <si>
    <t xml:space="preserve">2025-12-29 → 2026-01-02</t>
  </si>
  <si>
    <t xml:space="preserve">1.73 per 1,000 scanned (11,546 stock-sessions)</t>
  </si>
  <si>
    <t xml:space="preserve">5 up / 15 down</t>
  </si>
  <si>
    <t xml:space="preserve">2026-W02</t>
  </si>
  <si>
    <t xml:space="preserve">2026-01-05 → 2026-01-09</t>
  </si>
  <si>
    <t xml:space="preserve">9.20 (÷ 5 verified sessions)</t>
  </si>
  <si>
    <t xml:space="preserve">3.94 per 1,000 scanned (11,670 stock-sessions)</t>
  </si>
  <si>
    <t xml:space="preserve">11 up / 35 down</t>
  </si>
  <si>
    <t xml:space="preserve">2026-W03</t>
  </si>
  <si>
    <t xml:space="preserve">2026-01-12 → 2026-01-16</t>
  </si>
  <si>
    <t xml:space="preserve">6.00 (÷ 4 verified sessions)</t>
  </si>
  <si>
    <t xml:space="preserve">2.55 per 1,000 scanned (9,421 stock-sessions)</t>
  </si>
  <si>
    <t xml:space="preserve">6 up / 17 down</t>
  </si>
  <si>
    <t xml:space="preserve">2026-W04</t>
  </si>
  <si>
    <t xml:space="preserve">2026-01-19 → 2026-01-23</t>
  </si>
  <si>
    <t xml:space="preserve">0.40 (÷ 5 verified sessions)</t>
  </si>
  <si>
    <t xml:space="preserve">0.17 per 1,000 scanned (11,846 stock-sessions)</t>
  </si>
  <si>
    <t xml:space="preserve">1 up / 1 down</t>
  </si>
  <si>
    <t xml:space="preserve">2026-W05</t>
  </si>
  <si>
    <t xml:space="preserve">2026-01-27 → 2026-01-30</t>
  </si>
  <si>
    <t xml:space="preserve">6.75 (÷ 4 verified sessions)</t>
  </si>
  <si>
    <t xml:space="preserve">2.83 per 1,000 scanned (9,542 stock-sessions)</t>
  </si>
  <si>
    <t xml:space="preserve">8 up / 19 down</t>
  </si>
  <si>
    <t xml:space="preserve">2026-W06</t>
  </si>
  <si>
    <t xml:space="preserve">2026-02-02 → 2026-02-06</t>
  </si>
  <si>
    <t xml:space="preserve">7.60 (÷ 5 verified sessions)</t>
  </si>
  <si>
    <t xml:space="preserve">3.18 per 1,000 scanned (11,952 stock-sessions)</t>
  </si>
  <si>
    <t xml:space="preserve">11 up / 27 down</t>
  </si>
  <si>
    <t xml:space="preserve">2026-W07</t>
  </si>
  <si>
    <t xml:space="preserve">2026-02-09 → 2026-02-13</t>
  </si>
  <si>
    <t xml:space="preserve">4.40 (÷ 5 verified sessions)</t>
  </si>
  <si>
    <t xml:space="preserve">1.84 per 1,000 scanned (11,958 stock-sessions)</t>
  </si>
  <si>
    <t xml:space="preserve">5 up / 17 down</t>
  </si>
  <si>
    <t xml:space="preserve">2026-W08</t>
  </si>
  <si>
    <t xml:space="preserve">2026-02-16 → 2026-02-20</t>
  </si>
  <si>
    <t xml:space="preserve">0.25 per 1,000 scanned (11,976 stock-sessions)</t>
  </si>
  <si>
    <t xml:space="preserve">2026-W09</t>
  </si>
  <si>
    <t xml:space="preserve">2026-02-23 → 2026-02-27</t>
  </si>
  <si>
    <t xml:space="preserve">1.75 per 1,000 scanned (11,992 stock-sessions)</t>
  </si>
  <si>
    <t xml:space="preserve">5 up / 16 down</t>
  </si>
  <si>
    <t xml:space="preserve">2026-W10</t>
  </si>
  <si>
    <t xml:space="preserve">2026-03-02 → 2026-03-06</t>
  </si>
  <si>
    <t xml:space="preserve">1.25 (÷ 4 verified sessions)</t>
  </si>
  <si>
    <t xml:space="preserve">0.52 per 1,000 scanned (9,591 stock-sessions)</t>
  </si>
  <si>
    <t xml:space="preserve">2 up / 3 down</t>
  </si>
  <si>
    <t xml:space="preserve">2026-W11</t>
  </si>
  <si>
    <t xml:space="preserve">2026-03-09 → 2026-03-13</t>
  </si>
  <si>
    <t xml:space="preserve">1.60 (÷ 5 verified sessions)</t>
  </si>
  <si>
    <t xml:space="preserve">0.67 per 1,000 scanned (12,017 stock-sessions)</t>
  </si>
  <si>
    <t xml:space="preserve">3 up / 5 down</t>
  </si>
  <si>
    <t xml:space="preserve">2026-W12</t>
  </si>
  <si>
    <t xml:space="preserve">2026-03-16 → 2026-03-20</t>
  </si>
  <si>
    <t xml:space="preserve">5.20 (÷ 5 verified sessions)</t>
  </si>
  <si>
    <t xml:space="preserve">2.16 per 1,000 scanned (12,029 stock-sessions)</t>
  </si>
  <si>
    <t xml:space="preserve">11 up / 15 down</t>
  </si>
  <si>
    <t xml:space="preserve">2026-W13</t>
  </si>
  <si>
    <t xml:space="preserve">2026-03-23 → 2026-03-27</t>
  </si>
  <si>
    <t xml:space="preserve">0.10 per 1,000 scanned (9,646 stock-sessions)</t>
  </si>
  <si>
    <t xml:space="preserve">2026-W14</t>
  </si>
  <si>
    <t xml:space="preserve">2026-03-30 → 2026-04-02</t>
  </si>
  <si>
    <t xml:space="preserve">7.67 (÷ 3 verified sessions)</t>
  </si>
  <si>
    <t xml:space="preserve">3.17 per 1,000 scanned (7,255 stock-sessions)</t>
  </si>
  <si>
    <t xml:space="preserve">17 up / 6 down</t>
  </si>
  <si>
    <t xml:space="preserve">2026-W15</t>
  </si>
  <si>
    <t xml:space="preserve">2026-04-06 → 2026-04-10</t>
  </si>
  <si>
    <t xml:space="preserve">9.80 (÷ 5 verified sessions)</t>
  </si>
  <si>
    <t xml:space="preserve">4.04 per 1,000 scanned (12,119 stock-sessions)</t>
  </si>
  <si>
    <t xml:space="preserve">29 up / 20 down</t>
  </si>
  <si>
    <t xml:space="preserve">2026-W16</t>
  </si>
  <si>
    <t xml:space="preserve">2026-04-13 → 2026-04-17</t>
  </si>
  <si>
    <t xml:space="preserve">9.25 (÷ 4 verified sessions)</t>
  </si>
  <si>
    <t xml:space="preserve">3.83 per 1,000 scanned (9,663 stock-sessions)</t>
  </si>
  <si>
    <t xml:space="preserve">12 up / 25 down</t>
  </si>
  <si>
    <t xml:space="preserve">2026-W17</t>
  </si>
  <si>
    <t xml:space="preserve">2026-04-20 → 2026-04-24</t>
  </si>
  <si>
    <t xml:space="preserve">0.80 (÷ 5 verified sessions)</t>
  </si>
  <si>
    <t xml:space="preserve">0.34 per 1,000 scanned (11,867 stock-sessions)</t>
  </si>
  <si>
    <t xml:space="preserve">3 up / 1 down</t>
  </si>
  <si>
    <t xml:space="preserve">2026-W18</t>
  </si>
  <si>
    <t xml:space="preserve">2026-04-27 → 2026-04-30</t>
  </si>
  <si>
    <t xml:space="preserve">1.00 (÷ 4 verified sessions)</t>
  </si>
  <si>
    <t xml:space="preserve">0.42 per 1,000 scanned (9,414 stock-sessions)</t>
  </si>
  <si>
    <t xml:space="preserve">4 up / 0 down</t>
  </si>
  <si>
    <t xml:space="preserve">2026-W19</t>
  </si>
  <si>
    <t xml:space="preserve">2026-05-04 → 2026-05-08</t>
  </si>
  <si>
    <t xml:space="preserve">2.22 per 1,000 scanned (11,703 stock-sessions)</t>
  </si>
  <si>
    <t xml:space="preserve">7 up / 19 down</t>
  </si>
  <si>
    <t xml:space="preserve">2026-W20</t>
  </si>
  <si>
    <t xml:space="preserve">2026-05-11 → 2026-05-15</t>
  </si>
  <si>
    <t xml:space="preserve">3.20 (÷ 5 verified sessions)</t>
  </si>
  <si>
    <t xml:space="preserve">1.37 per 1,000 scanned (11,641 stock-sessions)</t>
  </si>
  <si>
    <t xml:space="preserve">2026-W21</t>
  </si>
  <si>
    <t xml:space="preserve">2026-05-18 → 2026-05-22</t>
  </si>
  <si>
    <t xml:space="preserve">0.74 per 1,000 scanned (12,119 stock-sessions)</t>
  </si>
  <si>
    <t xml:space="preserve">3 up / 6 down</t>
  </si>
  <si>
    <t xml:space="preserve">2026-W22</t>
  </si>
  <si>
    <t xml:space="preserve">2026-05-25 → 2026-05-29</t>
  </si>
  <si>
    <t xml:space="preserve">4.75 (÷ 4 verified sessions)</t>
  </si>
  <si>
    <t xml:space="preserve">1.94 per 1,000 scanned (9,805 stock-sessions)</t>
  </si>
  <si>
    <t xml:space="preserve">6 up / 13 down</t>
  </si>
  <si>
    <t xml:space="preserve">2026-W23</t>
  </si>
  <si>
    <t xml:space="preserve">2026-06-01 → 2026-06-05</t>
  </si>
  <si>
    <t xml:space="preserve">2.40 (÷ 5 verified sessions)</t>
  </si>
  <si>
    <t xml:space="preserve">0.98 per 1,000 scanned (12,219 stock-sessions)</t>
  </si>
  <si>
    <t xml:space="preserve">3 up / 9 down</t>
  </si>
  <si>
    <t xml:space="preserve">2026-W24</t>
  </si>
  <si>
    <t xml:space="preserve">2026-06-08 → 2026-06-12</t>
  </si>
  <si>
    <t xml:space="preserve">3.40 (÷ 5 verified sessions)</t>
  </si>
  <si>
    <t xml:space="preserve">1.40 per 1,000 scanned (12,145 stock-sessions)</t>
  </si>
  <si>
    <t xml:space="preserve">10 up / 7 down</t>
  </si>
  <si>
    <t xml:space="preserve">2026-W25</t>
  </si>
  <si>
    <t xml:space="preserve">2026-06-15 → 2026-06-19</t>
  </si>
  <si>
    <t xml:space="preserve">6.00 (÷ 5 verified sessions)</t>
  </si>
  <si>
    <t xml:space="preserve">2.49 per 1,000 scanned (12,071 stock-sessions)</t>
  </si>
  <si>
    <t xml:space="preserve">10 up / 20 down</t>
  </si>
  <si>
    <t xml:space="preserve">2026-W26</t>
  </si>
  <si>
    <t xml:space="preserve">2026-06-22 → 2026-06-25</t>
  </si>
  <si>
    <t xml:space="preserve">0.52 per 1,000 scanned (9,613 stock-sessions)</t>
  </si>
  <si>
    <t xml:space="preserve">1 up / 4 down</t>
  </si>
  <si>
    <t xml:space="preserve">2026-W27</t>
  </si>
  <si>
    <t xml:space="preserve">2026-06-29 → 2026-07-03</t>
  </si>
  <si>
    <t xml:space="preserve">1.76 per 1,000 scanned (11,922 stock-sessions)</t>
  </si>
  <si>
    <t xml:space="preserve">2026-W28</t>
  </si>
  <si>
    <t xml:space="preserve">2026-07-06 → 2026-07-10</t>
  </si>
  <si>
    <t xml:space="preserve">2.04 per 1,000 scanned (11,772 stock-sessions)</t>
  </si>
  <si>
    <t xml:space="preserve">5 up / 19 down</t>
  </si>
  <si>
    <t xml:space="preserve">2026-W29</t>
  </si>
  <si>
    <t xml:space="preserve">2026-07-13 → 2026-07-17</t>
  </si>
  <si>
    <t xml:space="preserve">1.70 per 1,000 scanned (11,764 stock-sessions)</t>
  </si>
  <si>
    <t xml:space="preserve">4 up / 16 down</t>
  </si>
  <si>
    <t xml:space="preserve">2026-W30</t>
  </si>
  <si>
    <t xml:space="preserve">2026-07-20 → 2026-07-24</t>
  </si>
  <si>
    <t xml:space="preserve">0.26 per 1,000 scanned (11,762 stock-sessions)</t>
  </si>
  <si>
    <t xml:space="preserve">2026-W31</t>
  </si>
  <si>
    <t xml:space="preserve">2026-07-27 → 2026-07-31</t>
  </si>
  <si>
    <t xml:space="preserve">2.02 per 1,000 scanned (11,874 stock-sessions)</t>
  </si>
  <si>
    <t xml:space="preserve">2026-W32</t>
  </si>
  <si>
    <t xml:space="preserve">2026-08-03 → 2026-08-07</t>
  </si>
  <si>
    <t xml:space="preserve">6.40 (÷ 5 verified sessions)</t>
  </si>
  <si>
    <t xml:space="preserve">2.69 per 1,000 scanned (11,917 stock-sessions)</t>
  </si>
  <si>
    <t xml:space="preserve">5 up / 27 down</t>
  </si>
  <si>
    <t xml:space="preserve">2026-W33</t>
  </si>
  <si>
    <t xml:space="preserve">2026-08-10 → 2026-08-14</t>
  </si>
  <si>
    <t xml:space="preserve">0.66 per 1,000 scanned (12,100 stock-sessions)</t>
  </si>
  <si>
    <t xml:space="preserve">1 up / 7 down</t>
  </si>
  <si>
    <t xml:space="preserve">2026-W34</t>
  </si>
  <si>
    <t xml:space="preserve">2026-08-17 → 2026-08-21</t>
  </si>
  <si>
    <t xml:space="preserve">0.33 per 1,000 scanned (12,262 stock-sessions)</t>
  </si>
  <si>
    <t xml:space="preserve">0 up / 4 down</t>
  </si>
  <si>
    <t xml:space="preserve">2026-W35</t>
  </si>
  <si>
    <t xml:space="preserve">2026-08-24 → 2026-08-28</t>
  </si>
  <si>
    <t xml:space="preserve">1.71 per 1,000 scanned (12,282 stock-sessions)</t>
  </si>
  <si>
    <t xml:space="preserve">7 up / 14 down</t>
  </si>
  <si>
    <t xml:space="preserve">2026-W36</t>
  </si>
  <si>
    <t xml:space="preserve">2026-08-31 → 2026-09-04</t>
  </si>
  <si>
    <t xml:space="preserve">5.25 (÷ 4 verified sessions)</t>
  </si>
  <si>
    <t xml:space="preserve">2.12 per 1,000 scanned (9,884 stock-sessions)</t>
  </si>
  <si>
    <t xml:space="preserve">0 up / 21 down</t>
  </si>
  <si>
    <t xml:space="preserve">2026-W37</t>
  </si>
  <si>
    <t xml:space="preserve">2026-09-07 → 2026-09-11</t>
  </si>
  <si>
    <t xml:space="preserve">2026-W38</t>
  </si>
  <si>
    <t xml:space="preserve">2026-09-15 → 2026-09-18</t>
  </si>
  <si>
    <t xml:space="preserve">2026-W39</t>
  </si>
  <si>
    <t xml:space="preserve">2026-09-21 → 2026-09-24</t>
  </si>
  <si>
    <t xml:space="preserve">Month</t>
  </si>
  <si>
    <t xml:space="preserve">Currently Risen</t>
  </si>
  <si>
    <t xml:space="preserve">Currently Fallen</t>
  </si>
  <si>
    <t xml:space="preserve">Currently Unchanged</t>
  </si>
  <si>
    <t xml:space="preserve">2025-09</t>
  </si>
  <si>
    <t xml:space="preserve">2025-09-02 → 2025-09-30</t>
  </si>
  <si>
    <t xml:space="preserve">0.00 (÷ 1 verified sessions)</t>
  </si>
  <si>
    <t xml:space="preserve">0.00 per 1,000 scanned (2,085 stock-sessions)</t>
  </si>
  <si>
    <t xml:space="preserve">2025-10</t>
  </si>
  <si>
    <t xml:space="preserve">2025-10-01 → 2025-10-31</t>
  </si>
  <si>
    <t xml:space="preserve">4.33 (÷ 21 verified sessions)</t>
  </si>
  <si>
    <t xml:space="preserve">2.00 per 1,000 scanned (45,552 stock-sessions)</t>
  </si>
  <si>
    <t xml:space="preserve">2025-11</t>
  </si>
  <si>
    <t xml:space="preserve">2025-11-03 → 2025-11-28</t>
  </si>
  <si>
    <t xml:space="preserve">2.58 (÷ 19 verified sessions)</t>
  </si>
  <si>
    <t xml:space="preserve">1.15 per 1,000 scanned (42,656 stock-sessions)</t>
  </si>
  <si>
    <t xml:space="preserve">2025-12</t>
  </si>
  <si>
    <t xml:space="preserve">2025-12-01 → 2025-12-31</t>
  </si>
  <si>
    <t xml:space="preserve">2.27 (÷ 22 verified sessions)</t>
  </si>
  <si>
    <t xml:space="preserve">0.99 per 1,000 scanned (50,380 stock-sessions)</t>
  </si>
  <si>
    <t xml:space="preserve">2026-01</t>
  </si>
  <si>
    <t xml:space="preserve">2026-01-01 → 2026-01-30</t>
  </si>
  <si>
    <t xml:space="preserve">5.45 (÷ 20 verified sessions)</t>
  </si>
  <si>
    <t xml:space="preserve">2.31 per 1,000 scanned (47,117 stock-sessions)</t>
  </si>
  <si>
    <t xml:space="preserve">2026-02</t>
  </si>
  <si>
    <t xml:space="preserve">2026-02-02 → 2026-02-27</t>
  </si>
  <si>
    <t xml:space="preserve">4.20 (÷ 20 verified sessions)</t>
  </si>
  <si>
    <t xml:space="preserve">1.75 per 1,000 scanned (47,878 stock-sessions)</t>
  </si>
  <si>
    <t xml:space="preserve">2026-03</t>
  </si>
  <si>
    <t xml:space="preserve">2026-03-02 → 2026-03-30</t>
  </si>
  <si>
    <t xml:space="preserve">2.11 (÷ 19 verified sessions)</t>
  </si>
  <si>
    <t xml:space="preserve">0.88 per 1,000 scanned (45,700 stock-sessions)</t>
  </si>
  <si>
    <t xml:space="preserve">2026-04</t>
  </si>
  <si>
    <t xml:space="preserve">2026-04-01 → 2026-04-30</t>
  </si>
  <si>
    <t xml:space="preserve">5.85 (÷ 20 verified sessions)</t>
  </si>
  <si>
    <t xml:space="preserve">2.44 per 1,000 scanned (47,901 stock-sessions)</t>
  </si>
  <si>
    <t xml:space="preserve">2026-05</t>
  </si>
  <si>
    <t xml:space="preserve">2026-05-04 → 2026-05-29</t>
  </si>
  <si>
    <t xml:space="preserve">3.68 (÷ 19 verified sessions)</t>
  </si>
  <si>
    <t xml:space="preserve">1.55 per 1,000 scanned (45,268 stock-sessions)</t>
  </si>
  <si>
    <t xml:space="preserve">2026-06</t>
  </si>
  <si>
    <t xml:space="preserve">2026-06-01 → 2026-06-30</t>
  </si>
  <si>
    <t xml:space="preserve">3.14 (÷ 21 verified sessions)</t>
  </si>
  <si>
    <t xml:space="preserve">1.30 per 1,000 scanned (50,838 stock-sessions)</t>
  </si>
  <si>
    <t xml:space="preserve">2026-07</t>
  </si>
  <si>
    <t xml:space="preserve">2026-07-01 → 2026-07-31</t>
  </si>
  <si>
    <t xml:space="preserve">3.91 (÷ 23 verified sessions)</t>
  </si>
  <si>
    <t xml:space="preserve">1.66 per 1,000 scanned (54,304 stock-sessions)</t>
  </si>
  <si>
    <t xml:space="preserve">2026-08</t>
  </si>
  <si>
    <t xml:space="preserve">2026-08-03 → 2026-08-31</t>
  </si>
  <si>
    <t xml:space="preserve">3.76 (÷ 21 verified sessions)</t>
  </si>
  <si>
    <t xml:space="preserve">1.55 per 1,000 scanned (51,031 stock-sessions)</t>
  </si>
  <si>
    <t xml:space="preserve">2026-09</t>
  </si>
  <si>
    <t xml:space="preserve">2026-09-01 → 2026-09-24</t>
  </si>
  <si>
    <t xml:space="preserve">2.33 (÷ 3 verified sessions)</t>
  </si>
  <si>
    <t xml:space="preserve">0.94 per 1,000 scanned (7,414 stock-sessions)</t>
  </si>
  <si>
    <t xml:space="preserve">Measure</t>
  </si>
  <si>
    <t xml:space="preserve">Count / %</t>
  </si>
  <si>
    <t xml:space="preserve">Denominator / note</t>
  </si>
  <si>
    <t xml:space="preserve">Total confirmed catches (catch-days)</t>
  </si>
  <si>
    <t xml:space="preserve">All catch-days; no maturity filter (youngest catch 2026-09-03 is 16 sessions before 2026-09-28)</t>
  </si>
  <si>
    <t xml:space="preserve">Risen catches</t>
  </si>
  <si>
    <t xml:space="preserve">Fallen catches</t>
  </si>
  <si>
    <t xml:space="preserve">Unchanged catches</t>
  </si>
  <si>
    <t xml:space="preserve">No current data</t>
  </si>
  <si>
    <t xml:space="preserve">Catches with a valid current price</t>
  </si>
  <si>
    <t xml:space="preserve">Denominator for % Risen / Fallen / Unchanged</t>
  </si>
  <si>
    <t xml:space="preserve">% Risen</t>
  </si>
  <si>
    <t xml:space="preserve">of catches with valid price (B7)</t>
  </si>
  <si>
    <t xml:space="preserve">% Fallen</t>
  </si>
  <si>
    <t xml:space="preserve">% Unchanged</t>
  </si>
  <si>
    <t xml:space="preserve">% No current data</t>
  </si>
  <si>
    <t xml:space="preserve">of ALL catches (B2)</t>
  </si>
  <si>
    <t xml:space="preserve">Supplementary: event-level view (769 events, entry = first-detection close → 2026-09-28 close; computed in Python, static)</t>
  </si>
  <si>
    <t xml:space="preserve">Events RISEN</t>
  </si>
  <si>
    <t xml:space="preserve">Events FALLEN</t>
  </si>
  <si>
    <t xml:space="preserve">Events UNCHANGED</t>
  </si>
  <si>
    <t xml:space="preserve">Events NO CURRENT DATA</t>
  </si>
  <si>
    <t xml:space="preserve">Supplementary: forward returns recorded by the engine run (events; NOT current price; static)</t>
  </si>
  <si>
    <t xml:space="preserve">1D: computed 769/769; CA-caveat flagged 0</t>
  </si>
  <si>
    <t xml:space="preserve">win rate 49.54% ; avg return 0.07%</t>
  </si>
  <si>
    <t xml:space="preserve">from REAL_1YEAR_BACKTEST_RESULT.json horizonStats</t>
  </si>
  <si>
    <t xml:space="preserve">5D: computed 769/769; CA-caveat flagged 0</t>
  </si>
  <si>
    <t xml:space="preserve">win rate 46.68% ; avg return 0.11%</t>
  </si>
  <si>
    <t xml:space="preserve">20D: computed 728/769; CA-caveat flagged 1</t>
  </si>
  <si>
    <t xml:space="preserve">win rate 48.49% ; avg return 0.59%</t>
  </si>
  <si>
    <t xml:space="preserve">60D: computed 600/769; CA-caveat flagged 4</t>
  </si>
  <si>
    <t xml:space="preserve">win rate 48.17% ; avg return 0.65%</t>
  </si>
  <si>
    <t xml:space="preserve">120D: computed 360/769; CA-caveat flagged 7</t>
  </si>
  <si>
    <t xml:space="preserve">win rate 41.94% ; avg return -1.8%</t>
  </si>
  <si>
    <t xml:space="preserve">#</t>
  </si>
  <si>
    <t xml:space="preserve">Current Price (2026-09-28)</t>
  </si>
  <si>
    <t xml:space="preserve">Return %</t>
  </si>
  <si>
    <t xml:space="preserve">CA heuristic flag</t>
  </si>
  <si>
    <t xml:space="preserve">Note</t>
  </si>
  <si>
    <t xml:space="preserve">TOP 20 RISING CATCHES</t>
  </si>
  <si>
    <t xml:space="preserve">BOTTOM 20 FALLING CATCHES</t>
  </si>
  <si>
    <t xml:space="preserve">FLAG</t>
  </si>
  <si>
    <t xml:space="preserve">First Detection Date</t>
  </si>
  <si>
    <t xml:space="preserve">Entry Close</t>
  </si>
  <si>
    <t xml:space="preserve">Latest Detection Date</t>
  </si>
  <si>
    <t xml:space="preserve">Latest Detection Price</t>
  </si>
  <si>
    <t xml:space="preserve">Streak (sessions)</t>
  </si>
  <si>
    <t xml:space="preserve">1D %</t>
  </si>
  <si>
    <t xml:space="preserve">5D %</t>
  </si>
  <si>
    <t xml:space="preserve">20D %</t>
  </si>
  <si>
    <t xml:space="preserve">60D %</t>
  </si>
  <si>
    <t xml:space="preserve">120D %</t>
  </si>
  <si>
    <t xml:space="preserve">Current Price 2026-09-28</t>
  </si>
  <si>
    <t xml:space="preserve">Entry → Current %</t>
  </si>
  <si>
    <t xml:space="preserve">Recorded CA caveat in any horizon</t>
  </si>
  <si>
    <t xml:space="preserve">Y</t>
  </si>
  <si>
    <t xml:space="preserve">INSUFFICIENT_FUTURE_DATA</t>
  </si>
  <si>
    <t xml:space="preserve">Reason V15 result cannot be established (MISSING ≠ ZERO)</t>
  </si>
  <si>
    <t xml:space="preserve">warm-up: engine needs 20 prior sessions, no verdict possible</t>
  </si>
  <si>
    <t xml:space="preserve">recorded run saw zero-filled delivery data on this date; zero events there is NOT a verified zero</t>
  </si>
  <si>
    <t xml:space="preserve">no recorded V15 run covers this date (raw files exist, no verdicts stored)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</si>
</sst>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  <row r="11" customFormat="false" ht="15" hidden="false" customHeight="false" outlineLevel="0" collapsed="false">
      <c r="A11" s="2" t="s">
        <v>20</v>
      </c>
      <c r="B11" s="2" t="s">
        <v>21</v>
      </c>
    </row>
    <row r="12" customFormat="false" ht="15" hidden="false" customHeight="false" outlineLevel="0" collapsed="false">
      <c r="A12" s="2" t="s">
        <v>22</v>
      </c>
      <c r="B12" s="2" t="s">
        <v>23</v>
      </c>
    </row>
    <row r="13" customFormat="false" ht="15" hidden="false" customHeight="false" outlineLevel="0" collapsed="false">
      <c r="A13" s="2" t="s">
        <v>24</v>
      </c>
      <c r="B13" s="2" t="s">
        <v>15</v>
      </c>
    </row>
    <row r="14" customFormat="false" ht="46.25" hidden="false" customHeight="false" outlineLevel="0" collapsed="false">
      <c r="A14" s="2" t="s">
        <v>25</v>
      </c>
      <c r="B14" s="2" t="s">
        <v>26</v>
      </c>
    </row>
    <row r="15" customFormat="false" ht="35.05" hidden="false" customHeight="false" outlineLevel="0" collapsed="false">
      <c r="A15" s="2" t="s">
        <v>27</v>
      </c>
      <c r="B15" s="2" t="s">
        <v>28</v>
      </c>
    </row>
    <row r="16" customFormat="false" ht="23.85" hidden="false" customHeight="false" outlineLevel="0" collapsed="false">
      <c r="A16" s="2" t="s">
        <v>29</v>
      </c>
      <c r="B16" s="2" t="s">
        <v>30</v>
      </c>
    </row>
    <row r="17" customFormat="false" ht="35.05" hidden="false" customHeight="false" outlineLevel="0" collapsed="false">
      <c r="A17" s="2" t="s">
        <v>31</v>
      </c>
      <c r="B17" s="2" t="s">
        <v>32</v>
      </c>
    </row>
    <row r="18" customFormat="false" ht="23.85" hidden="false" customHeight="false" outlineLevel="0" collapsed="false">
      <c r="A18" s="2" t="s">
        <v>33</v>
      </c>
      <c r="B18" s="2" t="s">
        <v>34</v>
      </c>
    </row>
    <row r="19" customFormat="false" ht="23.85" hidden="false" customHeight="false" outlineLevel="0" collapsed="false">
      <c r="A19" s="2" t="s">
        <v>35</v>
      </c>
      <c r="B19" s="2" t="s">
        <v>36</v>
      </c>
    </row>
    <row r="20" customFormat="false" ht="23.85" hidden="false" customHeight="false" outlineLevel="0" collapsed="false">
      <c r="A20" s="2" t="s">
        <v>37</v>
      </c>
      <c r="B20" s="2" t="s">
        <v>38</v>
      </c>
    </row>
    <row r="21" customFormat="false" ht="35.05" hidden="false" customHeight="false" outlineLevel="0" collapsed="false">
      <c r="A21" s="2" t="s">
        <v>39</v>
      </c>
      <c r="B21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6" min="14" style="0" width="9"/>
  </cols>
  <sheetData>
    <row r="1" customFormat="false" ht="35.05" hidden="false" customHeight="false" outlineLevel="0" collapsed="false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customFormat="false" ht="15" hidden="false" customHeight="false" outlineLevel="0" collapsed="false">
      <c r="A2" s="3" t="s">
        <v>57</v>
      </c>
      <c r="B2" s="3" t="s">
        <v>58</v>
      </c>
      <c r="C2" s="3" t="s">
        <v>59</v>
      </c>
      <c r="D2" s="4" t="n">
        <v>1731.1</v>
      </c>
      <c r="E2" s="3" t="s">
        <v>60</v>
      </c>
      <c r="F2" s="3" t="n">
        <v>65.29</v>
      </c>
      <c r="G2" s="3" t="s">
        <v>60</v>
      </c>
      <c r="H2" s="3" t="s">
        <v>60</v>
      </c>
      <c r="I2" s="3" t="n">
        <v>9691150</v>
      </c>
      <c r="J2" s="3" t="n">
        <v>306950</v>
      </c>
      <c r="K2" s="3" t="s">
        <v>61</v>
      </c>
      <c r="L2" s="3" t="s">
        <v>62</v>
      </c>
      <c r="M2" s="3" t="s">
        <v>63</v>
      </c>
      <c r="N2" s="3" t="n">
        <v>0</v>
      </c>
      <c r="O2" s="3" t="s">
        <v>64</v>
      </c>
      <c r="P2" s="3" t="s">
        <v>65</v>
      </c>
    </row>
    <row r="3" customFormat="false" ht="15" hidden="false" customHeight="false" outlineLevel="0" collapsed="false">
      <c r="A3" s="3" t="s">
        <v>57</v>
      </c>
      <c r="B3" s="3" t="s">
        <v>66</v>
      </c>
      <c r="C3" s="3" t="s">
        <v>67</v>
      </c>
      <c r="D3" s="4" t="n">
        <v>5710</v>
      </c>
      <c r="E3" s="3" t="s">
        <v>60</v>
      </c>
      <c r="F3" s="3" t="n">
        <v>75.65</v>
      </c>
      <c r="G3" s="3" t="s">
        <v>60</v>
      </c>
      <c r="H3" s="3" t="s">
        <v>60</v>
      </c>
      <c r="I3" s="3" t="n">
        <v>2668500</v>
      </c>
      <c r="J3" s="3" t="n">
        <v>96900</v>
      </c>
      <c r="K3" s="3" t="s">
        <v>61</v>
      </c>
      <c r="L3" s="3" t="s">
        <v>62</v>
      </c>
      <c r="M3" s="3" t="s">
        <v>68</v>
      </c>
      <c r="N3" s="3" t="n">
        <v>0</v>
      </c>
      <c r="O3" s="3" t="s">
        <v>69</v>
      </c>
      <c r="P3" s="3" t="s">
        <v>70</v>
      </c>
    </row>
    <row r="4" customFormat="false" ht="15" hidden="false" customHeight="false" outlineLevel="0" collapsed="false">
      <c r="A4" s="3" t="s">
        <v>57</v>
      </c>
      <c r="B4" s="3" t="s">
        <v>71</v>
      </c>
      <c r="C4" s="3" t="s">
        <v>72</v>
      </c>
      <c r="D4" s="4" t="n">
        <v>989.65</v>
      </c>
      <c r="E4" s="3" t="s">
        <v>60</v>
      </c>
      <c r="F4" s="3" t="n">
        <v>55.55</v>
      </c>
      <c r="G4" s="3" t="s">
        <v>60</v>
      </c>
      <c r="H4" s="3" t="s">
        <v>60</v>
      </c>
      <c r="I4" s="3" t="n">
        <v>7263300</v>
      </c>
      <c r="J4" s="3" t="n">
        <v>99975</v>
      </c>
      <c r="K4" s="3" t="s">
        <v>61</v>
      </c>
      <c r="L4" s="3" t="s">
        <v>62</v>
      </c>
      <c r="M4" s="3" t="s">
        <v>73</v>
      </c>
      <c r="N4" s="3" t="n">
        <v>0</v>
      </c>
      <c r="O4" s="3" t="s">
        <v>64</v>
      </c>
      <c r="P4" s="3" t="s">
        <v>65</v>
      </c>
    </row>
    <row r="5" customFormat="false" ht="15" hidden="false" customHeight="false" outlineLevel="0" collapsed="false">
      <c r="A5" s="3" t="s">
        <v>57</v>
      </c>
      <c r="B5" s="3" t="s">
        <v>74</v>
      </c>
      <c r="C5" s="3" t="s">
        <v>75</v>
      </c>
      <c r="D5" s="4" t="n">
        <v>1903.6</v>
      </c>
      <c r="E5" s="3" t="s">
        <v>60</v>
      </c>
      <c r="F5" s="3" t="n">
        <v>70.09</v>
      </c>
      <c r="G5" s="3" t="s">
        <v>60</v>
      </c>
      <c r="H5" s="3" t="s">
        <v>60</v>
      </c>
      <c r="I5" s="3" t="n">
        <v>5046275</v>
      </c>
      <c r="J5" s="3" t="n">
        <v>77025</v>
      </c>
      <c r="K5" s="3" t="s">
        <v>61</v>
      </c>
      <c r="L5" s="3" t="s">
        <v>62</v>
      </c>
      <c r="M5" s="3" t="s">
        <v>76</v>
      </c>
      <c r="N5" s="3" t="n">
        <v>0</v>
      </c>
      <c r="O5" s="3" t="s">
        <v>64</v>
      </c>
      <c r="P5" s="3" t="s">
        <v>65</v>
      </c>
    </row>
    <row r="6" customFormat="false" ht="15" hidden="false" customHeight="false" outlineLevel="0" collapsed="false">
      <c r="A6" s="3" t="s">
        <v>57</v>
      </c>
      <c r="B6" s="3" t="s">
        <v>77</v>
      </c>
      <c r="C6" s="3" t="s">
        <v>78</v>
      </c>
      <c r="D6" s="4" t="n">
        <v>141.18</v>
      </c>
      <c r="E6" s="3" t="s">
        <v>60</v>
      </c>
      <c r="F6" s="3" t="n">
        <v>61.21</v>
      </c>
      <c r="G6" s="3" t="s">
        <v>60</v>
      </c>
      <c r="H6" s="3" t="s">
        <v>60</v>
      </c>
      <c r="I6" s="3" t="n">
        <v>48900000</v>
      </c>
      <c r="J6" s="3" t="n">
        <v>4117500</v>
      </c>
      <c r="K6" s="3" t="s">
        <v>61</v>
      </c>
      <c r="L6" s="3" t="s">
        <v>62</v>
      </c>
      <c r="M6" s="3" t="s">
        <v>79</v>
      </c>
      <c r="N6" s="3" t="n">
        <v>0</v>
      </c>
      <c r="O6" s="3" t="s">
        <v>69</v>
      </c>
      <c r="P6" s="3" t="s">
        <v>70</v>
      </c>
    </row>
    <row r="7" customFormat="false" ht="15" hidden="false" customHeight="false" outlineLevel="0" collapsed="false">
      <c r="A7" s="3" t="s">
        <v>57</v>
      </c>
      <c r="B7" s="3" t="s">
        <v>80</v>
      </c>
      <c r="C7" s="3" t="s">
        <v>81</v>
      </c>
      <c r="D7" s="4" t="n">
        <v>1621.9</v>
      </c>
      <c r="E7" s="3" t="s">
        <v>60</v>
      </c>
      <c r="F7" s="3" t="n">
        <v>59.75</v>
      </c>
      <c r="G7" s="3" t="s">
        <v>60</v>
      </c>
      <c r="H7" s="3" t="s">
        <v>60</v>
      </c>
      <c r="I7" s="3" t="n">
        <v>5804800</v>
      </c>
      <c r="J7" s="3" t="n">
        <v>133600</v>
      </c>
      <c r="K7" s="3" t="s">
        <v>61</v>
      </c>
      <c r="L7" s="3" t="s">
        <v>62</v>
      </c>
      <c r="M7" s="3" t="s">
        <v>82</v>
      </c>
      <c r="N7" s="3" t="n">
        <v>0</v>
      </c>
      <c r="O7" s="3" t="s">
        <v>64</v>
      </c>
      <c r="P7" s="3" t="s">
        <v>65</v>
      </c>
    </row>
    <row r="8" customFormat="false" ht="15" hidden="false" customHeight="false" outlineLevel="0" collapsed="false">
      <c r="A8" s="3" t="s">
        <v>57</v>
      </c>
      <c r="B8" s="3" t="s">
        <v>83</v>
      </c>
      <c r="C8" s="3" t="s">
        <v>84</v>
      </c>
      <c r="D8" s="4" t="n">
        <v>2907.1</v>
      </c>
      <c r="E8" s="3" t="s">
        <v>60</v>
      </c>
      <c r="F8" s="3" t="n">
        <v>51.45</v>
      </c>
      <c r="G8" s="3" t="s">
        <v>60</v>
      </c>
      <c r="H8" s="3" t="s">
        <v>60</v>
      </c>
      <c r="I8" s="3" t="n">
        <v>2878600</v>
      </c>
      <c r="J8" s="3" t="n">
        <v>75800</v>
      </c>
      <c r="K8" s="3" t="s">
        <v>61</v>
      </c>
      <c r="L8" s="3" t="s">
        <v>62</v>
      </c>
      <c r="M8" s="3" t="s">
        <v>85</v>
      </c>
      <c r="N8" s="3" t="n">
        <v>0</v>
      </c>
      <c r="O8" s="3" t="s">
        <v>64</v>
      </c>
      <c r="P8" s="3" t="s">
        <v>65</v>
      </c>
    </row>
    <row r="9" customFormat="false" ht="15" hidden="false" customHeight="false" outlineLevel="0" collapsed="false">
      <c r="A9" s="3" t="s">
        <v>57</v>
      </c>
      <c r="B9" s="3" t="s">
        <v>86</v>
      </c>
      <c r="C9" s="3" t="s">
        <v>87</v>
      </c>
      <c r="D9" s="4" t="n">
        <v>21.76</v>
      </c>
      <c r="E9" s="3" t="s">
        <v>60</v>
      </c>
      <c r="F9" s="3" t="n">
        <v>51.51</v>
      </c>
      <c r="G9" s="3" t="s">
        <v>60</v>
      </c>
      <c r="H9" s="3" t="s">
        <v>60</v>
      </c>
      <c r="I9" s="3" t="n">
        <v>804463700</v>
      </c>
      <c r="J9" s="3" t="n">
        <v>32188500</v>
      </c>
      <c r="K9" s="3" t="s">
        <v>61</v>
      </c>
      <c r="L9" s="3" t="s">
        <v>62</v>
      </c>
      <c r="M9" s="3" t="s">
        <v>88</v>
      </c>
      <c r="N9" s="3" t="n">
        <v>0</v>
      </c>
      <c r="O9" s="3" t="s">
        <v>64</v>
      </c>
      <c r="P9" s="3" t="s">
        <v>65</v>
      </c>
    </row>
    <row r="10" customFormat="false" ht="15" hidden="false" customHeight="false" outlineLevel="0" collapsed="false">
      <c r="A10" s="3" t="s">
        <v>89</v>
      </c>
      <c r="B10" s="3" t="s">
        <v>90</v>
      </c>
      <c r="C10" s="3" t="s">
        <v>91</v>
      </c>
      <c r="D10" s="4" t="n">
        <v>8679.5</v>
      </c>
      <c r="E10" s="3" t="s">
        <v>60</v>
      </c>
      <c r="F10" s="3" t="n">
        <v>61.94</v>
      </c>
      <c r="G10" s="3" t="s">
        <v>60</v>
      </c>
      <c r="H10" s="3" t="s">
        <v>60</v>
      </c>
      <c r="I10" s="3" t="n">
        <v>3215850</v>
      </c>
      <c r="J10" s="3" t="n">
        <v>59100</v>
      </c>
      <c r="K10" s="3" t="s">
        <v>61</v>
      </c>
      <c r="L10" s="3" t="s">
        <v>62</v>
      </c>
      <c r="M10" s="3" t="s">
        <v>92</v>
      </c>
      <c r="N10" s="3" t="n">
        <v>0</v>
      </c>
      <c r="O10" s="3" t="s">
        <v>64</v>
      </c>
      <c r="P10" s="3" t="s">
        <v>65</v>
      </c>
    </row>
    <row r="11" customFormat="false" ht="15" hidden="false" customHeight="false" outlineLevel="0" collapsed="false">
      <c r="A11" s="3" t="s">
        <v>89</v>
      </c>
      <c r="B11" s="3" t="s">
        <v>93</v>
      </c>
      <c r="C11" s="3" t="s">
        <v>94</v>
      </c>
      <c r="D11" s="4" t="n">
        <v>2253.7</v>
      </c>
      <c r="E11" s="3" t="s">
        <v>60</v>
      </c>
      <c r="F11" s="3" t="n">
        <v>66.81</v>
      </c>
      <c r="G11" s="3" t="s">
        <v>60</v>
      </c>
      <c r="H11" s="3" t="s">
        <v>60</v>
      </c>
      <c r="I11" s="3" t="n">
        <v>2353325</v>
      </c>
      <c r="J11" s="3" t="n">
        <v>133250</v>
      </c>
      <c r="K11" s="3" t="s">
        <v>61</v>
      </c>
      <c r="L11" s="3" t="s">
        <v>62</v>
      </c>
      <c r="M11" s="3" t="s">
        <v>95</v>
      </c>
      <c r="N11" s="3" t="n">
        <v>0</v>
      </c>
      <c r="O11" s="3" t="s">
        <v>64</v>
      </c>
      <c r="P11" s="3" t="s">
        <v>65</v>
      </c>
    </row>
    <row r="12" customFormat="false" ht="15" hidden="false" customHeight="false" outlineLevel="0" collapsed="false">
      <c r="A12" s="3" t="s">
        <v>89</v>
      </c>
      <c r="B12" s="3" t="s">
        <v>96</v>
      </c>
      <c r="C12" s="3" t="s">
        <v>97</v>
      </c>
      <c r="D12" s="4" t="n">
        <v>437.3</v>
      </c>
      <c r="E12" s="3" t="s">
        <v>60</v>
      </c>
      <c r="F12" s="3" t="n">
        <v>66.13</v>
      </c>
      <c r="G12" s="3" t="s">
        <v>60</v>
      </c>
      <c r="H12" s="3" t="s">
        <v>60</v>
      </c>
      <c r="I12" s="3" t="n">
        <v>15770000</v>
      </c>
      <c r="J12" s="3" t="n">
        <v>2116500</v>
      </c>
      <c r="K12" s="3" t="s">
        <v>61</v>
      </c>
      <c r="L12" s="3" t="s">
        <v>62</v>
      </c>
      <c r="M12" s="3" t="s">
        <v>98</v>
      </c>
      <c r="N12" s="3" t="n">
        <v>0</v>
      </c>
      <c r="O12" s="3" t="s">
        <v>64</v>
      </c>
      <c r="P12" s="3" t="s">
        <v>65</v>
      </c>
    </row>
    <row r="13" customFormat="false" ht="15" hidden="false" customHeight="false" outlineLevel="0" collapsed="false">
      <c r="A13" s="3" t="s">
        <v>89</v>
      </c>
      <c r="B13" s="3" t="s">
        <v>66</v>
      </c>
      <c r="C13" s="3" t="s">
        <v>67</v>
      </c>
      <c r="D13" s="4" t="n">
        <v>5866</v>
      </c>
      <c r="E13" s="3" t="s">
        <v>60</v>
      </c>
      <c r="F13" s="3" t="n">
        <v>61.94</v>
      </c>
      <c r="G13" s="3" t="s">
        <v>60</v>
      </c>
      <c r="H13" s="3" t="s">
        <v>60</v>
      </c>
      <c r="I13" s="3" t="n">
        <v>2673600</v>
      </c>
      <c r="J13" s="3" t="n">
        <v>5100</v>
      </c>
      <c r="K13" s="3" t="s">
        <v>61</v>
      </c>
      <c r="L13" s="3" t="s">
        <v>62</v>
      </c>
      <c r="M13" s="3" t="s">
        <v>99</v>
      </c>
      <c r="N13" s="3" t="n">
        <v>0</v>
      </c>
      <c r="O13" s="3" t="s">
        <v>100</v>
      </c>
      <c r="P13" s="3" t="s">
        <v>70</v>
      </c>
    </row>
    <row r="14" customFormat="false" ht="15" hidden="false" customHeight="false" outlineLevel="0" collapsed="false">
      <c r="A14" s="3" t="s">
        <v>89</v>
      </c>
      <c r="B14" s="3" t="s">
        <v>101</v>
      </c>
      <c r="C14" s="3" t="s">
        <v>102</v>
      </c>
      <c r="D14" s="4" t="n">
        <v>5591</v>
      </c>
      <c r="E14" s="3" t="s">
        <v>60</v>
      </c>
      <c r="F14" s="3" t="n">
        <v>75.93</v>
      </c>
      <c r="G14" s="3" t="s">
        <v>60</v>
      </c>
      <c r="H14" s="3" t="s">
        <v>60</v>
      </c>
      <c r="I14" s="3" t="n">
        <v>2002500</v>
      </c>
      <c r="J14" s="3" t="n">
        <v>29250</v>
      </c>
      <c r="K14" s="3" t="s">
        <v>61</v>
      </c>
      <c r="L14" s="3" t="s">
        <v>62</v>
      </c>
      <c r="M14" s="3" t="s">
        <v>103</v>
      </c>
      <c r="N14" s="3" t="n">
        <v>0</v>
      </c>
      <c r="O14" s="3" t="s">
        <v>64</v>
      </c>
      <c r="P14" s="3" t="s">
        <v>65</v>
      </c>
    </row>
    <row r="15" customFormat="false" ht="15" hidden="false" customHeight="false" outlineLevel="0" collapsed="false">
      <c r="A15" s="3" t="s">
        <v>89</v>
      </c>
      <c r="B15" s="3" t="s">
        <v>104</v>
      </c>
      <c r="C15" s="3" t="s">
        <v>105</v>
      </c>
      <c r="D15" s="4" t="n">
        <v>446.3</v>
      </c>
      <c r="E15" s="3" t="s">
        <v>60</v>
      </c>
      <c r="F15" s="3" t="n">
        <v>47.13</v>
      </c>
      <c r="G15" s="3" t="s">
        <v>60</v>
      </c>
      <c r="H15" s="3" t="s">
        <v>60</v>
      </c>
      <c r="I15" s="3" t="n">
        <v>48087675</v>
      </c>
      <c r="J15" s="3" t="n">
        <v>1543050</v>
      </c>
      <c r="K15" s="3" t="s">
        <v>61</v>
      </c>
      <c r="L15" s="3" t="s">
        <v>62</v>
      </c>
      <c r="M15" s="3" t="s">
        <v>106</v>
      </c>
      <c r="N15" s="3" t="n">
        <v>0</v>
      </c>
      <c r="O15" s="3" t="s">
        <v>64</v>
      </c>
      <c r="P15" s="3" t="s">
        <v>65</v>
      </c>
    </row>
    <row r="16" customFormat="false" ht="15" hidden="false" customHeight="false" outlineLevel="0" collapsed="false">
      <c r="A16" s="3" t="s">
        <v>89</v>
      </c>
      <c r="B16" s="3" t="s">
        <v>77</v>
      </c>
      <c r="C16" s="3" t="s">
        <v>78</v>
      </c>
      <c r="D16" s="4" t="n">
        <v>143.59</v>
      </c>
      <c r="E16" s="3" t="s">
        <v>60</v>
      </c>
      <c r="F16" s="3" t="n">
        <v>50.15</v>
      </c>
      <c r="G16" s="3" t="s">
        <v>60</v>
      </c>
      <c r="H16" s="3" t="s">
        <v>60</v>
      </c>
      <c r="I16" s="3" t="n">
        <v>50070000</v>
      </c>
      <c r="J16" s="3" t="n">
        <v>1170000</v>
      </c>
      <c r="K16" s="3" t="s">
        <v>61</v>
      </c>
      <c r="L16" s="3" t="s">
        <v>62</v>
      </c>
      <c r="M16" s="3" t="s">
        <v>107</v>
      </c>
      <c r="N16" s="3" t="n">
        <v>0</v>
      </c>
      <c r="O16" s="3" t="s">
        <v>100</v>
      </c>
      <c r="P16" s="3" t="s">
        <v>70</v>
      </c>
    </row>
    <row r="17" customFormat="false" ht="15" hidden="false" customHeight="false" outlineLevel="0" collapsed="false">
      <c r="A17" s="3" t="s">
        <v>89</v>
      </c>
      <c r="B17" s="3" t="s">
        <v>108</v>
      </c>
      <c r="C17" s="3" t="s">
        <v>109</v>
      </c>
      <c r="D17" s="4" t="n">
        <v>1076.5</v>
      </c>
      <c r="E17" s="3" t="s">
        <v>60</v>
      </c>
      <c r="F17" s="3" t="n">
        <v>49.1</v>
      </c>
      <c r="G17" s="3" t="s">
        <v>60</v>
      </c>
      <c r="H17" s="3" t="s">
        <v>60</v>
      </c>
      <c r="I17" s="3" t="n">
        <v>12210000</v>
      </c>
      <c r="J17" s="3" t="n">
        <v>318750</v>
      </c>
      <c r="K17" s="3" t="s">
        <v>61</v>
      </c>
      <c r="L17" s="3" t="s">
        <v>62</v>
      </c>
      <c r="M17" s="3" t="s">
        <v>110</v>
      </c>
      <c r="N17" s="3" t="n">
        <v>0</v>
      </c>
      <c r="O17" s="3" t="s">
        <v>64</v>
      </c>
      <c r="P17" s="3" t="s">
        <v>65</v>
      </c>
    </row>
    <row r="18" customFormat="false" ht="15" hidden="false" customHeight="false" outlineLevel="0" collapsed="false">
      <c r="A18" s="3" t="s">
        <v>89</v>
      </c>
      <c r="B18" s="3" t="s">
        <v>111</v>
      </c>
      <c r="C18" s="3" t="s">
        <v>112</v>
      </c>
      <c r="D18" s="4" t="n">
        <v>262.33</v>
      </c>
      <c r="E18" s="3" t="s">
        <v>60</v>
      </c>
      <c r="F18" s="3" t="n">
        <v>46.58</v>
      </c>
      <c r="G18" s="3" t="s">
        <v>60</v>
      </c>
      <c r="H18" s="3" t="s">
        <v>60</v>
      </c>
      <c r="I18" s="3" t="n">
        <v>46632362</v>
      </c>
      <c r="J18" s="3" t="n">
        <v>2137298</v>
      </c>
      <c r="K18" s="3" t="s">
        <v>61</v>
      </c>
      <c r="L18" s="3" t="s">
        <v>62</v>
      </c>
      <c r="M18" s="3" t="s">
        <v>113</v>
      </c>
      <c r="N18" s="3" t="n">
        <v>0</v>
      </c>
      <c r="O18" s="3" t="s">
        <v>64</v>
      </c>
      <c r="P18" s="3" t="s">
        <v>65</v>
      </c>
    </row>
    <row r="19" customFormat="false" ht="15" hidden="false" customHeight="false" outlineLevel="0" collapsed="false">
      <c r="A19" s="3" t="s">
        <v>89</v>
      </c>
      <c r="B19" s="3" t="s">
        <v>114</v>
      </c>
      <c r="C19" s="3" t="s">
        <v>115</v>
      </c>
      <c r="D19" s="4" t="n">
        <v>77.1</v>
      </c>
      <c r="E19" s="3" t="s">
        <v>60</v>
      </c>
      <c r="F19" s="3" t="n">
        <v>49.58</v>
      </c>
      <c r="G19" s="3" t="s">
        <v>60</v>
      </c>
      <c r="H19" s="3" t="s">
        <v>60</v>
      </c>
      <c r="I19" s="3" t="n">
        <v>273523500</v>
      </c>
      <c r="J19" s="3" t="n">
        <v>4387500</v>
      </c>
      <c r="K19" s="3" t="s">
        <v>61</v>
      </c>
      <c r="L19" s="3" t="s">
        <v>62</v>
      </c>
      <c r="M19" s="3" t="s">
        <v>116</v>
      </c>
      <c r="N19" s="3" t="n">
        <v>0</v>
      </c>
      <c r="O19" s="3" t="s">
        <v>64</v>
      </c>
      <c r="P19" s="3" t="s">
        <v>65</v>
      </c>
    </row>
    <row r="20" customFormat="false" ht="15" hidden="false" customHeight="false" outlineLevel="0" collapsed="false">
      <c r="A20" s="3" t="s">
        <v>89</v>
      </c>
      <c r="B20" s="3" t="s">
        <v>117</v>
      </c>
      <c r="C20" s="3" t="s">
        <v>118</v>
      </c>
      <c r="D20" s="4" t="n">
        <v>278.95</v>
      </c>
      <c r="E20" s="3" t="s">
        <v>60</v>
      </c>
      <c r="F20" s="3" t="n">
        <v>71.24</v>
      </c>
      <c r="G20" s="3" t="s">
        <v>60</v>
      </c>
      <c r="H20" s="3" t="s">
        <v>60</v>
      </c>
      <c r="I20" s="3" t="n">
        <v>39207600</v>
      </c>
      <c r="J20" s="3" t="n">
        <v>963000</v>
      </c>
      <c r="K20" s="3" t="s">
        <v>61</v>
      </c>
      <c r="L20" s="3" t="s">
        <v>62</v>
      </c>
      <c r="M20" s="3" t="s">
        <v>119</v>
      </c>
      <c r="N20" s="3" t="n">
        <v>0</v>
      </c>
      <c r="O20" s="3" t="s">
        <v>64</v>
      </c>
      <c r="P20" s="3" t="s">
        <v>65</v>
      </c>
    </row>
    <row r="21" customFormat="false" ht="15" hidden="false" customHeight="false" outlineLevel="0" collapsed="false">
      <c r="A21" s="3" t="s">
        <v>89</v>
      </c>
      <c r="B21" s="3" t="s">
        <v>120</v>
      </c>
      <c r="C21" s="3" t="s">
        <v>121</v>
      </c>
      <c r="D21" s="4" t="n">
        <v>412.2</v>
      </c>
      <c r="E21" s="3" t="s">
        <v>60</v>
      </c>
      <c r="F21" s="3" t="n">
        <v>59.41</v>
      </c>
      <c r="G21" s="3" t="s">
        <v>60</v>
      </c>
      <c r="H21" s="3" t="s">
        <v>60</v>
      </c>
      <c r="I21" s="3" t="n">
        <v>48304100</v>
      </c>
      <c r="J21" s="3" t="n">
        <v>1309100</v>
      </c>
      <c r="K21" s="3" t="s">
        <v>61</v>
      </c>
      <c r="L21" s="3" t="s">
        <v>62</v>
      </c>
      <c r="M21" s="3" t="s">
        <v>122</v>
      </c>
      <c r="N21" s="3" t="n">
        <v>0</v>
      </c>
      <c r="O21" s="3" t="s">
        <v>64</v>
      </c>
      <c r="P21" s="3" t="s">
        <v>65</v>
      </c>
    </row>
    <row r="22" customFormat="false" ht="15" hidden="false" customHeight="false" outlineLevel="0" collapsed="false">
      <c r="A22" s="3" t="s">
        <v>89</v>
      </c>
      <c r="B22" s="3" t="s">
        <v>123</v>
      </c>
      <c r="C22" s="3" t="s">
        <v>124</v>
      </c>
      <c r="D22" s="4" t="n">
        <v>114.37</v>
      </c>
      <c r="E22" s="3" t="s">
        <v>60</v>
      </c>
      <c r="F22" s="3" t="n">
        <v>50.72</v>
      </c>
      <c r="G22" s="3" t="s">
        <v>60</v>
      </c>
      <c r="H22" s="3" t="s">
        <v>60</v>
      </c>
      <c r="I22" s="3" t="n">
        <v>245104000</v>
      </c>
      <c r="J22" s="3" t="n">
        <v>6656000</v>
      </c>
      <c r="K22" s="3" t="s">
        <v>61</v>
      </c>
      <c r="L22" s="3" t="s">
        <v>62</v>
      </c>
      <c r="M22" s="3" t="s">
        <v>125</v>
      </c>
      <c r="N22" s="3" t="n">
        <v>0</v>
      </c>
      <c r="O22" s="3" t="s">
        <v>64</v>
      </c>
      <c r="P22" s="3" t="s">
        <v>65</v>
      </c>
    </row>
    <row r="23" customFormat="false" ht="15" hidden="false" customHeight="false" outlineLevel="0" collapsed="false">
      <c r="A23" s="3" t="s">
        <v>89</v>
      </c>
      <c r="B23" s="3" t="s">
        <v>126</v>
      </c>
      <c r="C23" s="3" t="s">
        <v>127</v>
      </c>
      <c r="D23" s="4" t="n">
        <v>470.95</v>
      </c>
      <c r="E23" s="3" t="s">
        <v>60</v>
      </c>
      <c r="F23" s="3" t="n">
        <v>45.66</v>
      </c>
      <c r="G23" s="3" t="s">
        <v>60</v>
      </c>
      <c r="H23" s="3" t="s">
        <v>60</v>
      </c>
      <c r="I23" s="3" t="n">
        <v>94314950</v>
      </c>
      <c r="J23" s="3" t="n">
        <v>3379850</v>
      </c>
      <c r="K23" s="3" t="s">
        <v>61</v>
      </c>
      <c r="L23" s="3" t="s">
        <v>62</v>
      </c>
      <c r="M23" s="3" t="s">
        <v>128</v>
      </c>
      <c r="N23" s="3" t="n">
        <v>0</v>
      </c>
      <c r="O23" s="3" t="s">
        <v>64</v>
      </c>
      <c r="P23" s="3" t="s">
        <v>65</v>
      </c>
    </row>
    <row r="24" customFormat="false" ht="15" hidden="false" customHeight="false" outlineLevel="0" collapsed="false">
      <c r="A24" s="3" t="s">
        <v>129</v>
      </c>
      <c r="B24" s="3" t="s">
        <v>130</v>
      </c>
      <c r="C24" s="3" t="s">
        <v>131</v>
      </c>
      <c r="D24" s="4" t="n">
        <v>3825.5</v>
      </c>
      <c r="E24" s="3" t="s">
        <v>60</v>
      </c>
      <c r="F24" s="3" t="n">
        <v>66.68</v>
      </c>
      <c r="G24" s="3" t="s">
        <v>60</v>
      </c>
      <c r="H24" s="3" t="s">
        <v>60</v>
      </c>
      <c r="I24" s="3" t="n">
        <v>1938750</v>
      </c>
      <c r="J24" s="3" t="n">
        <v>52200</v>
      </c>
      <c r="K24" s="3" t="s">
        <v>61</v>
      </c>
      <c r="L24" s="3" t="s">
        <v>62</v>
      </c>
      <c r="M24" s="3" t="s">
        <v>132</v>
      </c>
      <c r="N24" s="3" t="n">
        <v>0</v>
      </c>
      <c r="O24" s="3" t="s">
        <v>64</v>
      </c>
      <c r="P24" s="3" t="s">
        <v>65</v>
      </c>
    </row>
    <row r="25" customFormat="false" ht="15" hidden="false" customHeight="false" outlineLevel="0" collapsed="false">
      <c r="A25" s="3" t="s">
        <v>129</v>
      </c>
      <c r="B25" s="3" t="s">
        <v>133</v>
      </c>
      <c r="C25" s="3" t="s">
        <v>134</v>
      </c>
      <c r="D25" s="4" t="n">
        <v>1180.6</v>
      </c>
      <c r="E25" s="3" t="s">
        <v>60</v>
      </c>
      <c r="F25" s="3" t="n">
        <v>67.99</v>
      </c>
      <c r="G25" s="3" t="s">
        <v>60</v>
      </c>
      <c r="H25" s="3" t="s">
        <v>60</v>
      </c>
      <c r="I25" s="3" t="n">
        <v>3292900</v>
      </c>
      <c r="J25" s="3" t="n">
        <v>256700</v>
      </c>
      <c r="K25" s="3" t="s">
        <v>61</v>
      </c>
      <c r="L25" s="3" t="s">
        <v>62</v>
      </c>
      <c r="M25" s="3" t="s">
        <v>135</v>
      </c>
      <c r="N25" s="3" t="n">
        <v>0</v>
      </c>
      <c r="O25" s="3" t="s">
        <v>64</v>
      </c>
      <c r="P25" s="3" t="s">
        <v>65</v>
      </c>
    </row>
    <row r="26" customFormat="false" ht="15" hidden="false" customHeight="false" outlineLevel="0" collapsed="false">
      <c r="A26" s="3" t="s">
        <v>129</v>
      </c>
      <c r="B26" s="3" t="s">
        <v>136</v>
      </c>
      <c r="C26" s="3" t="s">
        <v>137</v>
      </c>
      <c r="D26" s="4" t="n">
        <v>154.84</v>
      </c>
      <c r="E26" s="3" t="s">
        <v>60</v>
      </c>
      <c r="F26" s="3" t="n">
        <v>50.99</v>
      </c>
      <c r="G26" s="3" t="s">
        <v>60</v>
      </c>
      <c r="H26" s="3" t="s">
        <v>60</v>
      </c>
      <c r="I26" s="3" t="n">
        <v>86814000</v>
      </c>
      <c r="J26" s="3" t="n">
        <v>4314375</v>
      </c>
      <c r="K26" s="3" t="s">
        <v>61</v>
      </c>
      <c r="L26" s="3" t="s">
        <v>62</v>
      </c>
      <c r="M26" s="3" t="s">
        <v>138</v>
      </c>
      <c r="N26" s="3" t="n">
        <v>0</v>
      </c>
      <c r="O26" s="3" t="s">
        <v>64</v>
      </c>
      <c r="P26" s="3" t="s">
        <v>65</v>
      </c>
    </row>
    <row r="27" customFormat="false" ht="15" hidden="false" customHeight="false" outlineLevel="0" collapsed="false">
      <c r="A27" s="3" t="s">
        <v>129</v>
      </c>
      <c r="B27" s="3" t="s">
        <v>139</v>
      </c>
      <c r="C27" s="3" t="s">
        <v>140</v>
      </c>
      <c r="D27" s="4" t="n">
        <v>2456.3</v>
      </c>
      <c r="E27" s="3" t="s">
        <v>60</v>
      </c>
      <c r="F27" s="3" t="n">
        <v>48.3</v>
      </c>
      <c r="G27" s="3" t="s">
        <v>60</v>
      </c>
      <c r="H27" s="3" t="s">
        <v>60</v>
      </c>
      <c r="I27" s="3" t="n">
        <v>1669950</v>
      </c>
      <c r="J27" s="3" t="n">
        <v>63450</v>
      </c>
      <c r="K27" s="3" t="s">
        <v>61</v>
      </c>
      <c r="L27" s="3" t="s">
        <v>62</v>
      </c>
      <c r="M27" s="3" t="s">
        <v>141</v>
      </c>
      <c r="N27" s="3" t="n">
        <v>0</v>
      </c>
      <c r="O27" s="3" t="s">
        <v>64</v>
      </c>
      <c r="P27" s="3" t="s">
        <v>65</v>
      </c>
    </row>
    <row r="28" customFormat="false" ht="15" hidden="false" customHeight="false" outlineLevel="0" collapsed="false">
      <c r="A28" s="3" t="s">
        <v>129</v>
      </c>
      <c r="B28" s="3" t="s">
        <v>142</v>
      </c>
      <c r="C28" s="3" t="s">
        <v>143</v>
      </c>
      <c r="D28" s="4" t="n">
        <v>1142.1</v>
      </c>
      <c r="E28" s="3" t="s">
        <v>60</v>
      </c>
      <c r="F28" s="3" t="n">
        <v>67.16</v>
      </c>
      <c r="G28" s="3" t="s">
        <v>60</v>
      </c>
      <c r="H28" s="3" t="s">
        <v>60</v>
      </c>
      <c r="I28" s="3" t="n">
        <v>15843300</v>
      </c>
      <c r="J28" s="3" t="n">
        <v>13200</v>
      </c>
      <c r="K28" s="3" t="s">
        <v>61</v>
      </c>
      <c r="L28" s="3" t="s">
        <v>62</v>
      </c>
      <c r="M28" s="3" t="s">
        <v>144</v>
      </c>
      <c r="N28" s="3" t="n">
        <v>0</v>
      </c>
      <c r="O28" s="3" t="s">
        <v>64</v>
      </c>
      <c r="P28" s="3" t="s">
        <v>65</v>
      </c>
    </row>
    <row r="29" customFormat="false" ht="15" hidden="false" customHeight="false" outlineLevel="0" collapsed="false">
      <c r="A29" s="3" t="s">
        <v>129</v>
      </c>
      <c r="B29" s="3" t="s">
        <v>145</v>
      </c>
      <c r="C29" s="3" t="s">
        <v>146</v>
      </c>
      <c r="D29" s="4" t="n">
        <v>1439.3</v>
      </c>
      <c r="E29" s="3" t="s">
        <v>60</v>
      </c>
      <c r="F29" s="3" t="n">
        <v>65.72</v>
      </c>
      <c r="G29" s="3" t="s">
        <v>60</v>
      </c>
      <c r="H29" s="3" t="s">
        <v>60</v>
      </c>
      <c r="I29" s="3" t="n">
        <v>14737800</v>
      </c>
      <c r="J29" s="3" t="n">
        <v>274200</v>
      </c>
      <c r="K29" s="3" t="s">
        <v>61</v>
      </c>
      <c r="L29" s="3" t="s">
        <v>62</v>
      </c>
      <c r="M29" s="3" t="s">
        <v>147</v>
      </c>
      <c r="N29" s="3" t="n">
        <v>0</v>
      </c>
      <c r="O29" s="3" t="s">
        <v>64</v>
      </c>
      <c r="P29" s="3" t="s">
        <v>65</v>
      </c>
    </row>
    <row r="30" customFormat="false" ht="15" hidden="false" customHeight="false" outlineLevel="0" collapsed="false">
      <c r="A30" s="3" t="s">
        <v>129</v>
      </c>
      <c r="B30" s="3" t="s">
        <v>148</v>
      </c>
      <c r="C30" s="3" t="s">
        <v>149</v>
      </c>
      <c r="D30" s="4" t="n">
        <v>3526</v>
      </c>
      <c r="E30" s="3" t="s">
        <v>60</v>
      </c>
      <c r="F30" s="3" t="n">
        <v>68.78</v>
      </c>
      <c r="G30" s="3" t="s">
        <v>60</v>
      </c>
      <c r="H30" s="3" t="s">
        <v>60</v>
      </c>
      <c r="I30" s="3" t="n">
        <v>2438000</v>
      </c>
      <c r="J30" s="3" t="n">
        <v>43250</v>
      </c>
      <c r="K30" s="3" t="s">
        <v>61</v>
      </c>
      <c r="L30" s="3" t="s">
        <v>62</v>
      </c>
      <c r="M30" s="3" t="s">
        <v>150</v>
      </c>
      <c r="N30" s="3" t="n">
        <v>0</v>
      </c>
      <c r="O30" s="3" t="s">
        <v>69</v>
      </c>
      <c r="P30" s="3" t="s">
        <v>70</v>
      </c>
    </row>
    <row r="31" customFormat="false" ht="15" hidden="false" customHeight="false" outlineLevel="0" collapsed="false">
      <c r="A31" s="3" t="s">
        <v>151</v>
      </c>
      <c r="B31" s="3" t="s">
        <v>152</v>
      </c>
      <c r="C31" s="3" t="s">
        <v>153</v>
      </c>
      <c r="D31" s="4" t="n">
        <v>1145</v>
      </c>
      <c r="E31" s="3" t="s">
        <v>60</v>
      </c>
      <c r="F31" s="3" t="n">
        <v>69.77</v>
      </c>
      <c r="G31" s="3" t="s">
        <v>60</v>
      </c>
      <c r="H31" s="3" t="s">
        <v>60</v>
      </c>
      <c r="I31" s="3" t="n">
        <v>11767950</v>
      </c>
      <c r="J31" s="3" t="n">
        <v>1154700</v>
      </c>
      <c r="K31" s="3" t="s">
        <v>61</v>
      </c>
      <c r="L31" s="3" t="s">
        <v>62</v>
      </c>
      <c r="M31" s="3" t="s">
        <v>154</v>
      </c>
      <c r="N31" s="3" t="n">
        <v>0</v>
      </c>
      <c r="O31" s="3" t="s">
        <v>64</v>
      </c>
      <c r="P31" s="3" t="s">
        <v>65</v>
      </c>
    </row>
    <row r="32" customFormat="false" ht="15" hidden="false" customHeight="false" outlineLevel="0" collapsed="false">
      <c r="A32" s="3" t="s">
        <v>151</v>
      </c>
      <c r="B32" s="3" t="s">
        <v>148</v>
      </c>
      <c r="C32" s="3" t="s">
        <v>149</v>
      </c>
      <c r="D32" s="4" t="n">
        <v>3536.9</v>
      </c>
      <c r="E32" s="3" t="s">
        <v>60</v>
      </c>
      <c r="F32" s="3" t="n">
        <v>70.46</v>
      </c>
      <c r="G32" s="3" t="s">
        <v>60</v>
      </c>
      <c r="H32" s="3" t="s">
        <v>60</v>
      </c>
      <c r="I32" s="3" t="n">
        <v>2444250</v>
      </c>
      <c r="J32" s="3" t="n">
        <v>6250</v>
      </c>
      <c r="K32" s="3" t="s">
        <v>61</v>
      </c>
      <c r="L32" s="3" t="s">
        <v>62</v>
      </c>
      <c r="M32" s="3" t="s">
        <v>155</v>
      </c>
      <c r="N32" s="3" t="n">
        <v>0</v>
      </c>
      <c r="O32" s="3" t="s">
        <v>100</v>
      </c>
      <c r="P32" s="3" t="s">
        <v>70</v>
      </c>
    </row>
    <row r="33" customFormat="false" ht="15" hidden="false" customHeight="false" outlineLevel="0" collapsed="false">
      <c r="A33" s="3" t="s">
        <v>151</v>
      </c>
      <c r="B33" s="3" t="s">
        <v>156</v>
      </c>
      <c r="C33" s="3" t="s">
        <v>157</v>
      </c>
      <c r="D33" s="4" t="n">
        <v>1366.3</v>
      </c>
      <c r="E33" s="3" t="s">
        <v>60</v>
      </c>
      <c r="F33" s="3" t="n">
        <v>46.85</v>
      </c>
      <c r="G33" s="3" t="s">
        <v>60</v>
      </c>
      <c r="H33" s="3" t="s">
        <v>60</v>
      </c>
      <c r="I33" s="3" t="n">
        <v>3307700</v>
      </c>
      <c r="J33" s="3" t="n">
        <v>479600</v>
      </c>
      <c r="K33" s="3" t="s">
        <v>61</v>
      </c>
      <c r="L33" s="3" t="s">
        <v>62</v>
      </c>
      <c r="M33" s="3" t="s">
        <v>158</v>
      </c>
      <c r="N33" s="3" t="n">
        <v>0</v>
      </c>
      <c r="O33" s="3" t="s">
        <v>64</v>
      </c>
      <c r="P33" s="3" t="s">
        <v>65</v>
      </c>
    </row>
    <row r="34" customFormat="false" ht="15" hidden="false" customHeight="false" outlineLevel="0" collapsed="false">
      <c r="A34" s="3" t="s">
        <v>151</v>
      </c>
      <c r="B34" s="3" t="s">
        <v>159</v>
      </c>
      <c r="C34" s="3" t="s">
        <v>160</v>
      </c>
      <c r="D34" s="4" t="n">
        <v>1372.2</v>
      </c>
      <c r="E34" s="3" t="s">
        <v>60</v>
      </c>
      <c r="F34" s="3" t="n">
        <v>61.16</v>
      </c>
      <c r="G34" s="3" t="s">
        <v>60</v>
      </c>
      <c r="H34" s="3" t="s">
        <v>60</v>
      </c>
      <c r="I34" s="3" t="n">
        <v>12420375</v>
      </c>
      <c r="J34" s="3" t="n">
        <v>166500</v>
      </c>
      <c r="K34" s="3" t="s">
        <v>61</v>
      </c>
      <c r="L34" s="3" t="s">
        <v>62</v>
      </c>
      <c r="M34" s="3" t="s">
        <v>161</v>
      </c>
      <c r="N34" s="3" t="n">
        <v>0</v>
      </c>
      <c r="O34" s="3" t="s">
        <v>64</v>
      </c>
      <c r="P34" s="3" t="s">
        <v>65</v>
      </c>
    </row>
    <row r="35" customFormat="false" ht="15" hidden="false" customHeight="false" outlineLevel="0" collapsed="false">
      <c r="A35" s="3" t="s">
        <v>151</v>
      </c>
      <c r="B35" s="3" t="s">
        <v>86</v>
      </c>
      <c r="C35" s="3" t="s">
        <v>87</v>
      </c>
      <c r="D35" s="4" t="n">
        <v>22.22</v>
      </c>
      <c r="E35" s="3" t="s">
        <v>60</v>
      </c>
      <c r="F35" s="3" t="n">
        <v>47.74</v>
      </c>
      <c r="G35" s="3" t="s">
        <v>60</v>
      </c>
      <c r="H35" s="3" t="s">
        <v>60</v>
      </c>
      <c r="I35" s="3" t="n">
        <v>834444100</v>
      </c>
      <c r="J35" s="3" t="n">
        <v>8956800</v>
      </c>
      <c r="K35" s="3" t="s">
        <v>61</v>
      </c>
      <c r="L35" s="3" t="s">
        <v>62</v>
      </c>
      <c r="M35" s="3" t="s">
        <v>162</v>
      </c>
      <c r="N35" s="3" t="n">
        <v>1</v>
      </c>
      <c r="O35" s="3" t="s">
        <v>64</v>
      </c>
      <c r="P35" s="3" t="s">
        <v>65</v>
      </c>
    </row>
    <row r="36" customFormat="false" ht="15" hidden="false" customHeight="false" outlineLevel="0" collapsed="false">
      <c r="A36" s="3" t="s">
        <v>163</v>
      </c>
      <c r="B36" s="3" t="s">
        <v>164</v>
      </c>
      <c r="C36" s="3" t="s">
        <v>165</v>
      </c>
      <c r="D36" s="4" t="n">
        <v>1493.7</v>
      </c>
      <c r="E36" s="3" t="s">
        <v>60</v>
      </c>
      <c r="F36" s="3" t="n">
        <v>59.59</v>
      </c>
      <c r="G36" s="3" t="s">
        <v>60</v>
      </c>
      <c r="H36" s="3" t="s">
        <v>60</v>
      </c>
      <c r="I36" s="3" t="n">
        <v>9097500</v>
      </c>
      <c r="J36" s="3" t="n">
        <v>262500</v>
      </c>
      <c r="K36" s="3" t="s">
        <v>61</v>
      </c>
      <c r="L36" s="3" t="s">
        <v>62</v>
      </c>
      <c r="M36" s="3" t="s">
        <v>166</v>
      </c>
      <c r="N36" s="3" t="n">
        <v>0</v>
      </c>
      <c r="O36" s="3" t="s">
        <v>64</v>
      </c>
      <c r="P36" s="3" t="s">
        <v>65</v>
      </c>
    </row>
    <row r="37" customFormat="false" ht="15" hidden="false" customHeight="false" outlineLevel="0" collapsed="false">
      <c r="A37" s="3" t="s">
        <v>167</v>
      </c>
      <c r="B37" s="3" t="s">
        <v>168</v>
      </c>
      <c r="C37" s="3" t="s">
        <v>169</v>
      </c>
      <c r="D37" s="4" t="n">
        <v>1246.1</v>
      </c>
      <c r="E37" s="3" t="s">
        <v>60</v>
      </c>
      <c r="F37" s="3" t="n">
        <v>55.37</v>
      </c>
      <c r="G37" s="3" t="s">
        <v>60</v>
      </c>
      <c r="H37" s="3" t="s">
        <v>60</v>
      </c>
      <c r="I37" s="3" t="n">
        <v>12285000</v>
      </c>
      <c r="J37" s="3" t="n">
        <v>209375</v>
      </c>
      <c r="K37" s="3" t="s">
        <v>61</v>
      </c>
      <c r="L37" s="3" t="s">
        <v>62</v>
      </c>
      <c r="M37" s="3" t="s">
        <v>170</v>
      </c>
      <c r="N37" s="3" t="n">
        <v>0</v>
      </c>
      <c r="O37" s="3" t="s">
        <v>64</v>
      </c>
      <c r="P37" s="3" t="s">
        <v>65</v>
      </c>
    </row>
    <row r="38" customFormat="false" ht="15" hidden="false" customHeight="false" outlineLevel="0" collapsed="false">
      <c r="A38" s="3" t="s">
        <v>167</v>
      </c>
      <c r="B38" s="3" t="s">
        <v>171</v>
      </c>
      <c r="C38" s="3" t="s">
        <v>172</v>
      </c>
      <c r="D38" s="4" t="n">
        <v>774.1</v>
      </c>
      <c r="E38" s="3" t="s">
        <v>60</v>
      </c>
      <c r="F38" s="3" t="n">
        <v>64.89</v>
      </c>
      <c r="G38" s="3" t="s">
        <v>60</v>
      </c>
      <c r="H38" s="3" t="s">
        <v>60</v>
      </c>
      <c r="I38" s="3" t="n">
        <v>64674400</v>
      </c>
      <c r="J38" s="3" t="n">
        <v>670600</v>
      </c>
      <c r="K38" s="3" t="s">
        <v>61</v>
      </c>
      <c r="L38" s="3" t="s">
        <v>62</v>
      </c>
      <c r="M38" s="3" t="s">
        <v>173</v>
      </c>
      <c r="N38" s="3" t="n">
        <v>0</v>
      </c>
      <c r="O38" s="3" t="s">
        <v>64</v>
      </c>
      <c r="P38" s="3" t="s">
        <v>65</v>
      </c>
    </row>
    <row r="39" customFormat="false" ht="15" hidden="false" customHeight="false" outlineLevel="0" collapsed="false">
      <c r="A39" s="3" t="s">
        <v>167</v>
      </c>
      <c r="B39" s="3" t="s">
        <v>136</v>
      </c>
      <c r="C39" s="3" t="s">
        <v>137</v>
      </c>
      <c r="D39" s="4" t="n">
        <v>155.25</v>
      </c>
      <c r="E39" s="3" t="s">
        <v>60</v>
      </c>
      <c r="F39" s="3" t="n">
        <v>49.33</v>
      </c>
      <c r="G39" s="3" t="s">
        <v>60</v>
      </c>
      <c r="H39" s="3" t="s">
        <v>60</v>
      </c>
      <c r="I39" s="3" t="n">
        <v>91118625</v>
      </c>
      <c r="J39" s="3" t="n">
        <v>3188250</v>
      </c>
      <c r="K39" s="3" t="s">
        <v>61</v>
      </c>
      <c r="L39" s="3" t="s">
        <v>62</v>
      </c>
      <c r="M39" s="3" t="s">
        <v>174</v>
      </c>
      <c r="N39" s="3" t="n">
        <v>1</v>
      </c>
      <c r="O39" s="3" t="s">
        <v>64</v>
      </c>
      <c r="P39" s="3" t="s">
        <v>65</v>
      </c>
    </row>
    <row r="40" customFormat="false" ht="15" hidden="false" customHeight="false" outlineLevel="0" collapsed="false">
      <c r="A40" s="3" t="s">
        <v>167</v>
      </c>
      <c r="B40" s="3" t="s">
        <v>175</v>
      </c>
      <c r="C40" s="3" t="s">
        <v>176</v>
      </c>
      <c r="D40" s="4" t="n">
        <v>1175.2</v>
      </c>
      <c r="E40" s="3" t="s">
        <v>60</v>
      </c>
      <c r="F40" s="3" t="n">
        <v>48.24</v>
      </c>
      <c r="G40" s="3" t="s">
        <v>60</v>
      </c>
      <c r="H40" s="3" t="s">
        <v>60</v>
      </c>
      <c r="I40" s="3" t="n">
        <v>44678925</v>
      </c>
      <c r="J40" s="3" t="n">
        <v>317250</v>
      </c>
      <c r="K40" s="3" t="s">
        <v>61</v>
      </c>
      <c r="L40" s="3" t="s">
        <v>62</v>
      </c>
      <c r="M40" s="3" t="s">
        <v>177</v>
      </c>
      <c r="N40" s="3" t="n">
        <v>0</v>
      </c>
      <c r="O40" s="3" t="s">
        <v>64</v>
      </c>
      <c r="P40" s="3" t="s">
        <v>65</v>
      </c>
    </row>
    <row r="41" customFormat="false" ht="15" hidden="false" customHeight="false" outlineLevel="0" collapsed="false">
      <c r="A41" s="3" t="s">
        <v>167</v>
      </c>
      <c r="B41" s="3" t="s">
        <v>178</v>
      </c>
      <c r="C41" s="3" t="s">
        <v>179</v>
      </c>
      <c r="D41" s="4" t="n">
        <v>388.2</v>
      </c>
      <c r="E41" s="3" t="s">
        <v>60</v>
      </c>
      <c r="F41" s="3" t="n">
        <v>54.72</v>
      </c>
      <c r="G41" s="3" t="s">
        <v>60</v>
      </c>
      <c r="H41" s="3" t="s">
        <v>60</v>
      </c>
      <c r="I41" s="3" t="n">
        <v>59866150</v>
      </c>
      <c r="J41" s="3" t="n">
        <v>298700</v>
      </c>
      <c r="K41" s="3" t="s">
        <v>61</v>
      </c>
      <c r="L41" s="3" t="s">
        <v>62</v>
      </c>
      <c r="M41" s="3" t="s">
        <v>180</v>
      </c>
      <c r="N41" s="3" t="n">
        <v>0</v>
      </c>
      <c r="O41" s="3" t="s">
        <v>69</v>
      </c>
      <c r="P41" s="3" t="s">
        <v>70</v>
      </c>
    </row>
    <row r="42" customFormat="false" ht="15" hidden="false" customHeight="false" outlineLevel="0" collapsed="false">
      <c r="A42" s="3" t="s">
        <v>181</v>
      </c>
      <c r="B42" s="3" t="s">
        <v>182</v>
      </c>
      <c r="C42" s="3" t="s">
        <v>183</v>
      </c>
      <c r="D42" s="4" t="n">
        <v>1427.1</v>
      </c>
      <c r="E42" s="3" t="s">
        <v>60</v>
      </c>
      <c r="F42" s="3" t="n">
        <v>57.01</v>
      </c>
      <c r="G42" s="3" t="s">
        <v>60</v>
      </c>
      <c r="H42" s="3" t="s">
        <v>60</v>
      </c>
      <c r="I42" s="3" t="n">
        <v>8438375</v>
      </c>
      <c r="J42" s="3" t="n">
        <v>214625</v>
      </c>
      <c r="K42" s="3" t="s">
        <v>61</v>
      </c>
      <c r="L42" s="3" t="s">
        <v>62</v>
      </c>
      <c r="M42" s="3" t="s">
        <v>184</v>
      </c>
      <c r="N42" s="3" t="n">
        <v>0</v>
      </c>
      <c r="O42" s="3" t="s">
        <v>64</v>
      </c>
      <c r="P42" s="3" t="s">
        <v>65</v>
      </c>
    </row>
    <row r="43" customFormat="false" ht="15" hidden="false" customHeight="false" outlineLevel="0" collapsed="false">
      <c r="A43" s="3" t="s">
        <v>181</v>
      </c>
      <c r="B43" s="3" t="s">
        <v>66</v>
      </c>
      <c r="C43" s="3" t="s">
        <v>67</v>
      </c>
      <c r="D43" s="4" t="n">
        <v>6474.5</v>
      </c>
      <c r="E43" s="3" t="s">
        <v>60</v>
      </c>
      <c r="F43" s="3" t="n">
        <v>47.32</v>
      </c>
      <c r="G43" s="3" t="s">
        <v>60</v>
      </c>
      <c r="H43" s="3" t="s">
        <v>60</v>
      </c>
      <c r="I43" s="3" t="n">
        <v>2681800</v>
      </c>
      <c r="J43" s="3" t="n">
        <v>134200</v>
      </c>
      <c r="K43" s="3" t="s">
        <v>61</v>
      </c>
      <c r="L43" s="3" t="s">
        <v>62</v>
      </c>
      <c r="M43" s="3" t="s">
        <v>185</v>
      </c>
      <c r="N43" s="3" t="n">
        <v>1</v>
      </c>
      <c r="O43" s="3" t="s">
        <v>69</v>
      </c>
      <c r="P43" s="3" t="s">
        <v>70</v>
      </c>
    </row>
    <row r="44" customFormat="false" ht="15" hidden="false" customHeight="false" outlineLevel="0" collapsed="false">
      <c r="A44" s="3" t="s">
        <v>181</v>
      </c>
      <c r="B44" s="3" t="s">
        <v>101</v>
      </c>
      <c r="C44" s="3" t="s">
        <v>102</v>
      </c>
      <c r="D44" s="4" t="n">
        <v>5520</v>
      </c>
      <c r="E44" s="3" t="s">
        <v>60</v>
      </c>
      <c r="F44" s="3" t="n">
        <v>72.72</v>
      </c>
      <c r="G44" s="3" t="s">
        <v>60</v>
      </c>
      <c r="H44" s="3" t="s">
        <v>60</v>
      </c>
      <c r="I44" s="3" t="n">
        <v>2182350</v>
      </c>
      <c r="J44" s="3" t="n">
        <v>4800</v>
      </c>
      <c r="K44" s="3" t="s">
        <v>61</v>
      </c>
      <c r="L44" s="3" t="s">
        <v>62</v>
      </c>
      <c r="M44" s="3" t="s">
        <v>186</v>
      </c>
      <c r="N44" s="3" t="n">
        <v>1</v>
      </c>
      <c r="O44" s="3" t="s">
        <v>64</v>
      </c>
      <c r="P44" s="3" t="s">
        <v>65</v>
      </c>
    </row>
    <row r="45" customFormat="false" ht="15" hidden="false" customHeight="false" outlineLevel="0" collapsed="false">
      <c r="A45" s="3" t="s">
        <v>181</v>
      </c>
      <c r="B45" s="3" t="s">
        <v>187</v>
      </c>
      <c r="C45" s="3" t="s">
        <v>188</v>
      </c>
      <c r="D45" s="4" t="n">
        <v>74.43</v>
      </c>
      <c r="E45" s="3" t="s">
        <v>60</v>
      </c>
      <c r="F45" s="3" t="n">
        <v>55.43</v>
      </c>
      <c r="G45" s="3" t="s">
        <v>60</v>
      </c>
      <c r="H45" s="3" t="s">
        <v>60</v>
      </c>
      <c r="I45" s="3" t="n">
        <v>379291850</v>
      </c>
      <c r="J45" s="3" t="n">
        <v>1215025</v>
      </c>
      <c r="K45" s="3" t="s">
        <v>61</v>
      </c>
      <c r="L45" s="3" t="s">
        <v>62</v>
      </c>
      <c r="M45" s="3" t="s">
        <v>189</v>
      </c>
      <c r="N45" s="3" t="n">
        <v>0</v>
      </c>
      <c r="O45" s="3" t="s">
        <v>64</v>
      </c>
      <c r="P45" s="3" t="s">
        <v>65</v>
      </c>
    </row>
    <row r="46" customFormat="false" ht="15" hidden="false" customHeight="false" outlineLevel="0" collapsed="false">
      <c r="A46" s="3" t="s">
        <v>181</v>
      </c>
      <c r="B46" s="3" t="s">
        <v>190</v>
      </c>
      <c r="C46" s="3" t="s">
        <v>60</v>
      </c>
      <c r="D46" s="4" t="n">
        <v>5471.5</v>
      </c>
      <c r="E46" s="3" t="s">
        <v>60</v>
      </c>
      <c r="F46" s="3" t="n">
        <v>50.48</v>
      </c>
      <c r="G46" s="3" t="s">
        <v>60</v>
      </c>
      <c r="H46" s="3" t="s">
        <v>60</v>
      </c>
      <c r="I46" s="3" t="n">
        <v>2646750</v>
      </c>
      <c r="J46" s="3" t="n">
        <v>73350</v>
      </c>
      <c r="K46" s="3" t="s">
        <v>61</v>
      </c>
      <c r="L46" s="3" t="s">
        <v>62</v>
      </c>
      <c r="M46" s="3" t="s">
        <v>191</v>
      </c>
      <c r="N46" s="3" t="n">
        <v>0</v>
      </c>
      <c r="O46" s="3" t="s">
        <v>64</v>
      </c>
      <c r="P46" s="3" t="s">
        <v>65</v>
      </c>
    </row>
    <row r="47" customFormat="false" ht="15" hidden="false" customHeight="false" outlineLevel="0" collapsed="false">
      <c r="A47" s="3" t="s">
        <v>181</v>
      </c>
      <c r="B47" s="3" t="s">
        <v>178</v>
      </c>
      <c r="C47" s="3" t="s">
        <v>179</v>
      </c>
      <c r="D47" s="4" t="n">
        <v>390.1</v>
      </c>
      <c r="E47" s="3" t="s">
        <v>60</v>
      </c>
      <c r="F47" s="3" t="n">
        <v>50.04</v>
      </c>
      <c r="G47" s="3" t="s">
        <v>60</v>
      </c>
      <c r="H47" s="3" t="s">
        <v>60</v>
      </c>
      <c r="I47" s="3" t="n">
        <v>60021300</v>
      </c>
      <c r="J47" s="3" t="n">
        <v>155150</v>
      </c>
      <c r="K47" s="3" t="s">
        <v>61</v>
      </c>
      <c r="L47" s="3" t="s">
        <v>62</v>
      </c>
      <c r="M47" s="3" t="s">
        <v>192</v>
      </c>
      <c r="N47" s="3" t="n">
        <v>0</v>
      </c>
      <c r="O47" s="3" t="s">
        <v>100</v>
      </c>
      <c r="P47" s="3" t="s">
        <v>70</v>
      </c>
    </row>
    <row r="48" customFormat="false" ht="15" hidden="false" customHeight="false" outlineLevel="0" collapsed="false">
      <c r="A48" s="3" t="s">
        <v>193</v>
      </c>
      <c r="B48" s="3" t="s">
        <v>66</v>
      </c>
      <c r="C48" s="3" t="s">
        <v>67</v>
      </c>
      <c r="D48" s="4" t="n">
        <v>6556</v>
      </c>
      <c r="E48" s="3" t="s">
        <v>60</v>
      </c>
      <c r="F48" s="3" t="n">
        <v>53.92</v>
      </c>
      <c r="G48" s="3" t="s">
        <v>60</v>
      </c>
      <c r="H48" s="3" t="s">
        <v>60</v>
      </c>
      <c r="I48" s="3" t="n">
        <v>2691500</v>
      </c>
      <c r="J48" s="3" t="n">
        <v>9700</v>
      </c>
      <c r="K48" s="3" t="s">
        <v>61</v>
      </c>
      <c r="L48" s="3" t="s">
        <v>62</v>
      </c>
      <c r="M48" s="3" t="s">
        <v>194</v>
      </c>
      <c r="N48" s="3" t="n">
        <v>1</v>
      </c>
      <c r="O48" s="3" t="s">
        <v>100</v>
      </c>
      <c r="P48" s="3" t="s">
        <v>70</v>
      </c>
    </row>
    <row r="49" customFormat="false" ht="15" hidden="false" customHeight="false" outlineLevel="0" collapsed="false">
      <c r="A49" s="3" t="s">
        <v>193</v>
      </c>
      <c r="B49" s="3" t="s">
        <v>195</v>
      </c>
      <c r="C49" s="3" t="s">
        <v>196</v>
      </c>
      <c r="D49" s="4" t="n">
        <v>213.02</v>
      </c>
      <c r="E49" s="3" t="s">
        <v>60</v>
      </c>
      <c r="F49" s="3" t="n">
        <v>47.91</v>
      </c>
      <c r="G49" s="3" t="s">
        <v>60</v>
      </c>
      <c r="H49" s="3" t="s">
        <v>60</v>
      </c>
      <c r="I49" s="3" t="n">
        <v>89955000</v>
      </c>
      <c r="J49" s="3" t="n">
        <v>4350000</v>
      </c>
      <c r="K49" s="3" t="s">
        <v>61</v>
      </c>
      <c r="L49" s="3" t="s">
        <v>62</v>
      </c>
      <c r="M49" s="3" t="s">
        <v>197</v>
      </c>
      <c r="N49" s="3" t="n">
        <v>0</v>
      </c>
      <c r="O49" s="3" t="s">
        <v>69</v>
      </c>
      <c r="P49" s="3" t="s">
        <v>70</v>
      </c>
    </row>
    <row r="50" customFormat="false" ht="15" hidden="false" customHeight="false" outlineLevel="0" collapsed="false">
      <c r="A50" s="3" t="s">
        <v>198</v>
      </c>
      <c r="B50" s="3" t="s">
        <v>199</v>
      </c>
      <c r="C50" s="3" t="s">
        <v>200</v>
      </c>
      <c r="D50" s="4" t="n">
        <v>351.85</v>
      </c>
      <c r="E50" s="3" t="s">
        <v>60</v>
      </c>
      <c r="F50" s="3" t="n">
        <v>54.57</v>
      </c>
      <c r="G50" s="3" t="s">
        <v>60</v>
      </c>
      <c r="H50" s="3" t="s">
        <v>60</v>
      </c>
      <c r="I50" s="3" t="n">
        <v>42967500</v>
      </c>
      <c r="J50" s="3" t="n">
        <v>1682500</v>
      </c>
      <c r="K50" s="3" t="s">
        <v>61</v>
      </c>
      <c r="L50" s="3" t="s">
        <v>62</v>
      </c>
      <c r="M50" s="3" t="s">
        <v>201</v>
      </c>
      <c r="N50" s="3" t="n">
        <v>0</v>
      </c>
      <c r="O50" s="3" t="s">
        <v>64</v>
      </c>
      <c r="P50" s="3" t="s">
        <v>65</v>
      </c>
    </row>
    <row r="51" customFormat="false" ht="15" hidden="false" customHeight="false" outlineLevel="0" collapsed="false">
      <c r="A51" s="3" t="s">
        <v>198</v>
      </c>
      <c r="B51" s="3" t="s">
        <v>195</v>
      </c>
      <c r="C51" s="3" t="s">
        <v>196</v>
      </c>
      <c r="D51" s="4" t="n">
        <v>215.44</v>
      </c>
      <c r="E51" s="3" t="s">
        <v>60</v>
      </c>
      <c r="F51" s="3" t="n">
        <v>47.2</v>
      </c>
      <c r="G51" s="3" t="s">
        <v>60</v>
      </c>
      <c r="H51" s="3" t="s">
        <v>60</v>
      </c>
      <c r="I51" s="3" t="n">
        <v>93795000</v>
      </c>
      <c r="J51" s="3" t="n">
        <v>3840000</v>
      </c>
      <c r="K51" s="3" t="s">
        <v>61</v>
      </c>
      <c r="L51" s="3" t="s">
        <v>62</v>
      </c>
      <c r="M51" s="3" t="s">
        <v>202</v>
      </c>
      <c r="N51" s="3" t="n">
        <v>0</v>
      </c>
      <c r="O51" s="3" t="s">
        <v>100</v>
      </c>
      <c r="P51" s="3" t="s">
        <v>70</v>
      </c>
    </row>
    <row r="52" customFormat="false" ht="15" hidden="false" customHeight="false" outlineLevel="0" collapsed="false">
      <c r="A52" s="3" t="s">
        <v>198</v>
      </c>
      <c r="B52" s="3" t="s">
        <v>203</v>
      </c>
      <c r="C52" s="3" t="s">
        <v>204</v>
      </c>
      <c r="D52" s="4" t="n">
        <v>877.95</v>
      </c>
      <c r="E52" s="3" t="s">
        <v>60</v>
      </c>
      <c r="F52" s="3" t="n">
        <v>57.56</v>
      </c>
      <c r="G52" s="3" t="s">
        <v>60</v>
      </c>
      <c r="H52" s="3" t="s">
        <v>60</v>
      </c>
      <c r="I52" s="3" t="n">
        <v>21641000</v>
      </c>
      <c r="J52" s="3" t="n">
        <v>547400</v>
      </c>
      <c r="K52" s="3" t="s">
        <v>61</v>
      </c>
      <c r="L52" s="3" t="s">
        <v>62</v>
      </c>
      <c r="M52" s="3" t="s">
        <v>205</v>
      </c>
      <c r="N52" s="3" t="n">
        <v>0</v>
      </c>
      <c r="O52" s="3" t="s">
        <v>64</v>
      </c>
      <c r="P52" s="3" t="s">
        <v>65</v>
      </c>
    </row>
    <row r="53" customFormat="false" ht="15" hidden="false" customHeight="false" outlineLevel="0" collapsed="false">
      <c r="A53" s="3" t="s">
        <v>206</v>
      </c>
      <c r="B53" s="3" t="s">
        <v>207</v>
      </c>
      <c r="C53" s="3" t="s">
        <v>208</v>
      </c>
      <c r="D53" s="4" t="n">
        <v>1160.4</v>
      </c>
      <c r="E53" s="3" t="s">
        <v>60</v>
      </c>
      <c r="F53" s="3" t="n">
        <v>47.8</v>
      </c>
      <c r="G53" s="3" t="s">
        <v>60</v>
      </c>
      <c r="H53" s="3" t="s">
        <v>60</v>
      </c>
      <c r="I53" s="3" t="n">
        <v>3385500</v>
      </c>
      <c r="J53" s="3" t="n">
        <v>763000</v>
      </c>
      <c r="K53" s="3" t="s">
        <v>61</v>
      </c>
      <c r="L53" s="3" t="s">
        <v>62</v>
      </c>
      <c r="M53" s="3" t="s">
        <v>209</v>
      </c>
      <c r="N53" s="3" t="n">
        <v>0</v>
      </c>
      <c r="O53" s="3" t="s">
        <v>64</v>
      </c>
      <c r="P53" s="3" t="s">
        <v>65</v>
      </c>
    </row>
    <row r="54" customFormat="false" ht="15" hidden="false" customHeight="false" outlineLevel="0" collapsed="false">
      <c r="A54" s="3" t="s">
        <v>206</v>
      </c>
      <c r="B54" s="3" t="s">
        <v>210</v>
      </c>
      <c r="C54" s="3" t="s">
        <v>211</v>
      </c>
      <c r="D54" s="4" t="n">
        <v>2084.1</v>
      </c>
      <c r="E54" s="3" t="s">
        <v>60</v>
      </c>
      <c r="F54" s="3" t="n">
        <v>54.08</v>
      </c>
      <c r="G54" s="3" t="s">
        <v>60</v>
      </c>
      <c r="H54" s="3" t="s">
        <v>60</v>
      </c>
      <c r="I54" s="3" t="n">
        <v>17795500</v>
      </c>
      <c r="J54" s="3" t="n">
        <v>130500</v>
      </c>
      <c r="K54" s="3" t="s">
        <v>61</v>
      </c>
      <c r="L54" s="3" t="s">
        <v>62</v>
      </c>
      <c r="M54" s="3" t="s">
        <v>212</v>
      </c>
      <c r="N54" s="3" t="n">
        <v>0</v>
      </c>
      <c r="O54" s="3" t="s">
        <v>69</v>
      </c>
      <c r="P54" s="3" t="s">
        <v>70</v>
      </c>
    </row>
    <row r="55" customFormat="false" ht="15" hidden="false" customHeight="false" outlineLevel="0" collapsed="false">
      <c r="A55" s="3" t="s">
        <v>206</v>
      </c>
      <c r="B55" s="3" t="s">
        <v>213</v>
      </c>
      <c r="C55" s="3" t="s">
        <v>214</v>
      </c>
      <c r="D55" s="4" t="n">
        <v>1059.9</v>
      </c>
      <c r="E55" s="3" t="s">
        <v>60</v>
      </c>
      <c r="F55" s="3" t="n">
        <v>60.67</v>
      </c>
      <c r="G55" s="3" t="s">
        <v>60</v>
      </c>
      <c r="H55" s="3" t="s">
        <v>60</v>
      </c>
      <c r="I55" s="3" t="n">
        <v>87404250</v>
      </c>
      <c r="J55" s="3" t="n">
        <v>703500</v>
      </c>
      <c r="K55" s="3" t="s">
        <v>61</v>
      </c>
      <c r="L55" s="3" t="s">
        <v>62</v>
      </c>
      <c r="M55" s="3" t="s">
        <v>215</v>
      </c>
      <c r="N55" s="3" t="n">
        <v>0</v>
      </c>
      <c r="O55" s="3" t="s">
        <v>64</v>
      </c>
      <c r="P55" s="3" t="s">
        <v>65</v>
      </c>
    </row>
    <row r="56" customFormat="false" ht="15" hidden="false" customHeight="false" outlineLevel="0" collapsed="false">
      <c r="A56" s="3" t="s">
        <v>206</v>
      </c>
      <c r="B56" s="3" t="s">
        <v>216</v>
      </c>
      <c r="C56" s="3" t="s">
        <v>217</v>
      </c>
      <c r="D56" s="4" t="n">
        <v>1558.7</v>
      </c>
      <c r="E56" s="3" t="s">
        <v>60</v>
      </c>
      <c r="F56" s="3" t="n">
        <v>69.22</v>
      </c>
      <c r="G56" s="3" t="s">
        <v>60</v>
      </c>
      <c r="H56" s="3" t="s">
        <v>60</v>
      </c>
      <c r="I56" s="3" t="n">
        <v>11391750</v>
      </c>
      <c r="J56" s="3" t="n">
        <v>241500</v>
      </c>
      <c r="K56" s="3" t="s">
        <v>61</v>
      </c>
      <c r="L56" s="3" t="s">
        <v>62</v>
      </c>
      <c r="M56" s="3" t="s">
        <v>218</v>
      </c>
      <c r="N56" s="3" t="n">
        <v>0</v>
      </c>
      <c r="O56" s="3" t="s">
        <v>64</v>
      </c>
      <c r="P56" s="3" t="s">
        <v>65</v>
      </c>
    </row>
    <row r="57" customFormat="false" ht="15" hidden="false" customHeight="false" outlineLevel="0" collapsed="false">
      <c r="A57" s="3" t="s">
        <v>206</v>
      </c>
      <c r="B57" s="3" t="s">
        <v>171</v>
      </c>
      <c r="C57" s="3" t="s">
        <v>172</v>
      </c>
      <c r="D57" s="4" t="n">
        <v>764.25</v>
      </c>
      <c r="E57" s="3" t="s">
        <v>60</v>
      </c>
      <c r="F57" s="3" t="n">
        <v>71.07</v>
      </c>
      <c r="G57" s="3" t="s">
        <v>60</v>
      </c>
      <c r="H57" s="3" t="s">
        <v>60</v>
      </c>
      <c r="I57" s="3" t="n">
        <v>66081400</v>
      </c>
      <c r="J57" s="3" t="n">
        <v>936600</v>
      </c>
      <c r="K57" s="3" t="s">
        <v>61</v>
      </c>
      <c r="L57" s="3" t="s">
        <v>62</v>
      </c>
      <c r="M57" s="3" t="s">
        <v>219</v>
      </c>
      <c r="N57" s="3" t="n">
        <v>1</v>
      </c>
      <c r="O57" s="3" t="s">
        <v>64</v>
      </c>
      <c r="P57" s="3" t="s">
        <v>65</v>
      </c>
    </row>
    <row r="58" customFormat="false" ht="15" hidden="false" customHeight="false" outlineLevel="0" collapsed="false">
      <c r="A58" s="3" t="s">
        <v>206</v>
      </c>
      <c r="B58" s="3" t="s">
        <v>104</v>
      </c>
      <c r="C58" s="3" t="s">
        <v>105</v>
      </c>
      <c r="D58" s="4" t="n">
        <v>448.65</v>
      </c>
      <c r="E58" s="3" t="s">
        <v>60</v>
      </c>
      <c r="F58" s="3" t="n">
        <v>62.67</v>
      </c>
      <c r="G58" s="3" t="s">
        <v>60</v>
      </c>
      <c r="H58" s="3" t="s">
        <v>60</v>
      </c>
      <c r="I58" s="3" t="n">
        <v>51680025</v>
      </c>
      <c r="J58" s="3" t="n">
        <v>356400</v>
      </c>
      <c r="K58" s="3" t="s">
        <v>61</v>
      </c>
      <c r="L58" s="3" t="s">
        <v>62</v>
      </c>
      <c r="M58" s="3" t="s">
        <v>220</v>
      </c>
      <c r="N58" s="3" t="n">
        <v>1</v>
      </c>
      <c r="O58" s="3" t="s">
        <v>64</v>
      </c>
      <c r="P58" s="3" t="s">
        <v>65</v>
      </c>
    </row>
    <row r="59" customFormat="false" ht="15" hidden="false" customHeight="false" outlineLevel="0" collapsed="false">
      <c r="A59" s="3" t="s">
        <v>206</v>
      </c>
      <c r="B59" s="3" t="s">
        <v>136</v>
      </c>
      <c r="C59" s="3" t="s">
        <v>137</v>
      </c>
      <c r="D59" s="4" t="n">
        <v>153.69</v>
      </c>
      <c r="E59" s="3" t="s">
        <v>60</v>
      </c>
      <c r="F59" s="3" t="n">
        <v>70.51</v>
      </c>
      <c r="G59" s="3" t="s">
        <v>60</v>
      </c>
      <c r="H59" s="3" t="s">
        <v>60</v>
      </c>
      <c r="I59" s="3" t="n">
        <v>99991125</v>
      </c>
      <c r="J59" s="3" t="n">
        <v>3280875</v>
      </c>
      <c r="K59" s="3" t="s">
        <v>61</v>
      </c>
      <c r="L59" s="3" t="s">
        <v>62</v>
      </c>
      <c r="M59" s="3" t="s">
        <v>221</v>
      </c>
      <c r="N59" s="3" t="n">
        <v>2</v>
      </c>
      <c r="O59" s="3" t="s">
        <v>64</v>
      </c>
      <c r="P59" s="3" t="s">
        <v>65</v>
      </c>
    </row>
    <row r="60" customFormat="false" ht="15" hidden="false" customHeight="false" outlineLevel="0" collapsed="false">
      <c r="A60" s="3" t="s">
        <v>206</v>
      </c>
      <c r="B60" s="3" t="s">
        <v>83</v>
      </c>
      <c r="C60" s="3" t="s">
        <v>84</v>
      </c>
      <c r="D60" s="4" t="n">
        <v>3088.6</v>
      </c>
      <c r="E60" s="3" t="s">
        <v>60</v>
      </c>
      <c r="F60" s="3" t="n">
        <v>67.24</v>
      </c>
      <c r="G60" s="3" t="s">
        <v>60</v>
      </c>
      <c r="H60" s="3" t="s">
        <v>60</v>
      </c>
      <c r="I60" s="3" t="n">
        <v>2632200</v>
      </c>
      <c r="J60" s="3" t="n">
        <v>2000</v>
      </c>
      <c r="K60" s="3" t="s">
        <v>61</v>
      </c>
      <c r="L60" s="3" t="s">
        <v>62</v>
      </c>
      <c r="M60" s="3" t="s">
        <v>222</v>
      </c>
      <c r="N60" s="3" t="n">
        <v>1</v>
      </c>
      <c r="O60" s="3" t="s">
        <v>64</v>
      </c>
      <c r="P60" s="3" t="s">
        <v>65</v>
      </c>
    </row>
    <row r="61" customFormat="false" ht="15" hidden="false" customHeight="false" outlineLevel="0" collapsed="false">
      <c r="A61" s="3" t="s">
        <v>206</v>
      </c>
      <c r="B61" s="3" t="s">
        <v>223</v>
      </c>
      <c r="C61" s="3" t="s">
        <v>224</v>
      </c>
      <c r="D61" s="4" t="n">
        <v>250.21</v>
      </c>
      <c r="E61" s="3" t="s">
        <v>60</v>
      </c>
      <c r="F61" s="3" t="n">
        <v>51.16</v>
      </c>
      <c r="G61" s="3" t="s">
        <v>60</v>
      </c>
      <c r="H61" s="3" t="s">
        <v>60</v>
      </c>
      <c r="I61" s="3" t="n">
        <v>134352000</v>
      </c>
      <c r="J61" s="3" t="n">
        <v>4683000</v>
      </c>
      <c r="K61" s="3" t="s">
        <v>61</v>
      </c>
      <c r="L61" s="3" t="s">
        <v>62</v>
      </c>
      <c r="M61" s="3" t="s">
        <v>225</v>
      </c>
      <c r="N61" s="3" t="n">
        <v>0</v>
      </c>
      <c r="O61" s="3" t="s">
        <v>64</v>
      </c>
      <c r="P61" s="3" t="s">
        <v>65</v>
      </c>
    </row>
    <row r="62" customFormat="false" ht="15" hidden="false" customHeight="false" outlineLevel="0" collapsed="false">
      <c r="A62" s="3" t="s">
        <v>226</v>
      </c>
      <c r="B62" s="3" t="s">
        <v>227</v>
      </c>
      <c r="C62" s="3" t="s">
        <v>228</v>
      </c>
      <c r="D62" s="4" t="n">
        <v>1479.5</v>
      </c>
      <c r="E62" s="3" t="s">
        <v>60</v>
      </c>
      <c r="F62" s="3" t="n">
        <v>63.3</v>
      </c>
      <c r="G62" s="3" t="s">
        <v>60</v>
      </c>
      <c r="H62" s="3" t="s">
        <v>60</v>
      </c>
      <c r="I62" s="3" t="n">
        <v>21939775</v>
      </c>
      <c r="J62" s="3" t="n">
        <v>265525</v>
      </c>
      <c r="K62" s="3" t="s">
        <v>61</v>
      </c>
      <c r="L62" s="3" t="s">
        <v>62</v>
      </c>
      <c r="M62" s="3" t="s">
        <v>229</v>
      </c>
      <c r="N62" s="3" t="n">
        <v>0</v>
      </c>
      <c r="O62" s="3" t="s">
        <v>64</v>
      </c>
      <c r="P62" s="3" t="s">
        <v>65</v>
      </c>
    </row>
    <row r="63" customFormat="false" ht="15" hidden="false" customHeight="false" outlineLevel="0" collapsed="false">
      <c r="A63" s="3" t="s">
        <v>226</v>
      </c>
      <c r="B63" s="3" t="s">
        <v>210</v>
      </c>
      <c r="C63" s="3" t="s">
        <v>211</v>
      </c>
      <c r="D63" s="4" t="n">
        <v>2090.2</v>
      </c>
      <c r="E63" s="3" t="s">
        <v>60</v>
      </c>
      <c r="F63" s="3" t="n">
        <v>64.4</v>
      </c>
      <c r="G63" s="3" t="s">
        <v>60</v>
      </c>
      <c r="H63" s="3" t="s">
        <v>60</v>
      </c>
      <c r="I63" s="3" t="n">
        <v>18092000</v>
      </c>
      <c r="J63" s="3" t="n">
        <v>296500</v>
      </c>
      <c r="K63" s="3" t="s">
        <v>61</v>
      </c>
      <c r="L63" s="3" t="s">
        <v>62</v>
      </c>
      <c r="M63" s="3" t="s">
        <v>230</v>
      </c>
      <c r="N63" s="3" t="n">
        <v>0</v>
      </c>
      <c r="O63" s="3" t="s">
        <v>100</v>
      </c>
      <c r="P63" s="3" t="s">
        <v>70</v>
      </c>
    </row>
    <row r="64" customFormat="false" ht="15" hidden="false" customHeight="false" outlineLevel="0" collapsed="false">
      <c r="A64" s="3" t="s">
        <v>226</v>
      </c>
      <c r="B64" s="3" t="s">
        <v>231</v>
      </c>
      <c r="C64" s="3" t="s">
        <v>232</v>
      </c>
      <c r="D64" s="4" t="n">
        <v>405.15</v>
      </c>
      <c r="E64" s="3" t="s">
        <v>60</v>
      </c>
      <c r="F64" s="3" t="n">
        <v>72.13</v>
      </c>
      <c r="G64" s="3" t="s">
        <v>60</v>
      </c>
      <c r="H64" s="3" t="s">
        <v>60</v>
      </c>
      <c r="I64" s="3" t="n">
        <v>129587200</v>
      </c>
      <c r="J64" s="3" t="n">
        <v>1155200</v>
      </c>
      <c r="K64" s="3" t="s">
        <v>61</v>
      </c>
      <c r="L64" s="3" t="s">
        <v>62</v>
      </c>
      <c r="M64" s="3" t="s">
        <v>233</v>
      </c>
      <c r="N64" s="3" t="n">
        <v>0</v>
      </c>
      <c r="O64" s="3" t="s">
        <v>64</v>
      </c>
      <c r="P64" s="3" t="s">
        <v>65</v>
      </c>
    </row>
    <row r="65" customFormat="false" ht="15" hidden="false" customHeight="false" outlineLevel="0" collapsed="false">
      <c r="A65" s="3" t="s">
        <v>226</v>
      </c>
      <c r="B65" s="3" t="s">
        <v>234</v>
      </c>
      <c r="C65" s="3" t="s">
        <v>235</v>
      </c>
      <c r="D65" s="4" t="n">
        <v>2205.4</v>
      </c>
      <c r="E65" s="3" t="s">
        <v>60</v>
      </c>
      <c r="F65" s="3" t="n">
        <v>66.67</v>
      </c>
      <c r="G65" s="3" t="s">
        <v>60</v>
      </c>
      <c r="H65" s="3" t="s">
        <v>60</v>
      </c>
      <c r="I65" s="3" t="n">
        <v>31769600</v>
      </c>
      <c r="J65" s="3" t="n">
        <v>64400</v>
      </c>
      <c r="K65" s="3" t="s">
        <v>61</v>
      </c>
      <c r="L65" s="3" t="s">
        <v>62</v>
      </c>
      <c r="M65" s="3" t="s">
        <v>236</v>
      </c>
      <c r="N65" s="3" t="n">
        <v>0</v>
      </c>
      <c r="O65" s="3" t="s">
        <v>64</v>
      </c>
      <c r="P65" s="3" t="s">
        <v>65</v>
      </c>
    </row>
    <row r="66" customFormat="false" ht="15" hidden="false" customHeight="false" outlineLevel="0" collapsed="false">
      <c r="A66" s="3" t="s">
        <v>226</v>
      </c>
      <c r="B66" s="3" t="s">
        <v>237</v>
      </c>
      <c r="C66" s="3" t="s">
        <v>238</v>
      </c>
      <c r="D66" s="4" t="n">
        <v>1694.9</v>
      </c>
      <c r="E66" s="3" t="s">
        <v>60</v>
      </c>
      <c r="F66" s="3" t="n">
        <v>61.18</v>
      </c>
      <c r="G66" s="3" t="s">
        <v>60</v>
      </c>
      <c r="H66" s="3" t="s">
        <v>60</v>
      </c>
      <c r="I66" s="3" t="n">
        <v>4151350</v>
      </c>
      <c r="J66" s="3" t="n">
        <v>321300</v>
      </c>
      <c r="K66" s="3" t="s">
        <v>61</v>
      </c>
      <c r="L66" s="3" t="s">
        <v>62</v>
      </c>
      <c r="M66" s="3" t="s">
        <v>239</v>
      </c>
      <c r="N66" s="3" t="n">
        <v>0</v>
      </c>
      <c r="O66" s="3" t="s">
        <v>64</v>
      </c>
      <c r="P66" s="3" t="s">
        <v>65</v>
      </c>
    </row>
    <row r="67" customFormat="false" ht="15" hidden="false" customHeight="false" outlineLevel="0" collapsed="false">
      <c r="A67" s="3" t="s">
        <v>226</v>
      </c>
      <c r="B67" s="3" t="s">
        <v>142</v>
      </c>
      <c r="C67" s="3" t="s">
        <v>143</v>
      </c>
      <c r="D67" s="4" t="n">
        <v>1149.3</v>
      </c>
      <c r="E67" s="3" t="s">
        <v>60</v>
      </c>
      <c r="F67" s="3" t="n">
        <v>56.27</v>
      </c>
      <c r="G67" s="3" t="s">
        <v>60</v>
      </c>
      <c r="H67" s="3" t="s">
        <v>60</v>
      </c>
      <c r="I67" s="3" t="n">
        <v>16836050</v>
      </c>
      <c r="J67" s="3" t="n">
        <v>122100</v>
      </c>
      <c r="K67" s="3" t="s">
        <v>61</v>
      </c>
      <c r="L67" s="3" t="s">
        <v>62</v>
      </c>
      <c r="M67" s="3" t="s">
        <v>240</v>
      </c>
      <c r="N67" s="3" t="n">
        <v>1</v>
      </c>
      <c r="O67" s="3" t="s">
        <v>64</v>
      </c>
      <c r="P67" s="3" t="s">
        <v>65</v>
      </c>
    </row>
    <row r="68" customFormat="false" ht="15" hidden="false" customHeight="false" outlineLevel="0" collapsed="false">
      <c r="A68" s="3" t="s">
        <v>241</v>
      </c>
      <c r="B68" s="3" t="s">
        <v>242</v>
      </c>
      <c r="C68" s="3" t="s">
        <v>243</v>
      </c>
      <c r="D68" s="4" t="n">
        <v>2012</v>
      </c>
      <c r="E68" s="3" t="s">
        <v>60</v>
      </c>
      <c r="F68" s="3" t="n">
        <v>54.31</v>
      </c>
      <c r="G68" s="3" t="s">
        <v>60</v>
      </c>
      <c r="H68" s="3" t="s">
        <v>60</v>
      </c>
      <c r="I68" s="3" t="n">
        <v>44999600</v>
      </c>
      <c r="J68" s="3" t="n">
        <v>223250</v>
      </c>
      <c r="K68" s="3" t="s">
        <v>61</v>
      </c>
      <c r="L68" s="3" t="s">
        <v>62</v>
      </c>
      <c r="M68" s="3" t="s">
        <v>244</v>
      </c>
      <c r="N68" s="3" t="n">
        <v>0</v>
      </c>
      <c r="O68" s="3" t="s">
        <v>64</v>
      </c>
      <c r="P68" s="3" t="s">
        <v>65</v>
      </c>
    </row>
    <row r="69" customFormat="false" ht="15" hidden="false" customHeight="false" outlineLevel="0" collapsed="false">
      <c r="A69" s="3" t="s">
        <v>241</v>
      </c>
      <c r="B69" s="3" t="s">
        <v>245</v>
      </c>
      <c r="C69" s="3" t="s">
        <v>246</v>
      </c>
      <c r="D69" s="4" t="n">
        <v>2603.7</v>
      </c>
      <c r="E69" s="3" t="s">
        <v>60</v>
      </c>
      <c r="F69" s="3" t="n">
        <v>60.55</v>
      </c>
      <c r="G69" s="3" t="s">
        <v>60</v>
      </c>
      <c r="H69" s="3" t="s">
        <v>60</v>
      </c>
      <c r="I69" s="3" t="n">
        <v>13410000</v>
      </c>
      <c r="J69" s="3" t="n">
        <v>116400</v>
      </c>
      <c r="K69" s="3" t="s">
        <v>61</v>
      </c>
      <c r="L69" s="3" t="s">
        <v>62</v>
      </c>
      <c r="M69" s="3" t="s">
        <v>247</v>
      </c>
      <c r="N69" s="3" t="n">
        <v>0</v>
      </c>
      <c r="O69" s="3" t="s">
        <v>64</v>
      </c>
      <c r="P69" s="3" t="s">
        <v>65</v>
      </c>
    </row>
    <row r="70" customFormat="false" ht="15" hidden="false" customHeight="false" outlineLevel="0" collapsed="false">
      <c r="A70" s="3" t="s">
        <v>241</v>
      </c>
      <c r="B70" s="3" t="s">
        <v>139</v>
      </c>
      <c r="C70" s="3" t="s">
        <v>140</v>
      </c>
      <c r="D70" s="4" t="n">
        <v>2476.6</v>
      </c>
      <c r="E70" s="3" t="s">
        <v>60</v>
      </c>
      <c r="F70" s="3" t="n">
        <v>65.18</v>
      </c>
      <c r="G70" s="3" t="s">
        <v>60</v>
      </c>
      <c r="H70" s="3" t="s">
        <v>60</v>
      </c>
      <c r="I70" s="3" t="n">
        <v>1644525</v>
      </c>
      <c r="J70" s="3" t="n">
        <v>38250</v>
      </c>
      <c r="K70" s="3" t="s">
        <v>61</v>
      </c>
      <c r="L70" s="3" t="s">
        <v>62</v>
      </c>
      <c r="M70" s="3" t="s">
        <v>248</v>
      </c>
      <c r="N70" s="3" t="n">
        <v>1</v>
      </c>
      <c r="O70" s="3" t="s">
        <v>64</v>
      </c>
      <c r="P70" s="3" t="s">
        <v>65</v>
      </c>
    </row>
    <row r="71" customFormat="false" ht="15" hidden="false" customHeight="false" outlineLevel="0" collapsed="false">
      <c r="A71" s="3" t="s">
        <v>241</v>
      </c>
      <c r="B71" s="3" t="s">
        <v>164</v>
      </c>
      <c r="C71" s="3" t="s">
        <v>165</v>
      </c>
      <c r="D71" s="4" t="n">
        <v>1542.7</v>
      </c>
      <c r="E71" s="3" t="s">
        <v>60</v>
      </c>
      <c r="F71" s="3" t="n">
        <v>51.23</v>
      </c>
      <c r="G71" s="3" t="s">
        <v>60</v>
      </c>
      <c r="H71" s="3" t="s">
        <v>60</v>
      </c>
      <c r="I71" s="3" t="n">
        <v>9574500</v>
      </c>
      <c r="J71" s="3" t="n">
        <v>88500</v>
      </c>
      <c r="K71" s="3" t="s">
        <v>61</v>
      </c>
      <c r="L71" s="3" t="s">
        <v>62</v>
      </c>
      <c r="M71" s="3" t="s">
        <v>249</v>
      </c>
      <c r="N71" s="3" t="n">
        <v>1</v>
      </c>
      <c r="O71" s="3" t="s">
        <v>64</v>
      </c>
      <c r="P71" s="3" t="s">
        <v>65</v>
      </c>
    </row>
    <row r="72" customFormat="false" ht="15" hidden="false" customHeight="false" outlineLevel="0" collapsed="false">
      <c r="A72" s="3" t="s">
        <v>250</v>
      </c>
      <c r="B72" s="3" t="s">
        <v>216</v>
      </c>
      <c r="C72" s="3" t="s">
        <v>217</v>
      </c>
      <c r="D72" s="4" t="n">
        <v>1639.1</v>
      </c>
      <c r="E72" s="3" t="s">
        <v>60</v>
      </c>
      <c r="F72" s="3" t="n">
        <v>52.54</v>
      </c>
      <c r="G72" s="3" t="s">
        <v>60</v>
      </c>
      <c r="H72" s="3" t="s">
        <v>60</v>
      </c>
      <c r="I72" s="3" t="n">
        <v>13409625</v>
      </c>
      <c r="J72" s="3" t="n">
        <v>1643250</v>
      </c>
      <c r="K72" s="3" t="s">
        <v>61</v>
      </c>
      <c r="L72" s="3" t="s">
        <v>62</v>
      </c>
      <c r="M72" s="3" t="s">
        <v>251</v>
      </c>
      <c r="N72" s="3" t="n">
        <v>1</v>
      </c>
      <c r="O72" s="3" t="s">
        <v>64</v>
      </c>
      <c r="P72" s="3" t="s">
        <v>65</v>
      </c>
    </row>
    <row r="73" customFormat="false" ht="15" hidden="false" customHeight="false" outlineLevel="0" collapsed="false">
      <c r="A73" s="3" t="s">
        <v>252</v>
      </c>
      <c r="B73" s="3" t="s">
        <v>199</v>
      </c>
      <c r="C73" s="3" t="s">
        <v>200</v>
      </c>
      <c r="D73" s="4" t="n">
        <v>373.7</v>
      </c>
      <c r="E73" s="3" t="s">
        <v>60</v>
      </c>
      <c r="F73" s="3" t="n">
        <v>47.49</v>
      </c>
      <c r="G73" s="3" t="s">
        <v>60</v>
      </c>
      <c r="H73" s="3" t="s">
        <v>60</v>
      </c>
      <c r="I73" s="3" t="n">
        <v>40017500</v>
      </c>
      <c r="J73" s="3" t="n">
        <v>225000</v>
      </c>
      <c r="K73" s="3" t="s">
        <v>61</v>
      </c>
      <c r="L73" s="3" t="s">
        <v>62</v>
      </c>
      <c r="M73" s="3" t="s">
        <v>253</v>
      </c>
      <c r="N73" s="3" t="n">
        <v>1</v>
      </c>
      <c r="O73" s="3" t="s">
        <v>69</v>
      </c>
      <c r="P73" s="3" t="s">
        <v>70</v>
      </c>
    </row>
    <row r="74" customFormat="false" ht="15" hidden="false" customHeight="false" outlineLevel="0" collapsed="false">
      <c r="A74" s="3" t="s">
        <v>252</v>
      </c>
      <c r="B74" s="3" t="s">
        <v>254</v>
      </c>
      <c r="C74" s="3" t="s">
        <v>255</v>
      </c>
      <c r="D74" s="4" t="n">
        <v>778.7</v>
      </c>
      <c r="E74" s="3" t="s">
        <v>60</v>
      </c>
      <c r="F74" s="3" t="n">
        <v>53.35</v>
      </c>
      <c r="G74" s="3" t="s">
        <v>60</v>
      </c>
      <c r="H74" s="3" t="s">
        <v>60</v>
      </c>
      <c r="I74" s="3" t="n">
        <v>35202750</v>
      </c>
      <c r="J74" s="3" t="n">
        <v>393525</v>
      </c>
      <c r="K74" s="3" t="s">
        <v>61</v>
      </c>
      <c r="L74" s="3" t="s">
        <v>62</v>
      </c>
      <c r="M74" s="3" t="s">
        <v>256</v>
      </c>
      <c r="N74" s="3" t="n">
        <v>0</v>
      </c>
      <c r="O74" s="3" t="s">
        <v>64</v>
      </c>
      <c r="P74" s="3" t="s">
        <v>65</v>
      </c>
    </row>
    <row r="75" customFormat="false" ht="15" hidden="false" customHeight="false" outlineLevel="0" collapsed="false">
      <c r="A75" s="3" t="s">
        <v>252</v>
      </c>
      <c r="B75" s="3" t="s">
        <v>257</v>
      </c>
      <c r="C75" s="3" t="s">
        <v>258</v>
      </c>
      <c r="D75" s="4" t="n">
        <v>184.64</v>
      </c>
      <c r="E75" s="3" t="s">
        <v>60</v>
      </c>
      <c r="F75" s="3" t="n">
        <v>48.83</v>
      </c>
      <c r="G75" s="3" t="s">
        <v>60</v>
      </c>
      <c r="H75" s="3" t="s">
        <v>60</v>
      </c>
      <c r="I75" s="3" t="n">
        <v>85453200</v>
      </c>
      <c r="J75" s="3" t="n">
        <v>2516850</v>
      </c>
      <c r="K75" s="3" t="s">
        <v>61</v>
      </c>
      <c r="L75" s="3" t="s">
        <v>62</v>
      </c>
      <c r="M75" s="3" t="s">
        <v>259</v>
      </c>
      <c r="N75" s="3" t="n">
        <v>0</v>
      </c>
      <c r="O75" s="3" t="s">
        <v>64</v>
      </c>
      <c r="P75" s="3" t="s">
        <v>65</v>
      </c>
    </row>
    <row r="76" customFormat="false" ht="15" hidden="false" customHeight="false" outlineLevel="0" collapsed="false">
      <c r="A76" s="3" t="s">
        <v>252</v>
      </c>
      <c r="B76" s="3" t="s">
        <v>260</v>
      </c>
      <c r="C76" s="3" t="s">
        <v>261</v>
      </c>
      <c r="D76" s="4" t="n">
        <v>92.97</v>
      </c>
      <c r="E76" s="3" t="s">
        <v>60</v>
      </c>
      <c r="F76" s="3" t="n">
        <v>61.63</v>
      </c>
      <c r="G76" s="3" t="s">
        <v>60</v>
      </c>
      <c r="H76" s="3" t="s">
        <v>60</v>
      </c>
      <c r="I76" s="3" t="n">
        <v>230265675</v>
      </c>
      <c r="J76" s="3" t="n">
        <v>7065675</v>
      </c>
      <c r="K76" s="3" t="s">
        <v>61</v>
      </c>
      <c r="L76" s="3" t="s">
        <v>62</v>
      </c>
      <c r="M76" s="3" t="s">
        <v>262</v>
      </c>
      <c r="N76" s="3" t="n">
        <v>0</v>
      </c>
      <c r="O76" s="3" t="s">
        <v>69</v>
      </c>
      <c r="P76" s="3" t="s">
        <v>70</v>
      </c>
    </row>
    <row r="77" customFormat="false" ht="15" hidden="false" customHeight="false" outlineLevel="0" collapsed="false">
      <c r="A77" s="3" t="s">
        <v>252</v>
      </c>
      <c r="B77" s="3" t="s">
        <v>263</v>
      </c>
      <c r="C77" s="3" t="s">
        <v>264</v>
      </c>
      <c r="D77" s="4" t="n">
        <v>730.65</v>
      </c>
      <c r="E77" s="3" t="s">
        <v>60</v>
      </c>
      <c r="F77" s="3" t="n">
        <v>55.26</v>
      </c>
      <c r="G77" s="3" t="s">
        <v>60</v>
      </c>
      <c r="H77" s="3" t="s">
        <v>60</v>
      </c>
      <c r="I77" s="3" t="n">
        <v>13826750</v>
      </c>
      <c r="J77" s="3" t="n">
        <v>138250</v>
      </c>
      <c r="K77" s="3" t="s">
        <v>61</v>
      </c>
      <c r="L77" s="3" t="s">
        <v>62</v>
      </c>
      <c r="M77" s="3" t="s">
        <v>265</v>
      </c>
      <c r="N77" s="3" t="n">
        <v>0</v>
      </c>
      <c r="O77" s="3" t="s">
        <v>64</v>
      </c>
      <c r="P77" s="3" t="s">
        <v>65</v>
      </c>
    </row>
    <row r="78" customFormat="false" ht="15" hidden="false" customHeight="false" outlineLevel="0" collapsed="false">
      <c r="A78" s="3" t="s">
        <v>252</v>
      </c>
      <c r="B78" s="3" t="s">
        <v>266</v>
      </c>
      <c r="C78" s="3" t="s">
        <v>267</v>
      </c>
      <c r="D78" s="4" t="n">
        <v>2874.6</v>
      </c>
      <c r="E78" s="3" t="s">
        <v>60</v>
      </c>
      <c r="F78" s="3" t="n">
        <v>52.25</v>
      </c>
      <c r="G78" s="3" t="s">
        <v>60</v>
      </c>
      <c r="H78" s="3" t="s">
        <v>60</v>
      </c>
      <c r="I78" s="3" t="n">
        <v>3959175</v>
      </c>
      <c r="J78" s="3" t="n">
        <v>413600</v>
      </c>
      <c r="K78" s="3" t="s">
        <v>61</v>
      </c>
      <c r="L78" s="3" t="s">
        <v>62</v>
      </c>
      <c r="M78" s="3" t="s">
        <v>268</v>
      </c>
      <c r="N78" s="3" t="n">
        <v>0</v>
      </c>
      <c r="O78" s="3" t="s">
        <v>64</v>
      </c>
      <c r="P78" s="3" t="s">
        <v>65</v>
      </c>
    </row>
    <row r="79" customFormat="false" ht="15" hidden="false" customHeight="false" outlineLevel="0" collapsed="false">
      <c r="A79" s="3" t="s">
        <v>252</v>
      </c>
      <c r="B79" s="3" t="s">
        <v>269</v>
      </c>
      <c r="C79" s="3" t="s">
        <v>270</v>
      </c>
      <c r="D79" s="4" t="n">
        <v>115.22</v>
      </c>
      <c r="E79" s="3" t="s">
        <v>60</v>
      </c>
      <c r="F79" s="3" t="n">
        <v>45.62</v>
      </c>
      <c r="G79" s="3" t="s">
        <v>60</v>
      </c>
      <c r="H79" s="3" t="s">
        <v>60</v>
      </c>
      <c r="I79" s="3" t="n">
        <v>62517000</v>
      </c>
      <c r="J79" s="3" t="n">
        <v>3568500</v>
      </c>
      <c r="K79" s="3" t="s">
        <v>61</v>
      </c>
      <c r="L79" s="3" t="s">
        <v>62</v>
      </c>
      <c r="M79" s="3" t="s">
        <v>271</v>
      </c>
      <c r="N79" s="3" t="n">
        <v>0</v>
      </c>
      <c r="O79" s="3" t="s">
        <v>64</v>
      </c>
      <c r="P79" s="3" t="s">
        <v>65</v>
      </c>
    </row>
    <row r="80" customFormat="false" ht="15" hidden="false" customHeight="false" outlineLevel="0" collapsed="false">
      <c r="A80" s="3" t="s">
        <v>252</v>
      </c>
      <c r="B80" s="3" t="s">
        <v>272</v>
      </c>
      <c r="C80" s="3" t="s">
        <v>273</v>
      </c>
      <c r="D80" s="4" t="n">
        <v>347.5</v>
      </c>
      <c r="E80" s="3" t="s">
        <v>60</v>
      </c>
      <c r="F80" s="3" t="n">
        <v>55.93</v>
      </c>
      <c r="G80" s="3" t="s">
        <v>60</v>
      </c>
      <c r="H80" s="3" t="s">
        <v>60</v>
      </c>
      <c r="I80" s="3" t="n">
        <v>98601000</v>
      </c>
      <c r="J80" s="3" t="n">
        <v>2941500</v>
      </c>
      <c r="K80" s="3" t="s">
        <v>61</v>
      </c>
      <c r="L80" s="3" t="s">
        <v>62</v>
      </c>
      <c r="M80" s="3" t="s">
        <v>274</v>
      </c>
      <c r="N80" s="3" t="n">
        <v>0</v>
      </c>
      <c r="O80" s="3" t="s">
        <v>64</v>
      </c>
      <c r="P80" s="3" t="s">
        <v>65</v>
      </c>
    </row>
    <row r="81" customFormat="false" ht="15" hidden="false" customHeight="false" outlineLevel="0" collapsed="false">
      <c r="A81" s="3" t="s">
        <v>252</v>
      </c>
      <c r="B81" s="3" t="s">
        <v>275</v>
      </c>
      <c r="C81" s="3" t="s">
        <v>276</v>
      </c>
      <c r="D81" s="4" t="n">
        <v>604.7</v>
      </c>
      <c r="E81" s="3" t="s">
        <v>60</v>
      </c>
      <c r="F81" s="3" t="n">
        <v>51.12</v>
      </c>
      <c r="G81" s="3" t="s">
        <v>60</v>
      </c>
      <c r="H81" s="3" t="s">
        <v>60</v>
      </c>
      <c r="I81" s="3" t="n">
        <v>33264000</v>
      </c>
      <c r="J81" s="3" t="n">
        <v>48600</v>
      </c>
      <c r="K81" s="3" t="s">
        <v>61</v>
      </c>
      <c r="L81" s="3" t="s">
        <v>62</v>
      </c>
      <c r="M81" s="3" t="s">
        <v>277</v>
      </c>
      <c r="N81" s="3" t="n">
        <v>0</v>
      </c>
      <c r="O81" s="3" t="s">
        <v>64</v>
      </c>
      <c r="P81" s="3" t="s">
        <v>65</v>
      </c>
    </row>
    <row r="82" customFormat="false" ht="15" hidden="false" customHeight="false" outlineLevel="0" collapsed="false">
      <c r="A82" s="3" t="s">
        <v>252</v>
      </c>
      <c r="B82" s="3" t="s">
        <v>117</v>
      </c>
      <c r="C82" s="3" t="s">
        <v>118</v>
      </c>
      <c r="D82" s="4" t="n">
        <v>283.75</v>
      </c>
      <c r="E82" s="3" t="s">
        <v>60</v>
      </c>
      <c r="F82" s="3" t="n">
        <v>63.63</v>
      </c>
      <c r="G82" s="3" t="s">
        <v>60</v>
      </c>
      <c r="H82" s="3" t="s">
        <v>60</v>
      </c>
      <c r="I82" s="3" t="n">
        <v>43473600</v>
      </c>
      <c r="J82" s="3" t="n">
        <v>1110600</v>
      </c>
      <c r="K82" s="3" t="s">
        <v>61</v>
      </c>
      <c r="L82" s="3" t="s">
        <v>62</v>
      </c>
      <c r="M82" s="3" t="s">
        <v>278</v>
      </c>
      <c r="N82" s="3" t="n">
        <v>1</v>
      </c>
      <c r="O82" s="3" t="s">
        <v>64</v>
      </c>
      <c r="P82" s="3" t="s">
        <v>65</v>
      </c>
    </row>
    <row r="83" customFormat="false" ht="15" hidden="false" customHeight="false" outlineLevel="0" collapsed="false">
      <c r="A83" s="3" t="s">
        <v>252</v>
      </c>
      <c r="B83" s="3" t="s">
        <v>279</v>
      </c>
      <c r="C83" s="3" t="s">
        <v>280</v>
      </c>
      <c r="D83" s="4" t="n">
        <v>720.05</v>
      </c>
      <c r="E83" s="3" t="s">
        <v>60</v>
      </c>
      <c r="F83" s="3" t="n">
        <v>45.9</v>
      </c>
      <c r="G83" s="3" t="s">
        <v>60</v>
      </c>
      <c r="H83" s="3" t="s">
        <v>60</v>
      </c>
      <c r="I83" s="3" t="n">
        <v>33151430</v>
      </c>
      <c r="J83" s="3" t="n">
        <v>163955</v>
      </c>
      <c r="K83" s="3" t="s">
        <v>61</v>
      </c>
      <c r="L83" s="3" t="s">
        <v>62</v>
      </c>
      <c r="M83" s="3" t="s">
        <v>281</v>
      </c>
      <c r="N83" s="3" t="n">
        <v>0</v>
      </c>
      <c r="O83" s="3" t="s">
        <v>64</v>
      </c>
      <c r="P83" s="3" t="s">
        <v>65</v>
      </c>
    </row>
    <row r="84" customFormat="false" ht="15" hidden="false" customHeight="false" outlineLevel="0" collapsed="false">
      <c r="A84" s="3" t="s">
        <v>282</v>
      </c>
      <c r="B84" s="3" t="s">
        <v>199</v>
      </c>
      <c r="C84" s="3" t="s">
        <v>200</v>
      </c>
      <c r="D84" s="4" t="n">
        <v>376.6</v>
      </c>
      <c r="E84" s="3" t="s">
        <v>60</v>
      </c>
      <c r="F84" s="3" t="n">
        <v>45.92</v>
      </c>
      <c r="G84" s="3" t="s">
        <v>60</v>
      </c>
      <c r="H84" s="3" t="s">
        <v>60</v>
      </c>
      <c r="I84" s="3" t="n">
        <v>41310000</v>
      </c>
      <c r="J84" s="3" t="n">
        <v>1292500</v>
      </c>
      <c r="K84" s="3" t="s">
        <v>61</v>
      </c>
      <c r="L84" s="3" t="s">
        <v>62</v>
      </c>
      <c r="M84" s="3" t="s">
        <v>283</v>
      </c>
      <c r="N84" s="3" t="n">
        <v>1</v>
      </c>
      <c r="O84" s="3" t="s">
        <v>100</v>
      </c>
      <c r="P84" s="3" t="s">
        <v>70</v>
      </c>
    </row>
    <row r="85" customFormat="false" ht="15" hidden="false" customHeight="false" outlineLevel="0" collapsed="false">
      <c r="A85" s="3" t="s">
        <v>282</v>
      </c>
      <c r="B85" s="3" t="s">
        <v>284</v>
      </c>
      <c r="C85" s="3" t="s">
        <v>285</v>
      </c>
      <c r="D85" s="4" t="n">
        <v>1882.8</v>
      </c>
      <c r="E85" s="3" t="s">
        <v>60</v>
      </c>
      <c r="F85" s="3" t="n">
        <v>56.8</v>
      </c>
      <c r="G85" s="3" t="s">
        <v>60</v>
      </c>
      <c r="H85" s="3" t="s">
        <v>60</v>
      </c>
      <c r="I85" s="3" t="n">
        <v>8995125</v>
      </c>
      <c r="J85" s="3" t="n">
        <v>45750</v>
      </c>
      <c r="K85" s="3" t="s">
        <v>61</v>
      </c>
      <c r="L85" s="3" t="s">
        <v>62</v>
      </c>
      <c r="M85" s="3" t="s">
        <v>286</v>
      </c>
      <c r="N85" s="3" t="n">
        <v>0</v>
      </c>
      <c r="O85" s="3" t="s">
        <v>64</v>
      </c>
      <c r="P85" s="3" t="s">
        <v>65</v>
      </c>
    </row>
    <row r="86" customFormat="false" ht="15" hidden="false" customHeight="false" outlineLevel="0" collapsed="false">
      <c r="A86" s="3" t="s">
        <v>282</v>
      </c>
      <c r="B86" s="3" t="s">
        <v>260</v>
      </c>
      <c r="C86" s="3" t="s">
        <v>261</v>
      </c>
      <c r="D86" s="4" t="n">
        <v>94.47</v>
      </c>
      <c r="E86" s="3" t="s">
        <v>60</v>
      </c>
      <c r="F86" s="3" t="n">
        <v>46.24</v>
      </c>
      <c r="G86" s="3" t="s">
        <v>60</v>
      </c>
      <c r="H86" s="3" t="s">
        <v>60</v>
      </c>
      <c r="I86" s="3" t="n">
        <v>232427925</v>
      </c>
      <c r="J86" s="3" t="n">
        <v>2162250</v>
      </c>
      <c r="K86" s="3" t="s">
        <v>61</v>
      </c>
      <c r="L86" s="3" t="s">
        <v>62</v>
      </c>
      <c r="M86" s="3" t="s">
        <v>287</v>
      </c>
      <c r="N86" s="3" t="n">
        <v>0</v>
      </c>
      <c r="O86" s="3" t="s">
        <v>100</v>
      </c>
      <c r="P86" s="3" t="s">
        <v>70</v>
      </c>
    </row>
    <row r="87" customFormat="false" ht="15" hidden="false" customHeight="false" outlineLevel="0" collapsed="false">
      <c r="A87" s="3" t="s">
        <v>288</v>
      </c>
      <c r="B87" s="3" t="s">
        <v>289</v>
      </c>
      <c r="C87" s="3" t="s">
        <v>290</v>
      </c>
      <c r="D87" s="4" t="n">
        <v>141.53</v>
      </c>
      <c r="E87" s="3" t="s">
        <v>60</v>
      </c>
      <c r="F87" s="3" t="n">
        <v>46.57</v>
      </c>
      <c r="G87" s="3" t="s">
        <v>60</v>
      </c>
      <c r="H87" s="3" t="s">
        <v>60</v>
      </c>
      <c r="I87" s="3" t="n">
        <v>137375000</v>
      </c>
      <c r="J87" s="3" t="n">
        <v>1965000</v>
      </c>
      <c r="K87" s="3" t="s">
        <v>61</v>
      </c>
      <c r="L87" s="3" t="s">
        <v>62</v>
      </c>
      <c r="M87" s="3" t="s">
        <v>291</v>
      </c>
      <c r="N87" s="3" t="n">
        <v>0</v>
      </c>
      <c r="O87" s="3" t="s">
        <v>64</v>
      </c>
      <c r="P87" s="3" t="s">
        <v>65</v>
      </c>
    </row>
    <row r="88" customFormat="false" ht="15" hidden="false" customHeight="false" outlineLevel="0" collapsed="false">
      <c r="A88" s="3" t="s">
        <v>288</v>
      </c>
      <c r="B88" s="3" t="s">
        <v>104</v>
      </c>
      <c r="C88" s="3" t="s">
        <v>105</v>
      </c>
      <c r="D88" s="4" t="n">
        <v>476</v>
      </c>
      <c r="E88" s="3" t="s">
        <v>60</v>
      </c>
      <c r="F88" s="3" t="n">
        <v>46.89</v>
      </c>
      <c r="G88" s="3" t="s">
        <v>60</v>
      </c>
      <c r="H88" s="3" t="s">
        <v>60</v>
      </c>
      <c r="I88" s="3" t="n">
        <v>44169300</v>
      </c>
      <c r="J88" s="3" t="n">
        <v>127575</v>
      </c>
      <c r="K88" s="3" t="s">
        <v>61</v>
      </c>
      <c r="L88" s="3" t="s">
        <v>62</v>
      </c>
      <c r="M88" s="3" t="s">
        <v>292</v>
      </c>
      <c r="N88" s="3" t="n">
        <v>2</v>
      </c>
      <c r="O88" s="3" t="s">
        <v>64</v>
      </c>
      <c r="P88" s="3" t="s">
        <v>65</v>
      </c>
    </row>
    <row r="89" customFormat="false" ht="15" hidden="false" customHeight="false" outlineLevel="0" collapsed="false">
      <c r="A89" s="3" t="s">
        <v>288</v>
      </c>
      <c r="B89" s="3" t="s">
        <v>293</v>
      </c>
      <c r="C89" s="3" t="s">
        <v>294</v>
      </c>
      <c r="D89" s="4" t="n">
        <v>858.7</v>
      </c>
      <c r="E89" s="3" t="s">
        <v>60</v>
      </c>
      <c r="F89" s="3" t="n">
        <v>52.77</v>
      </c>
      <c r="G89" s="3" t="s">
        <v>60</v>
      </c>
      <c r="H89" s="3" t="s">
        <v>60</v>
      </c>
      <c r="I89" s="3" t="n">
        <v>10862000</v>
      </c>
      <c r="J89" s="3" t="n">
        <v>1681000</v>
      </c>
      <c r="K89" s="3" t="s">
        <v>61</v>
      </c>
      <c r="L89" s="3" t="s">
        <v>62</v>
      </c>
      <c r="M89" s="3" t="s">
        <v>295</v>
      </c>
      <c r="N89" s="3" t="n">
        <v>0</v>
      </c>
      <c r="O89" s="3" t="s">
        <v>64</v>
      </c>
      <c r="P89" s="3" t="s">
        <v>65</v>
      </c>
    </row>
    <row r="90" customFormat="false" ht="15" hidden="false" customHeight="false" outlineLevel="0" collapsed="false">
      <c r="A90" s="3" t="s">
        <v>288</v>
      </c>
      <c r="B90" s="3" t="s">
        <v>296</v>
      </c>
      <c r="C90" s="3" t="s">
        <v>297</v>
      </c>
      <c r="D90" s="4" t="n">
        <v>1963.5</v>
      </c>
      <c r="E90" s="3" t="s">
        <v>60</v>
      </c>
      <c r="F90" s="3" t="n">
        <v>60.42</v>
      </c>
      <c r="G90" s="3" t="s">
        <v>60</v>
      </c>
      <c r="H90" s="3" t="s">
        <v>60</v>
      </c>
      <c r="I90" s="3" t="n">
        <v>11103125</v>
      </c>
      <c r="J90" s="3" t="n">
        <v>266050</v>
      </c>
      <c r="K90" s="3" t="s">
        <v>61</v>
      </c>
      <c r="L90" s="3" t="s">
        <v>62</v>
      </c>
      <c r="M90" s="3" t="s">
        <v>298</v>
      </c>
      <c r="N90" s="3" t="n">
        <v>0</v>
      </c>
      <c r="O90" s="3" t="s">
        <v>299</v>
      </c>
      <c r="P90" s="3" t="s">
        <v>70</v>
      </c>
    </row>
    <row r="91" customFormat="false" ht="15" hidden="false" customHeight="false" outlineLevel="0" collapsed="false">
      <c r="A91" s="3" t="s">
        <v>288</v>
      </c>
      <c r="B91" s="3" t="s">
        <v>300</v>
      </c>
      <c r="C91" s="3" t="s">
        <v>301</v>
      </c>
      <c r="D91" s="4" t="n">
        <v>937</v>
      </c>
      <c r="E91" s="3" t="s">
        <v>60</v>
      </c>
      <c r="F91" s="3" t="n">
        <v>54.72</v>
      </c>
      <c r="G91" s="3" t="s">
        <v>60</v>
      </c>
      <c r="H91" s="3" t="s">
        <v>60</v>
      </c>
      <c r="I91" s="3" t="n">
        <v>77928750</v>
      </c>
      <c r="J91" s="3" t="n">
        <v>1550250</v>
      </c>
      <c r="K91" s="3" t="s">
        <v>61</v>
      </c>
      <c r="L91" s="3" t="s">
        <v>62</v>
      </c>
      <c r="M91" s="3" t="s">
        <v>302</v>
      </c>
      <c r="N91" s="3" t="n">
        <v>0</v>
      </c>
      <c r="O91" s="3" t="s">
        <v>64</v>
      </c>
      <c r="P91" s="3" t="s">
        <v>65</v>
      </c>
    </row>
    <row r="92" customFormat="false" ht="15" hidden="false" customHeight="false" outlineLevel="0" collapsed="false">
      <c r="A92" s="3" t="s">
        <v>288</v>
      </c>
      <c r="B92" s="3" t="s">
        <v>303</v>
      </c>
      <c r="C92" s="3" t="s">
        <v>304</v>
      </c>
      <c r="D92" s="4" t="n">
        <v>748.9</v>
      </c>
      <c r="E92" s="3" t="s">
        <v>60</v>
      </c>
      <c r="F92" s="3" t="n">
        <v>50.78</v>
      </c>
      <c r="G92" s="3" t="s">
        <v>60</v>
      </c>
      <c r="H92" s="3" t="s">
        <v>60</v>
      </c>
      <c r="I92" s="3" t="n">
        <v>52828875</v>
      </c>
      <c r="J92" s="3" t="n">
        <v>3990525</v>
      </c>
      <c r="K92" s="3" t="s">
        <v>61</v>
      </c>
      <c r="L92" s="3" t="s">
        <v>62</v>
      </c>
      <c r="M92" s="3" t="s">
        <v>305</v>
      </c>
      <c r="N92" s="3" t="n">
        <v>0</v>
      </c>
      <c r="O92" s="3" t="s">
        <v>64</v>
      </c>
      <c r="P92" s="3" t="s">
        <v>65</v>
      </c>
    </row>
    <row r="93" customFormat="false" ht="15" hidden="false" customHeight="false" outlineLevel="0" collapsed="false">
      <c r="A93" s="3" t="s">
        <v>306</v>
      </c>
      <c r="B93" s="3" t="s">
        <v>182</v>
      </c>
      <c r="C93" s="3" t="s">
        <v>183</v>
      </c>
      <c r="D93" s="4" t="n">
        <v>1480.7</v>
      </c>
      <c r="E93" s="3" t="s">
        <v>60</v>
      </c>
      <c r="F93" s="3" t="n">
        <v>49.05</v>
      </c>
      <c r="G93" s="3" t="s">
        <v>60</v>
      </c>
      <c r="H93" s="3" t="s">
        <v>60</v>
      </c>
      <c r="I93" s="3" t="n">
        <v>8239900</v>
      </c>
      <c r="J93" s="3" t="n">
        <v>104975</v>
      </c>
      <c r="K93" s="3" t="s">
        <v>61</v>
      </c>
      <c r="L93" s="3" t="s">
        <v>62</v>
      </c>
      <c r="M93" s="3" t="s">
        <v>307</v>
      </c>
      <c r="N93" s="3" t="n">
        <v>1</v>
      </c>
      <c r="O93" s="3" t="s">
        <v>64</v>
      </c>
      <c r="P93" s="3" t="s">
        <v>65</v>
      </c>
    </row>
    <row r="94" customFormat="false" ht="15" hidden="false" customHeight="false" outlineLevel="0" collapsed="false">
      <c r="A94" s="3" t="s">
        <v>306</v>
      </c>
      <c r="B94" s="3" t="s">
        <v>199</v>
      </c>
      <c r="C94" s="3" t="s">
        <v>200</v>
      </c>
      <c r="D94" s="4" t="n">
        <v>377.15</v>
      </c>
      <c r="E94" s="3" t="s">
        <v>60</v>
      </c>
      <c r="F94" s="3" t="n">
        <v>70.69</v>
      </c>
      <c r="G94" s="3" t="s">
        <v>60</v>
      </c>
      <c r="H94" s="3" t="s">
        <v>60</v>
      </c>
      <c r="I94" s="3" t="n">
        <v>42097500</v>
      </c>
      <c r="J94" s="3" t="n">
        <v>817500</v>
      </c>
      <c r="K94" s="3" t="s">
        <v>61</v>
      </c>
      <c r="L94" s="3" t="s">
        <v>62</v>
      </c>
      <c r="M94" s="3" t="s">
        <v>308</v>
      </c>
      <c r="N94" s="3" t="n">
        <v>2</v>
      </c>
      <c r="O94" s="3" t="s">
        <v>64</v>
      </c>
      <c r="P94" s="3" t="s">
        <v>65</v>
      </c>
    </row>
    <row r="95" customFormat="false" ht="15" hidden="false" customHeight="false" outlineLevel="0" collapsed="false">
      <c r="A95" s="3" t="s">
        <v>306</v>
      </c>
      <c r="B95" s="3" t="s">
        <v>309</v>
      </c>
      <c r="C95" s="3" t="s">
        <v>310</v>
      </c>
      <c r="D95" s="4" t="n">
        <v>4379.7</v>
      </c>
      <c r="E95" s="3" t="s">
        <v>60</v>
      </c>
      <c r="F95" s="3" t="n">
        <v>74.2</v>
      </c>
      <c r="G95" s="3" t="s">
        <v>60</v>
      </c>
      <c r="H95" s="3" t="s">
        <v>60</v>
      </c>
      <c r="I95" s="3" t="n">
        <v>2933400</v>
      </c>
      <c r="J95" s="3" t="n">
        <v>56400</v>
      </c>
      <c r="K95" s="3" t="s">
        <v>61</v>
      </c>
      <c r="L95" s="3" t="s">
        <v>62</v>
      </c>
      <c r="M95" s="3" t="s">
        <v>311</v>
      </c>
      <c r="N95" s="3" t="n">
        <v>0</v>
      </c>
      <c r="O95" s="3" t="s">
        <v>64</v>
      </c>
      <c r="P95" s="3" t="s">
        <v>65</v>
      </c>
    </row>
    <row r="96" customFormat="false" ht="15" hidden="false" customHeight="false" outlineLevel="0" collapsed="false">
      <c r="A96" s="3" t="s">
        <v>306</v>
      </c>
      <c r="B96" s="3" t="s">
        <v>312</v>
      </c>
      <c r="C96" s="3" t="s">
        <v>313</v>
      </c>
      <c r="D96" s="4" t="n">
        <v>919.9</v>
      </c>
      <c r="E96" s="3" t="s">
        <v>60</v>
      </c>
      <c r="F96" s="3" t="n">
        <v>63.64</v>
      </c>
      <c r="G96" s="3" t="s">
        <v>60</v>
      </c>
      <c r="H96" s="3" t="s">
        <v>60</v>
      </c>
      <c r="I96" s="3" t="n">
        <v>8831900</v>
      </c>
      <c r="J96" s="3" t="n">
        <v>515900</v>
      </c>
      <c r="K96" s="3" t="s">
        <v>61</v>
      </c>
      <c r="L96" s="3" t="s">
        <v>62</v>
      </c>
      <c r="M96" s="3" t="s">
        <v>314</v>
      </c>
      <c r="N96" s="3" t="n">
        <v>0</v>
      </c>
      <c r="O96" s="3" t="s">
        <v>64</v>
      </c>
      <c r="P96" s="3" t="s">
        <v>65</v>
      </c>
    </row>
    <row r="97" customFormat="false" ht="15" hidden="false" customHeight="false" outlineLevel="0" collapsed="false">
      <c r="A97" s="3" t="s">
        <v>306</v>
      </c>
      <c r="B97" s="3" t="s">
        <v>296</v>
      </c>
      <c r="C97" s="3" t="s">
        <v>297</v>
      </c>
      <c r="D97" s="4" t="n">
        <v>1983.8</v>
      </c>
      <c r="E97" s="3" t="s">
        <v>60</v>
      </c>
      <c r="F97" s="3" t="n">
        <v>60.3</v>
      </c>
      <c r="G97" s="3" t="s">
        <v>60</v>
      </c>
      <c r="H97" s="3" t="s">
        <v>60</v>
      </c>
      <c r="I97" s="3" t="n">
        <v>11914875</v>
      </c>
      <c r="J97" s="3" t="n">
        <v>811750</v>
      </c>
      <c r="K97" s="3" t="s">
        <v>61</v>
      </c>
      <c r="L97" s="3" t="s">
        <v>315</v>
      </c>
      <c r="M97" s="3" t="s">
        <v>316</v>
      </c>
      <c r="N97" s="3" t="n">
        <v>0</v>
      </c>
      <c r="O97" s="3" t="s">
        <v>317</v>
      </c>
      <c r="P97" s="3" t="s">
        <v>70</v>
      </c>
    </row>
    <row r="98" customFormat="false" ht="15" hidden="false" customHeight="false" outlineLevel="0" collapsed="false">
      <c r="A98" s="3" t="s">
        <v>318</v>
      </c>
      <c r="B98" s="3" t="s">
        <v>319</v>
      </c>
      <c r="C98" s="3" t="s">
        <v>320</v>
      </c>
      <c r="D98" s="4" t="n">
        <v>1745.9</v>
      </c>
      <c r="E98" s="3" t="s">
        <v>60</v>
      </c>
      <c r="F98" s="3" t="n">
        <v>69.86</v>
      </c>
      <c r="G98" s="3" t="s">
        <v>60</v>
      </c>
      <c r="H98" s="3" t="s">
        <v>60</v>
      </c>
      <c r="I98" s="3" t="n">
        <v>15308125</v>
      </c>
      <c r="J98" s="3" t="n">
        <v>285625</v>
      </c>
      <c r="K98" s="3" t="s">
        <v>61</v>
      </c>
      <c r="L98" s="3" t="s">
        <v>62</v>
      </c>
      <c r="M98" s="3" t="s">
        <v>321</v>
      </c>
      <c r="N98" s="3" t="n">
        <v>0</v>
      </c>
      <c r="O98" s="3" t="s">
        <v>64</v>
      </c>
      <c r="P98" s="3" t="s">
        <v>65</v>
      </c>
    </row>
    <row r="99" customFormat="false" ht="15" hidden="false" customHeight="false" outlineLevel="0" collapsed="false">
      <c r="A99" s="3" t="s">
        <v>318</v>
      </c>
      <c r="B99" s="3" t="s">
        <v>96</v>
      </c>
      <c r="C99" s="3" t="s">
        <v>97</v>
      </c>
      <c r="D99" s="4" t="n">
        <v>484.85</v>
      </c>
      <c r="E99" s="3" t="s">
        <v>60</v>
      </c>
      <c r="F99" s="3" t="n">
        <v>46.08</v>
      </c>
      <c r="G99" s="3" t="s">
        <v>60</v>
      </c>
      <c r="H99" s="3" t="s">
        <v>60</v>
      </c>
      <c r="I99" s="3" t="n">
        <v>19507075</v>
      </c>
      <c r="J99" s="3" t="n">
        <v>879800</v>
      </c>
      <c r="K99" s="3" t="s">
        <v>61</v>
      </c>
      <c r="L99" s="3" t="s">
        <v>62</v>
      </c>
      <c r="M99" s="3" t="s">
        <v>322</v>
      </c>
      <c r="N99" s="3" t="n">
        <v>1</v>
      </c>
      <c r="O99" s="3" t="s">
        <v>64</v>
      </c>
      <c r="P99" s="3" t="s">
        <v>65</v>
      </c>
    </row>
    <row r="100" customFormat="false" ht="15" hidden="false" customHeight="false" outlineLevel="0" collapsed="false">
      <c r="A100" s="3" t="s">
        <v>318</v>
      </c>
      <c r="B100" s="3" t="s">
        <v>296</v>
      </c>
      <c r="C100" s="3" t="s">
        <v>297</v>
      </c>
      <c r="D100" s="4" t="n">
        <v>1997</v>
      </c>
      <c r="E100" s="3" t="s">
        <v>60</v>
      </c>
      <c r="F100" s="3" t="n">
        <v>53.3</v>
      </c>
      <c r="G100" s="3" t="s">
        <v>60</v>
      </c>
      <c r="H100" s="3" t="s">
        <v>60</v>
      </c>
      <c r="I100" s="3" t="n">
        <v>12225975</v>
      </c>
      <c r="J100" s="3" t="n">
        <v>311100</v>
      </c>
      <c r="K100" s="3" t="s">
        <v>61</v>
      </c>
      <c r="L100" s="3" t="s">
        <v>62</v>
      </c>
      <c r="M100" s="3" t="s">
        <v>323</v>
      </c>
      <c r="N100" s="3" t="n">
        <v>0</v>
      </c>
      <c r="O100" s="3" t="s">
        <v>324</v>
      </c>
      <c r="P100" s="3" t="s">
        <v>70</v>
      </c>
    </row>
    <row r="101" customFormat="false" ht="15" hidden="false" customHeight="false" outlineLevel="0" collapsed="false">
      <c r="A101" s="3" t="s">
        <v>318</v>
      </c>
      <c r="B101" s="3" t="s">
        <v>80</v>
      </c>
      <c r="C101" s="3" t="s">
        <v>81</v>
      </c>
      <c r="D101" s="4" t="n">
        <v>1592.4</v>
      </c>
      <c r="E101" s="3" t="s">
        <v>60</v>
      </c>
      <c r="F101" s="3" t="n">
        <v>70.3</v>
      </c>
      <c r="G101" s="3" t="s">
        <v>60</v>
      </c>
      <c r="H101" s="3" t="s">
        <v>60</v>
      </c>
      <c r="I101" s="3" t="n">
        <v>6091600</v>
      </c>
      <c r="J101" s="3" t="n">
        <v>3600</v>
      </c>
      <c r="K101" s="3" t="s">
        <v>61</v>
      </c>
      <c r="L101" s="3" t="s">
        <v>62</v>
      </c>
      <c r="M101" s="3" t="s">
        <v>325</v>
      </c>
      <c r="N101" s="3" t="n">
        <v>1</v>
      </c>
      <c r="O101" s="3" t="s">
        <v>64</v>
      </c>
      <c r="P101" s="3" t="s">
        <v>65</v>
      </c>
    </row>
    <row r="102" customFormat="false" ht="15" hidden="false" customHeight="false" outlineLevel="0" collapsed="false">
      <c r="A102" s="3" t="s">
        <v>326</v>
      </c>
      <c r="B102" s="3" t="s">
        <v>199</v>
      </c>
      <c r="C102" s="3" t="s">
        <v>200</v>
      </c>
      <c r="D102" s="4" t="n">
        <v>385.2</v>
      </c>
      <c r="E102" s="3" t="s">
        <v>60</v>
      </c>
      <c r="F102" s="3" t="n">
        <v>47.64</v>
      </c>
      <c r="G102" s="3" t="s">
        <v>60</v>
      </c>
      <c r="H102" s="3" t="s">
        <v>60</v>
      </c>
      <c r="I102" s="3" t="n">
        <v>43142500</v>
      </c>
      <c r="J102" s="3" t="n">
        <v>165000</v>
      </c>
      <c r="K102" s="3" t="s">
        <v>61</v>
      </c>
      <c r="L102" s="3" t="s">
        <v>62</v>
      </c>
      <c r="M102" s="3" t="s">
        <v>327</v>
      </c>
      <c r="N102" s="3" t="n">
        <v>3</v>
      </c>
      <c r="O102" s="3" t="s">
        <v>64</v>
      </c>
      <c r="P102" s="3" t="s">
        <v>65</v>
      </c>
    </row>
    <row r="103" customFormat="false" ht="15" hidden="false" customHeight="false" outlineLevel="0" collapsed="false">
      <c r="A103" s="3" t="s">
        <v>326</v>
      </c>
      <c r="B103" s="3" t="s">
        <v>328</v>
      </c>
      <c r="C103" s="3" t="s">
        <v>329</v>
      </c>
      <c r="D103" s="4" t="n">
        <v>6013.5</v>
      </c>
      <c r="E103" s="3" t="s">
        <v>60</v>
      </c>
      <c r="F103" s="3" t="n">
        <v>46.51</v>
      </c>
      <c r="G103" s="3" t="s">
        <v>60</v>
      </c>
      <c r="H103" s="3" t="s">
        <v>60</v>
      </c>
      <c r="I103" s="3" t="n">
        <v>3533375</v>
      </c>
      <c r="J103" s="3" t="n">
        <v>229375</v>
      </c>
      <c r="K103" s="3" t="s">
        <v>61</v>
      </c>
      <c r="L103" s="3" t="s">
        <v>62</v>
      </c>
      <c r="M103" s="3" t="s">
        <v>330</v>
      </c>
      <c r="N103" s="3" t="n">
        <v>0</v>
      </c>
      <c r="O103" s="3" t="s">
        <v>69</v>
      </c>
      <c r="P103" s="3" t="s">
        <v>70</v>
      </c>
    </row>
    <row r="104" customFormat="false" ht="15" hidden="false" customHeight="false" outlineLevel="0" collapsed="false">
      <c r="A104" s="3" t="s">
        <v>326</v>
      </c>
      <c r="B104" s="3" t="s">
        <v>66</v>
      </c>
      <c r="C104" s="3" t="s">
        <v>67</v>
      </c>
      <c r="D104" s="4" t="n">
        <v>6883.5</v>
      </c>
      <c r="E104" s="3" t="s">
        <v>60</v>
      </c>
      <c r="F104" s="3" t="n">
        <v>51.3</v>
      </c>
      <c r="G104" s="3" t="s">
        <v>60</v>
      </c>
      <c r="H104" s="3" t="s">
        <v>60</v>
      </c>
      <c r="I104" s="3" t="n">
        <v>3415200</v>
      </c>
      <c r="J104" s="3" t="n">
        <v>440900</v>
      </c>
      <c r="K104" s="3" t="s">
        <v>61</v>
      </c>
      <c r="L104" s="3" t="s">
        <v>62</v>
      </c>
      <c r="M104" s="3" t="s">
        <v>331</v>
      </c>
      <c r="N104" s="3" t="n">
        <v>2</v>
      </c>
      <c r="O104" s="3" t="s">
        <v>64</v>
      </c>
      <c r="P104" s="3" t="s">
        <v>65</v>
      </c>
    </row>
    <row r="105" customFormat="false" ht="15" hidden="false" customHeight="false" outlineLevel="0" collapsed="false">
      <c r="A105" s="3" t="s">
        <v>332</v>
      </c>
      <c r="B105" s="3" t="s">
        <v>333</v>
      </c>
      <c r="C105" s="3" t="s">
        <v>334</v>
      </c>
      <c r="D105" s="4" t="n">
        <v>5668.5</v>
      </c>
      <c r="E105" s="3" t="s">
        <v>60</v>
      </c>
      <c r="F105" s="3" t="n">
        <v>75.58</v>
      </c>
      <c r="G105" s="3" t="s">
        <v>60</v>
      </c>
      <c r="H105" s="3" t="s">
        <v>60</v>
      </c>
      <c r="I105" s="3" t="n">
        <v>1524625</v>
      </c>
      <c r="J105" s="3" t="n">
        <v>60250</v>
      </c>
      <c r="K105" s="3" t="s">
        <v>61</v>
      </c>
      <c r="L105" s="3" t="s">
        <v>62</v>
      </c>
      <c r="M105" s="3" t="s">
        <v>335</v>
      </c>
      <c r="N105" s="3" t="n">
        <v>0</v>
      </c>
      <c r="O105" s="3" t="s">
        <v>64</v>
      </c>
      <c r="P105" s="3" t="s">
        <v>65</v>
      </c>
    </row>
    <row r="106" customFormat="false" ht="15" hidden="false" customHeight="false" outlineLevel="0" collapsed="false">
      <c r="A106" s="3" t="s">
        <v>332</v>
      </c>
      <c r="B106" s="3" t="s">
        <v>328</v>
      </c>
      <c r="C106" s="3" t="s">
        <v>329</v>
      </c>
      <c r="D106" s="4" t="n">
        <v>6157.5</v>
      </c>
      <c r="E106" s="3" t="s">
        <v>60</v>
      </c>
      <c r="F106" s="3" t="n">
        <v>55.64</v>
      </c>
      <c r="G106" s="3" t="s">
        <v>60</v>
      </c>
      <c r="H106" s="3" t="s">
        <v>60</v>
      </c>
      <c r="I106" s="3" t="n">
        <v>3777375</v>
      </c>
      <c r="J106" s="3" t="n">
        <v>244000</v>
      </c>
      <c r="K106" s="3" t="s">
        <v>61</v>
      </c>
      <c r="L106" s="3" t="s">
        <v>62</v>
      </c>
      <c r="M106" s="3" t="s">
        <v>336</v>
      </c>
      <c r="N106" s="3" t="n">
        <v>0</v>
      </c>
      <c r="O106" s="3" t="s">
        <v>100</v>
      </c>
      <c r="P106" s="3" t="s">
        <v>70</v>
      </c>
    </row>
    <row r="107" customFormat="false" ht="15" hidden="false" customHeight="false" outlineLevel="0" collapsed="false">
      <c r="A107" s="3" t="s">
        <v>332</v>
      </c>
      <c r="B107" s="3" t="s">
        <v>337</v>
      </c>
      <c r="C107" s="3" t="s">
        <v>338</v>
      </c>
      <c r="D107" s="4" t="n">
        <v>6886</v>
      </c>
      <c r="E107" s="3" t="s">
        <v>60</v>
      </c>
      <c r="F107" s="3" t="n">
        <v>60.77</v>
      </c>
      <c r="G107" s="3" t="s">
        <v>60</v>
      </c>
      <c r="H107" s="3" t="s">
        <v>60</v>
      </c>
      <c r="I107" s="3" t="n">
        <v>3184125</v>
      </c>
      <c r="J107" s="3" t="n">
        <v>92750</v>
      </c>
      <c r="K107" s="3" t="s">
        <v>61</v>
      </c>
      <c r="L107" s="3" t="s">
        <v>62</v>
      </c>
      <c r="M107" s="3" t="s">
        <v>339</v>
      </c>
      <c r="N107" s="3" t="n">
        <v>0</v>
      </c>
      <c r="O107" s="3" t="s">
        <v>64</v>
      </c>
      <c r="P107" s="3" t="s">
        <v>65</v>
      </c>
    </row>
    <row r="108" customFormat="false" ht="15" hidden="false" customHeight="false" outlineLevel="0" collapsed="false">
      <c r="A108" s="3" t="s">
        <v>332</v>
      </c>
      <c r="B108" s="3" t="s">
        <v>303</v>
      </c>
      <c r="C108" s="3" t="s">
        <v>304</v>
      </c>
      <c r="D108" s="4" t="n">
        <v>816.35</v>
      </c>
      <c r="E108" s="3" t="s">
        <v>60</v>
      </c>
      <c r="F108" s="3" t="n">
        <v>48.61</v>
      </c>
      <c r="G108" s="3" t="s">
        <v>60</v>
      </c>
      <c r="H108" s="3" t="s">
        <v>60</v>
      </c>
      <c r="I108" s="3" t="n">
        <v>52698525</v>
      </c>
      <c r="J108" s="3" t="n">
        <v>955350</v>
      </c>
      <c r="K108" s="3" t="s">
        <v>61</v>
      </c>
      <c r="L108" s="3" t="s">
        <v>62</v>
      </c>
      <c r="M108" s="3" t="s">
        <v>340</v>
      </c>
      <c r="N108" s="3" t="n">
        <v>1</v>
      </c>
      <c r="O108" s="3" t="s">
        <v>64</v>
      </c>
      <c r="P108" s="3" t="s">
        <v>65</v>
      </c>
    </row>
    <row r="109" customFormat="false" ht="15" hidden="false" customHeight="false" outlineLevel="0" collapsed="false">
      <c r="A109" s="3" t="s">
        <v>341</v>
      </c>
      <c r="B109" s="3" t="s">
        <v>342</v>
      </c>
      <c r="C109" s="3" t="s">
        <v>343</v>
      </c>
      <c r="D109" s="4" t="n">
        <v>2650.4</v>
      </c>
      <c r="E109" s="3" t="s">
        <v>60</v>
      </c>
      <c r="F109" s="3" t="n">
        <v>64.53</v>
      </c>
      <c r="G109" s="3" t="s">
        <v>60</v>
      </c>
      <c r="H109" s="3" t="s">
        <v>60</v>
      </c>
      <c r="I109" s="3" t="n">
        <v>12834000</v>
      </c>
      <c r="J109" s="3" t="n">
        <v>368000</v>
      </c>
      <c r="K109" s="3" t="s">
        <v>61</v>
      </c>
      <c r="L109" s="3" t="s">
        <v>62</v>
      </c>
      <c r="M109" s="3" t="s">
        <v>344</v>
      </c>
      <c r="N109" s="3" t="n">
        <v>0</v>
      </c>
      <c r="O109" s="3" t="s">
        <v>64</v>
      </c>
      <c r="P109" s="3" t="s">
        <v>65</v>
      </c>
    </row>
    <row r="110" customFormat="false" ht="15" hidden="false" customHeight="false" outlineLevel="0" collapsed="false">
      <c r="A110" s="3" t="s">
        <v>341</v>
      </c>
      <c r="B110" s="3" t="s">
        <v>90</v>
      </c>
      <c r="C110" s="3" t="s">
        <v>91</v>
      </c>
      <c r="D110" s="4" t="n">
        <v>8772</v>
      </c>
      <c r="E110" s="3" t="s">
        <v>60</v>
      </c>
      <c r="F110" s="3" t="n">
        <v>55.27</v>
      </c>
      <c r="G110" s="3" t="s">
        <v>60</v>
      </c>
      <c r="H110" s="3" t="s">
        <v>60</v>
      </c>
      <c r="I110" s="3" t="n">
        <v>3402225</v>
      </c>
      <c r="J110" s="3" t="n">
        <v>40350</v>
      </c>
      <c r="K110" s="3" t="s">
        <v>61</v>
      </c>
      <c r="L110" s="3" t="s">
        <v>62</v>
      </c>
      <c r="M110" s="3" t="s">
        <v>345</v>
      </c>
      <c r="N110" s="3" t="n">
        <v>1</v>
      </c>
      <c r="O110" s="3" t="s">
        <v>64</v>
      </c>
      <c r="P110" s="3" t="s">
        <v>65</v>
      </c>
    </row>
    <row r="111" customFormat="false" ht="15" hidden="false" customHeight="false" outlineLevel="0" collapsed="false">
      <c r="A111" s="3" t="s">
        <v>341</v>
      </c>
      <c r="B111" s="3" t="s">
        <v>346</v>
      </c>
      <c r="C111" s="3" t="s">
        <v>347</v>
      </c>
      <c r="D111" s="4" t="n">
        <v>277.95</v>
      </c>
      <c r="E111" s="3" t="s">
        <v>60</v>
      </c>
      <c r="F111" s="3" t="n">
        <v>46.44</v>
      </c>
      <c r="G111" s="3" t="s">
        <v>60</v>
      </c>
      <c r="H111" s="3" t="s">
        <v>60</v>
      </c>
      <c r="I111" s="3" t="n">
        <v>42918000</v>
      </c>
      <c r="J111" s="3" t="n">
        <v>1686000</v>
      </c>
      <c r="K111" s="3" t="s">
        <v>61</v>
      </c>
      <c r="L111" s="3" t="s">
        <v>62</v>
      </c>
      <c r="M111" s="3" t="s">
        <v>348</v>
      </c>
      <c r="N111" s="3" t="n">
        <v>0</v>
      </c>
      <c r="O111" s="3" t="s">
        <v>64</v>
      </c>
      <c r="P111" s="3" t="s">
        <v>65</v>
      </c>
    </row>
    <row r="112" customFormat="false" ht="15" hidden="false" customHeight="false" outlineLevel="0" collapsed="false">
      <c r="A112" s="3" t="s">
        <v>341</v>
      </c>
      <c r="B112" s="3" t="s">
        <v>145</v>
      </c>
      <c r="C112" s="3" t="s">
        <v>146</v>
      </c>
      <c r="D112" s="4" t="n">
        <v>1397.8</v>
      </c>
      <c r="E112" s="3" t="s">
        <v>60</v>
      </c>
      <c r="F112" s="3" t="n">
        <v>74.31</v>
      </c>
      <c r="G112" s="3" t="s">
        <v>60</v>
      </c>
      <c r="H112" s="3" t="s">
        <v>60</v>
      </c>
      <c r="I112" s="3" t="n">
        <v>20260800</v>
      </c>
      <c r="J112" s="3" t="n">
        <v>1369200</v>
      </c>
      <c r="K112" s="3" t="s">
        <v>61</v>
      </c>
      <c r="L112" s="3" t="s">
        <v>62</v>
      </c>
      <c r="M112" s="3" t="s">
        <v>349</v>
      </c>
      <c r="N112" s="3" t="n">
        <v>1</v>
      </c>
      <c r="O112" s="3" t="s">
        <v>69</v>
      </c>
      <c r="P112" s="3" t="s">
        <v>70</v>
      </c>
    </row>
    <row r="113" customFormat="false" ht="15" hidden="false" customHeight="false" outlineLevel="0" collapsed="false">
      <c r="A113" s="3" t="s">
        <v>350</v>
      </c>
      <c r="B113" s="3" t="s">
        <v>136</v>
      </c>
      <c r="C113" s="3" t="s">
        <v>137</v>
      </c>
      <c r="D113" s="4" t="n">
        <v>172.44</v>
      </c>
      <c r="E113" s="3" t="s">
        <v>60</v>
      </c>
      <c r="F113" s="3" t="n">
        <v>55.78</v>
      </c>
      <c r="G113" s="3" t="s">
        <v>60</v>
      </c>
      <c r="H113" s="3" t="s">
        <v>60</v>
      </c>
      <c r="I113" s="3" t="n">
        <v>92820000</v>
      </c>
      <c r="J113" s="3" t="n">
        <v>4875</v>
      </c>
      <c r="K113" s="3" t="s">
        <v>61</v>
      </c>
      <c r="L113" s="3" t="s">
        <v>62</v>
      </c>
      <c r="M113" s="3" t="s">
        <v>351</v>
      </c>
      <c r="N113" s="3" t="n">
        <v>3</v>
      </c>
      <c r="O113" s="3" t="s">
        <v>64</v>
      </c>
      <c r="P113" s="3" t="s">
        <v>65</v>
      </c>
    </row>
    <row r="114" customFormat="false" ht="15" hidden="false" customHeight="false" outlineLevel="0" collapsed="false">
      <c r="A114" s="3" t="s">
        <v>350</v>
      </c>
      <c r="B114" s="3" t="s">
        <v>352</v>
      </c>
      <c r="C114" s="3" t="s">
        <v>353</v>
      </c>
      <c r="D114" s="4" t="n">
        <v>6031</v>
      </c>
      <c r="E114" s="3" t="s">
        <v>60</v>
      </c>
      <c r="F114" s="3" t="n">
        <v>46.36</v>
      </c>
      <c r="G114" s="3" t="s">
        <v>60</v>
      </c>
      <c r="H114" s="3" t="s">
        <v>60</v>
      </c>
      <c r="I114" s="3" t="n">
        <v>2449800</v>
      </c>
      <c r="J114" s="3" t="n">
        <v>109800</v>
      </c>
      <c r="K114" s="3" t="s">
        <v>61</v>
      </c>
      <c r="L114" s="3" t="s">
        <v>62</v>
      </c>
      <c r="M114" s="3" t="s">
        <v>354</v>
      </c>
      <c r="N114" s="3" t="n">
        <v>0</v>
      </c>
      <c r="O114" s="3" t="s">
        <v>64</v>
      </c>
      <c r="P114" s="3" t="s">
        <v>65</v>
      </c>
    </row>
    <row r="115" customFormat="false" ht="15" hidden="false" customHeight="false" outlineLevel="0" collapsed="false">
      <c r="A115" s="3" t="s">
        <v>350</v>
      </c>
      <c r="B115" s="3" t="s">
        <v>145</v>
      </c>
      <c r="C115" s="3" t="s">
        <v>146</v>
      </c>
      <c r="D115" s="4" t="n">
        <v>1408</v>
      </c>
      <c r="E115" s="3" t="s">
        <v>60</v>
      </c>
      <c r="F115" s="3" t="n">
        <v>73.93</v>
      </c>
      <c r="G115" s="3" t="s">
        <v>60</v>
      </c>
      <c r="H115" s="3" t="s">
        <v>60</v>
      </c>
      <c r="I115" s="3" t="n">
        <v>20973000</v>
      </c>
      <c r="J115" s="3" t="n">
        <v>712200</v>
      </c>
      <c r="K115" s="3" t="s">
        <v>61</v>
      </c>
      <c r="L115" s="3" t="s">
        <v>62</v>
      </c>
      <c r="M115" s="3" t="s">
        <v>355</v>
      </c>
      <c r="N115" s="3" t="n">
        <v>1</v>
      </c>
      <c r="O115" s="3" t="s">
        <v>100</v>
      </c>
      <c r="P115" s="3" t="s">
        <v>70</v>
      </c>
    </row>
    <row r="116" customFormat="false" ht="15" hidden="false" customHeight="false" outlineLevel="0" collapsed="false">
      <c r="A116" s="3" t="s">
        <v>356</v>
      </c>
      <c r="B116" s="3" t="s">
        <v>357</v>
      </c>
      <c r="C116" s="3" t="s">
        <v>358</v>
      </c>
      <c r="D116" s="4" t="n">
        <v>530.45</v>
      </c>
      <c r="E116" s="3" t="s">
        <v>60</v>
      </c>
      <c r="F116" s="3" t="n">
        <v>59.14</v>
      </c>
      <c r="G116" s="3" t="s">
        <v>60</v>
      </c>
      <c r="H116" s="3" t="s">
        <v>60</v>
      </c>
      <c r="I116" s="3" t="n">
        <v>29117500</v>
      </c>
      <c r="J116" s="3" t="n">
        <v>561250</v>
      </c>
      <c r="K116" s="3" t="s">
        <v>61</v>
      </c>
      <c r="L116" s="3" t="s">
        <v>62</v>
      </c>
      <c r="M116" s="3" t="s">
        <v>359</v>
      </c>
      <c r="N116" s="3" t="n">
        <v>0</v>
      </c>
      <c r="O116" s="3" t="s">
        <v>64</v>
      </c>
      <c r="P116" s="3" t="s">
        <v>65</v>
      </c>
    </row>
    <row r="117" customFormat="false" ht="15" hidden="false" customHeight="false" outlineLevel="0" collapsed="false">
      <c r="A117" s="3" t="s">
        <v>356</v>
      </c>
      <c r="B117" s="3" t="s">
        <v>360</v>
      </c>
      <c r="C117" s="3" t="s">
        <v>361</v>
      </c>
      <c r="D117" s="4" t="n">
        <v>308.8</v>
      </c>
      <c r="E117" s="3" t="s">
        <v>60</v>
      </c>
      <c r="F117" s="3" t="n">
        <v>61</v>
      </c>
      <c r="G117" s="3" t="s">
        <v>60</v>
      </c>
      <c r="H117" s="3" t="s">
        <v>60</v>
      </c>
      <c r="I117" s="3" t="n">
        <v>270261400</v>
      </c>
      <c r="J117" s="3" t="n">
        <v>1568975</v>
      </c>
      <c r="K117" s="3" t="s">
        <v>61</v>
      </c>
      <c r="L117" s="3" t="s">
        <v>62</v>
      </c>
      <c r="M117" s="3" t="s">
        <v>362</v>
      </c>
      <c r="N117" s="3" t="n">
        <v>0</v>
      </c>
      <c r="O117" s="3" t="s">
        <v>64</v>
      </c>
      <c r="P117" s="3" t="s">
        <v>65</v>
      </c>
    </row>
    <row r="118" customFormat="false" ht="15" hidden="false" customHeight="false" outlineLevel="0" collapsed="false">
      <c r="A118" s="3" t="s">
        <v>356</v>
      </c>
      <c r="B118" s="3" t="s">
        <v>284</v>
      </c>
      <c r="C118" s="3" t="s">
        <v>285</v>
      </c>
      <c r="D118" s="4" t="n">
        <v>1847.8</v>
      </c>
      <c r="E118" s="3" t="s">
        <v>60</v>
      </c>
      <c r="F118" s="3" t="n">
        <v>71.35</v>
      </c>
      <c r="G118" s="3" t="s">
        <v>60</v>
      </c>
      <c r="H118" s="3" t="s">
        <v>60</v>
      </c>
      <c r="I118" s="3" t="n">
        <v>10670625</v>
      </c>
      <c r="J118" s="3" t="n">
        <v>1087500</v>
      </c>
      <c r="K118" s="3" t="s">
        <v>61</v>
      </c>
      <c r="L118" s="3" t="s">
        <v>62</v>
      </c>
      <c r="M118" s="3" t="s">
        <v>363</v>
      </c>
      <c r="N118" s="3" t="n">
        <v>1</v>
      </c>
      <c r="O118" s="3" t="s">
        <v>299</v>
      </c>
      <c r="P118" s="3" t="s">
        <v>70</v>
      </c>
    </row>
    <row r="119" customFormat="false" ht="15" hidden="false" customHeight="false" outlineLevel="0" collapsed="false">
      <c r="A119" s="3" t="s">
        <v>356</v>
      </c>
      <c r="B119" s="3" t="s">
        <v>364</v>
      </c>
      <c r="C119" s="3" t="s">
        <v>365</v>
      </c>
      <c r="D119" s="4" t="n">
        <v>632.95</v>
      </c>
      <c r="E119" s="3" t="s">
        <v>60</v>
      </c>
      <c r="F119" s="3" t="n">
        <v>70.96</v>
      </c>
      <c r="G119" s="3" t="s">
        <v>60</v>
      </c>
      <c r="H119" s="3" t="s">
        <v>60</v>
      </c>
      <c r="I119" s="3" t="n">
        <v>12946300</v>
      </c>
      <c r="J119" s="3" t="n">
        <v>157250</v>
      </c>
      <c r="K119" s="3" t="s">
        <v>61</v>
      </c>
      <c r="L119" s="3" t="s">
        <v>62</v>
      </c>
      <c r="M119" s="3" t="s">
        <v>366</v>
      </c>
      <c r="N119" s="3" t="n">
        <v>0</v>
      </c>
      <c r="O119" s="3" t="s">
        <v>64</v>
      </c>
      <c r="P119" s="3" t="s">
        <v>65</v>
      </c>
    </row>
    <row r="120" customFormat="false" ht="15" hidden="false" customHeight="false" outlineLevel="0" collapsed="false">
      <c r="A120" s="3" t="s">
        <v>356</v>
      </c>
      <c r="B120" s="3" t="s">
        <v>190</v>
      </c>
      <c r="C120" s="3" t="s">
        <v>60</v>
      </c>
      <c r="D120" s="4" t="n">
        <v>5893.5</v>
      </c>
      <c r="E120" s="3" t="s">
        <v>60</v>
      </c>
      <c r="F120" s="3" t="n">
        <v>46.02</v>
      </c>
      <c r="G120" s="3" t="s">
        <v>60</v>
      </c>
      <c r="H120" s="3" t="s">
        <v>60</v>
      </c>
      <c r="I120" s="3" t="n">
        <v>2257350</v>
      </c>
      <c r="J120" s="3" t="n">
        <v>150</v>
      </c>
      <c r="K120" s="3" t="s">
        <v>61</v>
      </c>
      <c r="L120" s="3" t="s">
        <v>62</v>
      </c>
      <c r="M120" s="3" t="s">
        <v>367</v>
      </c>
      <c r="N120" s="3" t="n">
        <v>1</v>
      </c>
      <c r="O120" s="3" t="s">
        <v>64</v>
      </c>
      <c r="P120" s="3" t="s">
        <v>65</v>
      </c>
    </row>
    <row r="121" customFormat="false" ht="15" hidden="false" customHeight="false" outlineLevel="0" collapsed="false">
      <c r="A121" s="3" t="s">
        <v>356</v>
      </c>
      <c r="B121" s="3" t="s">
        <v>368</v>
      </c>
      <c r="C121" s="3" t="s">
        <v>369</v>
      </c>
      <c r="D121" s="4" t="n">
        <v>105.92</v>
      </c>
      <c r="E121" s="3" t="s">
        <v>60</v>
      </c>
      <c r="F121" s="3" t="n">
        <v>57.72</v>
      </c>
      <c r="G121" s="3" t="s">
        <v>60</v>
      </c>
      <c r="H121" s="3" t="s">
        <v>60</v>
      </c>
      <c r="I121" s="3" t="n">
        <v>164567850</v>
      </c>
      <c r="J121" s="3" t="n">
        <v>6506700</v>
      </c>
      <c r="K121" s="3" t="s">
        <v>61</v>
      </c>
      <c r="L121" s="3" t="s">
        <v>62</v>
      </c>
      <c r="M121" s="3" t="s">
        <v>370</v>
      </c>
      <c r="N121" s="3" t="n">
        <v>0</v>
      </c>
      <c r="O121" s="3" t="s">
        <v>64</v>
      </c>
      <c r="P121" s="3" t="s">
        <v>65</v>
      </c>
    </row>
    <row r="122" customFormat="false" ht="15" hidden="false" customHeight="false" outlineLevel="0" collapsed="false">
      <c r="A122" s="3" t="s">
        <v>356</v>
      </c>
      <c r="B122" s="3" t="s">
        <v>83</v>
      </c>
      <c r="C122" s="3" t="s">
        <v>84</v>
      </c>
      <c r="D122" s="4" t="n">
        <v>2941.4</v>
      </c>
      <c r="E122" s="3" t="s">
        <v>60</v>
      </c>
      <c r="F122" s="3" t="n">
        <v>70.76</v>
      </c>
      <c r="G122" s="3" t="s">
        <v>60</v>
      </c>
      <c r="H122" s="3" t="s">
        <v>60</v>
      </c>
      <c r="I122" s="3" t="n">
        <v>3577000</v>
      </c>
      <c r="J122" s="3" t="n">
        <v>50000</v>
      </c>
      <c r="K122" s="3" t="s">
        <v>61</v>
      </c>
      <c r="L122" s="3" t="s">
        <v>62</v>
      </c>
      <c r="M122" s="3" t="s">
        <v>371</v>
      </c>
      <c r="N122" s="3" t="n">
        <v>2</v>
      </c>
      <c r="O122" s="3" t="s">
        <v>64</v>
      </c>
      <c r="P122" s="3" t="s">
        <v>65</v>
      </c>
    </row>
    <row r="123" customFormat="false" ht="15" hidden="false" customHeight="false" outlineLevel="0" collapsed="false">
      <c r="A123" s="3" t="s">
        <v>356</v>
      </c>
      <c r="B123" s="3" t="s">
        <v>372</v>
      </c>
      <c r="C123" s="3" t="s">
        <v>373</v>
      </c>
      <c r="D123" s="4" t="n">
        <v>663.85</v>
      </c>
      <c r="E123" s="3" t="s">
        <v>60</v>
      </c>
      <c r="F123" s="3" t="n">
        <v>50.33</v>
      </c>
      <c r="G123" s="3" t="s">
        <v>60</v>
      </c>
      <c r="H123" s="3" t="s">
        <v>60</v>
      </c>
      <c r="I123" s="3" t="n">
        <v>8646000</v>
      </c>
      <c r="J123" s="3" t="n">
        <v>163000</v>
      </c>
      <c r="K123" s="3" t="s">
        <v>61</v>
      </c>
      <c r="L123" s="3" t="s">
        <v>62</v>
      </c>
      <c r="M123" s="3" t="s">
        <v>374</v>
      </c>
      <c r="N123" s="3" t="n">
        <v>0</v>
      </c>
      <c r="O123" s="3" t="s">
        <v>64</v>
      </c>
      <c r="P123" s="3" t="s">
        <v>65</v>
      </c>
    </row>
    <row r="124" customFormat="false" ht="15" hidden="false" customHeight="false" outlineLevel="0" collapsed="false">
      <c r="A124" s="3" t="s">
        <v>375</v>
      </c>
      <c r="B124" s="3" t="s">
        <v>284</v>
      </c>
      <c r="C124" s="3" t="s">
        <v>285</v>
      </c>
      <c r="D124" s="4" t="n">
        <v>1880.6</v>
      </c>
      <c r="E124" s="3" t="s">
        <v>60</v>
      </c>
      <c r="F124" s="3" t="n">
        <v>45.02</v>
      </c>
      <c r="G124" s="3" t="s">
        <v>60</v>
      </c>
      <c r="H124" s="3" t="s">
        <v>60</v>
      </c>
      <c r="I124" s="3" t="n">
        <v>10815000</v>
      </c>
      <c r="J124" s="3" t="n">
        <v>144375</v>
      </c>
      <c r="K124" s="3" t="s">
        <v>61</v>
      </c>
      <c r="L124" s="3" t="s">
        <v>315</v>
      </c>
      <c r="M124" s="3" t="s">
        <v>376</v>
      </c>
      <c r="N124" s="3" t="n">
        <v>1</v>
      </c>
      <c r="O124" s="3" t="s">
        <v>317</v>
      </c>
      <c r="P124" s="3" t="s">
        <v>70</v>
      </c>
    </row>
    <row r="125" customFormat="false" ht="15" hidden="false" customHeight="false" outlineLevel="0" collapsed="false">
      <c r="A125" s="3" t="s">
        <v>375</v>
      </c>
      <c r="B125" s="3" t="s">
        <v>114</v>
      </c>
      <c r="C125" s="3" t="s">
        <v>115</v>
      </c>
      <c r="D125" s="4" t="n">
        <v>77.39</v>
      </c>
      <c r="E125" s="3" t="s">
        <v>60</v>
      </c>
      <c r="F125" s="3" t="n">
        <v>45.58</v>
      </c>
      <c r="G125" s="3" t="s">
        <v>60</v>
      </c>
      <c r="H125" s="3" t="s">
        <v>60</v>
      </c>
      <c r="I125" s="3" t="n">
        <v>294104250</v>
      </c>
      <c r="J125" s="3" t="n">
        <v>2207250</v>
      </c>
      <c r="K125" s="3" t="s">
        <v>61</v>
      </c>
      <c r="L125" s="3" t="s">
        <v>62</v>
      </c>
      <c r="M125" s="3" t="s">
        <v>377</v>
      </c>
      <c r="N125" s="3" t="n">
        <v>1</v>
      </c>
      <c r="O125" s="3" t="s">
        <v>64</v>
      </c>
      <c r="P125" s="3" t="s">
        <v>65</v>
      </c>
    </row>
    <row r="126" customFormat="false" ht="15" hidden="false" customHeight="false" outlineLevel="0" collapsed="false">
      <c r="A126" s="3" t="s">
        <v>378</v>
      </c>
      <c r="B126" s="3" t="s">
        <v>342</v>
      </c>
      <c r="C126" s="3" t="s">
        <v>343</v>
      </c>
      <c r="D126" s="4" t="n">
        <v>2906.4</v>
      </c>
      <c r="E126" s="3" t="s">
        <v>60</v>
      </c>
      <c r="F126" s="3" t="n">
        <v>64.74</v>
      </c>
      <c r="G126" s="3" t="s">
        <v>60</v>
      </c>
      <c r="H126" s="3" t="s">
        <v>60</v>
      </c>
      <c r="I126" s="3" t="n">
        <v>12974000</v>
      </c>
      <c r="J126" s="3" t="n">
        <v>128750</v>
      </c>
      <c r="K126" s="3" t="s">
        <v>61</v>
      </c>
      <c r="L126" s="3" t="s">
        <v>62</v>
      </c>
      <c r="M126" s="3" t="s">
        <v>379</v>
      </c>
      <c r="N126" s="3" t="n">
        <v>1</v>
      </c>
      <c r="O126" s="3" t="s">
        <v>64</v>
      </c>
      <c r="P126" s="3" t="s">
        <v>65</v>
      </c>
    </row>
    <row r="127" customFormat="false" ht="15" hidden="false" customHeight="false" outlineLevel="0" collapsed="false">
      <c r="A127" s="3" t="s">
        <v>378</v>
      </c>
      <c r="B127" s="3" t="s">
        <v>380</v>
      </c>
      <c r="C127" s="3" t="s">
        <v>381</v>
      </c>
      <c r="D127" s="4" t="n">
        <v>1222.5</v>
      </c>
      <c r="E127" s="3" t="s">
        <v>60</v>
      </c>
      <c r="F127" s="3" t="n">
        <v>50.79</v>
      </c>
      <c r="G127" s="3" t="s">
        <v>60</v>
      </c>
      <c r="H127" s="3" t="s">
        <v>60</v>
      </c>
      <c r="I127" s="3" t="n">
        <v>23027400</v>
      </c>
      <c r="J127" s="3" t="n">
        <v>413600</v>
      </c>
      <c r="K127" s="3" t="s">
        <v>61</v>
      </c>
      <c r="L127" s="3" t="s">
        <v>62</v>
      </c>
      <c r="M127" s="3" t="s">
        <v>382</v>
      </c>
      <c r="N127" s="3" t="n">
        <v>0</v>
      </c>
      <c r="O127" s="3" t="s">
        <v>64</v>
      </c>
      <c r="P127" s="3" t="s">
        <v>65</v>
      </c>
    </row>
    <row r="128" customFormat="false" ht="15" hidden="false" customHeight="false" outlineLevel="0" collapsed="false">
      <c r="A128" s="3" t="s">
        <v>378</v>
      </c>
      <c r="B128" s="3" t="s">
        <v>284</v>
      </c>
      <c r="C128" s="3" t="s">
        <v>285</v>
      </c>
      <c r="D128" s="4" t="n">
        <v>1895.6</v>
      </c>
      <c r="E128" s="3" t="s">
        <v>60</v>
      </c>
      <c r="F128" s="3" t="n">
        <v>45.42</v>
      </c>
      <c r="G128" s="3" t="s">
        <v>60</v>
      </c>
      <c r="H128" s="3" t="s">
        <v>60</v>
      </c>
      <c r="I128" s="3" t="n">
        <v>11332125</v>
      </c>
      <c r="J128" s="3" t="n">
        <v>517125</v>
      </c>
      <c r="K128" s="3" t="s">
        <v>61</v>
      </c>
      <c r="L128" s="3" t="s">
        <v>62</v>
      </c>
      <c r="M128" s="3" t="s">
        <v>383</v>
      </c>
      <c r="N128" s="3" t="n">
        <v>1</v>
      </c>
      <c r="O128" s="3" t="s">
        <v>324</v>
      </c>
      <c r="P128" s="3" t="s">
        <v>70</v>
      </c>
    </row>
    <row r="129" customFormat="false" ht="15" hidden="false" customHeight="false" outlineLevel="0" collapsed="false">
      <c r="A129" s="3" t="s">
        <v>378</v>
      </c>
      <c r="B129" s="3" t="s">
        <v>384</v>
      </c>
      <c r="C129" s="3" t="s">
        <v>385</v>
      </c>
      <c r="D129" s="4" t="n">
        <v>3084.2</v>
      </c>
      <c r="E129" s="3" t="s">
        <v>60</v>
      </c>
      <c r="F129" s="3" t="n">
        <v>45.27</v>
      </c>
      <c r="G129" s="3" t="s">
        <v>60</v>
      </c>
      <c r="H129" s="3" t="s">
        <v>60</v>
      </c>
      <c r="I129" s="3" t="n">
        <v>2556375</v>
      </c>
      <c r="J129" s="3" t="n">
        <v>24125</v>
      </c>
      <c r="K129" s="3" t="s">
        <v>61</v>
      </c>
      <c r="L129" s="3" t="s">
        <v>62</v>
      </c>
      <c r="M129" s="3" t="s">
        <v>386</v>
      </c>
      <c r="N129" s="3" t="n">
        <v>0</v>
      </c>
      <c r="O129" s="3" t="s">
        <v>64</v>
      </c>
      <c r="P129" s="3" t="s">
        <v>65</v>
      </c>
    </row>
    <row r="130" customFormat="false" ht="15" hidden="false" customHeight="false" outlineLevel="0" collapsed="false">
      <c r="A130" s="3" t="s">
        <v>387</v>
      </c>
      <c r="B130" s="3" t="s">
        <v>388</v>
      </c>
      <c r="C130" s="3" t="s">
        <v>389</v>
      </c>
      <c r="D130" s="4" t="n">
        <v>1815.7</v>
      </c>
      <c r="E130" s="3" t="s">
        <v>60</v>
      </c>
      <c r="F130" s="3" t="n">
        <v>58.72</v>
      </c>
      <c r="G130" s="3" t="s">
        <v>60</v>
      </c>
      <c r="H130" s="3" t="s">
        <v>60</v>
      </c>
      <c r="I130" s="3" t="n">
        <v>8460200</v>
      </c>
      <c r="J130" s="3" t="n">
        <v>232050</v>
      </c>
      <c r="K130" s="3" t="s">
        <v>61</v>
      </c>
      <c r="L130" s="3" t="s">
        <v>62</v>
      </c>
      <c r="M130" s="3" t="s">
        <v>390</v>
      </c>
      <c r="N130" s="3" t="n">
        <v>0</v>
      </c>
      <c r="O130" s="3" t="s">
        <v>64</v>
      </c>
      <c r="P130" s="3" t="s">
        <v>65</v>
      </c>
    </row>
    <row r="131" customFormat="false" ht="15" hidden="false" customHeight="false" outlineLevel="0" collapsed="false">
      <c r="A131" s="3" t="s">
        <v>391</v>
      </c>
      <c r="B131" s="3" t="s">
        <v>357</v>
      </c>
      <c r="C131" s="3" t="s">
        <v>358</v>
      </c>
      <c r="D131" s="4" t="n">
        <v>522.6</v>
      </c>
      <c r="E131" s="3" t="s">
        <v>60</v>
      </c>
      <c r="F131" s="3" t="n">
        <v>64.62</v>
      </c>
      <c r="G131" s="3" t="s">
        <v>60</v>
      </c>
      <c r="H131" s="3" t="s">
        <v>60</v>
      </c>
      <c r="I131" s="3" t="n">
        <v>32632500</v>
      </c>
      <c r="J131" s="3" t="n">
        <v>1130000</v>
      </c>
      <c r="K131" s="3" t="s">
        <v>61</v>
      </c>
      <c r="L131" s="3" t="s">
        <v>62</v>
      </c>
      <c r="M131" s="3" t="s">
        <v>392</v>
      </c>
      <c r="N131" s="3" t="n">
        <v>1</v>
      </c>
      <c r="O131" s="3" t="s">
        <v>64</v>
      </c>
      <c r="P131" s="3" t="s">
        <v>65</v>
      </c>
    </row>
    <row r="132" customFormat="false" ht="15" hidden="false" customHeight="false" outlineLevel="0" collapsed="false">
      <c r="A132" s="3" t="s">
        <v>393</v>
      </c>
      <c r="B132" s="3" t="s">
        <v>145</v>
      </c>
      <c r="C132" s="3" t="s">
        <v>146</v>
      </c>
      <c r="D132" s="4" t="n">
        <v>1433.9</v>
      </c>
      <c r="E132" s="3" t="s">
        <v>60</v>
      </c>
      <c r="F132" s="3" t="n">
        <v>74.98</v>
      </c>
      <c r="G132" s="3" t="s">
        <v>60</v>
      </c>
      <c r="H132" s="3" t="s">
        <v>60</v>
      </c>
      <c r="I132" s="3" t="n">
        <v>19882200</v>
      </c>
      <c r="J132" s="3" t="n">
        <v>546000</v>
      </c>
      <c r="K132" s="3" t="s">
        <v>61</v>
      </c>
      <c r="L132" s="3" t="s">
        <v>62</v>
      </c>
      <c r="M132" s="3" t="s">
        <v>394</v>
      </c>
      <c r="N132" s="3" t="n">
        <v>2</v>
      </c>
      <c r="O132" s="3" t="s">
        <v>64</v>
      </c>
      <c r="P132" s="3" t="s">
        <v>65</v>
      </c>
    </row>
    <row r="133" customFormat="false" ht="15" hidden="false" customHeight="false" outlineLevel="0" collapsed="false">
      <c r="A133" s="3" t="s">
        <v>395</v>
      </c>
      <c r="B133" s="3" t="s">
        <v>396</v>
      </c>
      <c r="C133" s="3" t="s">
        <v>397</v>
      </c>
      <c r="D133" s="4" t="n">
        <v>953.75</v>
      </c>
      <c r="E133" s="3" t="s">
        <v>60</v>
      </c>
      <c r="F133" s="3" t="n">
        <v>64.97</v>
      </c>
      <c r="G133" s="3" t="s">
        <v>60</v>
      </c>
      <c r="H133" s="3" t="s">
        <v>60</v>
      </c>
      <c r="I133" s="3" t="n">
        <v>15537000</v>
      </c>
      <c r="J133" s="3" t="n">
        <v>90000</v>
      </c>
      <c r="K133" s="3" t="s">
        <v>61</v>
      </c>
      <c r="L133" s="3" t="s">
        <v>62</v>
      </c>
      <c r="M133" s="3" t="s">
        <v>398</v>
      </c>
      <c r="N133" s="3" t="n">
        <v>0</v>
      </c>
      <c r="O133" s="3" t="s">
        <v>64</v>
      </c>
      <c r="P133" s="3" t="s">
        <v>65</v>
      </c>
    </row>
    <row r="134" customFormat="false" ht="15" hidden="false" customHeight="false" outlineLevel="0" collapsed="false">
      <c r="A134" s="3" t="s">
        <v>395</v>
      </c>
      <c r="B134" s="3" t="s">
        <v>399</v>
      </c>
      <c r="C134" s="3" t="s">
        <v>400</v>
      </c>
      <c r="D134" s="4" t="n">
        <v>787.55</v>
      </c>
      <c r="E134" s="3" t="s">
        <v>60</v>
      </c>
      <c r="F134" s="3" t="n">
        <v>58.38</v>
      </c>
      <c r="G134" s="3" t="s">
        <v>60</v>
      </c>
      <c r="H134" s="3" t="s">
        <v>60</v>
      </c>
      <c r="I134" s="3" t="n">
        <v>26238300</v>
      </c>
      <c r="J134" s="3" t="n">
        <v>125400</v>
      </c>
      <c r="K134" s="3" t="s">
        <v>61</v>
      </c>
      <c r="L134" s="3" t="s">
        <v>62</v>
      </c>
      <c r="M134" s="3" t="s">
        <v>401</v>
      </c>
      <c r="N134" s="3" t="n">
        <v>0</v>
      </c>
      <c r="O134" s="3" t="s">
        <v>64</v>
      </c>
      <c r="P134" s="3" t="s">
        <v>65</v>
      </c>
    </row>
    <row r="135" customFormat="false" ht="15" hidden="false" customHeight="false" outlineLevel="0" collapsed="false">
      <c r="A135" s="3" t="s">
        <v>395</v>
      </c>
      <c r="B135" s="3" t="s">
        <v>203</v>
      </c>
      <c r="C135" s="3" t="s">
        <v>204</v>
      </c>
      <c r="D135" s="4" t="n">
        <v>986.6</v>
      </c>
      <c r="E135" s="3" t="s">
        <v>60</v>
      </c>
      <c r="F135" s="3" t="n">
        <v>72.14</v>
      </c>
      <c r="G135" s="3" t="s">
        <v>60</v>
      </c>
      <c r="H135" s="3" t="s">
        <v>60</v>
      </c>
      <c r="I135" s="3" t="n">
        <v>16088800</v>
      </c>
      <c r="J135" s="3" t="n">
        <v>434350</v>
      </c>
      <c r="K135" s="3" t="s">
        <v>61</v>
      </c>
      <c r="L135" s="3" t="s">
        <v>62</v>
      </c>
      <c r="M135" s="3" t="s">
        <v>402</v>
      </c>
      <c r="N135" s="3" t="n">
        <v>1</v>
      </c>
      <c r="O135" s="3" t="s">
        <v>64</v>
      </c>
      <c r="P135" s="3" t="s">
        <v>65</v>
      </c>
    </row>
    <row r="136" customFormat="false" ht="15" hidden="false" customHeight="false" outlineLevel="0" collapsed="false">
      <c r="A136" s="3" t="s">
        <v>395</v>
      </c>
      <c r="B136" s="3" t="s">
        <v>403</v>
      </c>
      <c r="C136" s="3" t="s">
        <v>404</v>
      </c>
      <c r="D136" s="4" t="n">
        <v>555.8</v>
      </c>
      <c r="E136" s="3" t="s">
        <v>60</v>
      </c>
      <c r="F136" s="3" t="n">
        <v>74.13</v>
      </c>
      <c r="G136" s="3" t="s">
        <v>60</v>
      </c>
      <c r="H136" s="3" t="s">
        <v>60</v>
      </c>
      <c r="I136" s="3" t="n">
        <v>33089000</v>
      </c>
      <c r="J136" s="3" t="n">
        <v>444000</v>
      </c>
      <c r="K136" s="3" t="s">
        <v>61</v>
      </c>
      <c r="L136" s="3" t="s">
        <v>62</v>
      </c>
      <c r="M136" s="3" t="s">
        <v>405</v>
      </c>
      <c r="N136" s="3" t="n">
        <v>0</v>
      </c>
      <c r="O136" s="3" t="s">
        <v>64</v>
      </c>
      <c r="P136" s="3" t="s">
        <v>65</v>
      </c>
    </row>
    <row r="137" customFormat="false" ht="15" hidden="false" customHeight="false" outlineLevel="0" collapsed="false">
      <c r="A137" s="3" t="s">
        <v>395</v>
      </c>
      <c r="B137" s="3" t="s">
        <v>406</v>
      </c>
      <c r="C137" s="3" t="s">
        <v>407</v>
      </c>
      <c r="D137" s="4" t="n">
        <v>136.92</v>
      </c>
      <c r="E137" s="3" t="s">
        <v>60</v>
      </c>
      <c r="F137" s="3" t="n">
        <v>45.81</v>
      </c>
      <c r="G137" s="3" t="s">
        <v>60</v>
      </c>
      <c r="H137" s="3" t="s">
        <v>60</v>
      </c>
      <c r="I137" s="3" t="n">
        <v>150996900</v>
      </c>
      <c r="J137" s="3" t="n">
        <v>13329200</v>
      </c>
      <c r="K137" s="3" t="s">
        <v>61</v>
      </c>
      <c r="L137" s="3" t="s">
        <v>62</v>
      </c>
      <c r="M137" s="3" t="s">
        <v>408</v>
      </c>
      <c r="N137" s="3" t="n">
        <v>0</v>
      </c>
      <c r="O137" s="3" t="s">
        <v>64</v>
      </c>
      <c r="P137" s="3" t="s">
        <v>65</v>
      </c>
    </row>
    <row r="138" customFormat="false" ht="15" hidden="false" customHeight="false" outlineLevel="0" collapsed="false">
      <c r="A138" s="3" t="s">
        <v>395</v>
      </c>
      <c r="B138" s="3" t="s">
        <v>156</v>
      </c>
      <c r="C138" s="3" t="s">
        <v>157</v>
      </c>
      <c r="D138" s="4" t="n">
        <v>1320.1</v>
      </c>
      <c r="E138" s="3" t="s">
        <v>60</v>
      </c>
      <c r="F138" s="3" t="n">
        <v>69.61</v>
      </c>
      <c r="G138" s="3" t="s">
        <v>60</v>
      </c>
      <c r="H138" s="3" t="s">
        <v>60</v>
      </c>
      <c r="I138" s="3" t="n">
        <v>4623850</v>
      </c>
      <c r="J138" s="3" t="n">
        <v>484000</v>
      </c>
      <c r="K138" s="3" t="s">
        <v>61</v>
      </c>
      <c r="L138" s="3" t="s">
        <v>62</v>
      </c>
      <c r="M138" s="3" t="s">
        <v>409</v>
      </c>
      <c r="N138" s="3" t="n">
        <v>1</v>
      </c>
      <c r="O138" s="3" t="s">
        <v>64</v>
      </c>
      <c r="P138" s="3" t="s">
        <v>65</v>
      </c>
    </row>
    <row r="139" customFormat="false" ht="15" hidden="false" customHeight="false" outlineLevel="0" collapsed="false">
      <c r="A139" s="3" t="s">
        <v>410</v>
      </c>
      <c r="B139" s="3" t="s">
        <v>175</v>
      </c>
      <c r="C139" s="3" t="s">
        <v>176</v>
      </c>
      <c r="D139" s="4" t="n">
        <v>1160.6</v>
      </c>
      <c r="E139" s="3" t="s">
        <v>60</v>
      </c>
      <c r="F139" s="3" t="n">
        <v>51.57</v>
      </c>
      <c r="G139" s="3" t="s">
        <v>60</v>
      </c>
      <c r="H139" s="3" t="s">
        <v>60</v>
      </c>
      <c r="I139" s="3" t="n">
        <v>45108225</v>
      </c>
      <c r="J139" s="3" t="n">
        <v>1110375</v>
      </c>
      <c r="K139" s="3" t="s">
        <v>61</v>
      </c>
      <c r="L139" s="3" t="s">
        <v>62</v>
      </c>
      <c r="M139" s="3" t="s">
        <v>411</v>
      </c>
      <c r="N139" s="3" t="n">
        <v>1</v>
      </c>
      <c r="O139" s="3" t="s">
        <v>64</v>
      </c>
      <c r="P139" s="3" t="s">
        <v>65</v>
      </c>
    </row>
    <row r="140" customFormat="false" ht="15" hidden="false" customHeight="false" outlineLevel="0" collapsed="false">
      <c r="A140" s="3" t="s">
        <v>412</v>
      </c>
      <c r="B140" s="3" t="s">
        <v>309</v>
      </c>
      <c r="C140" s="3" t="s">
        <v>310</v>
      </c>
      <c r="D140" s="4" t="n">
        <v>4479.3</v>
      </c>
      <c r="E140" s="3" t="s">
        <v>60</v>
      </c>
      <c r="F140" s="3" t="n">
        <v>61.18</v>
      </c>
      <c r="G140" s="3" t="s">
        <v>60</v>
      </c>
      <c r="H140" s="3" t="s">
        <v>60</v>
      </c>
      <c r="I140" s="3" t="n">
        <v>3126600</v>
      </c>
      <c r="J140" s="3" t="n">
        <v>29400</v>
      </c>
      <c r="K140" s="3" t="s">
        <v>61</v>
      </c>
      <c r="L140" s="3" t="s">
        <v>62</v>
      </c>
      <c r="M140" s="3" t="s">
        <v>413</v>
      </c>
      <c r="N140" s="3" t="n">
        <v>1</v>
      </c>
      <c r="O140" s="3" t="s">
        <v>64</v>
      </c>
      <c r="P140" s="3" t="s">
        <v>65</v>
      </c>
    </row>
    <row r="141" customFormat="false" ht="15" hidden="false" customHeight="false" outlineLevel="0" collapsed="false">
      <c r="A141" s="3" t="s">
        <v>412</v>
      </c>
      <c r="B141" s="3" t="s">
        <v>414</v>
      </c>
      <c r="C141" s="3" t="s">
        <v>415</v>
      </c>
      <c r="D141" s="4" t="n">
        <v>7462.5</v>
      </c>
      <c r="E141" s="3" t="s">
        <v>60</v>
      </c>
      <c r="F141" s="3" t="n">
        <v>46.24</v>
      </c>
      <c r="G141" s="3" t="s">
        <v>60</v>
      </c>
      <c r="H141" s="3" t="s">
        <v>60</v>
      </c>
      <c r="I141" s="3" t="n">
        <v>360825</v>
      </c>
      <c r="J141" s="3" t="n">
        <v>27825</v>
      </c>
      <c r="K141" s="3" t="s">
        <v>61</v>
      </c>
      <c r="L141" s="3" t="s">
        <v>62</v>
      </c>
      <c r="M141" s="3" t="s">
        <v>416</v>
      </c>
      <c r="N141" s="3" t="n">
        <v>0</v>
      </c>
      <c r="O141" s="3" t="s">
        <v>64</v>
      </c>
      <c r="P141" s="3" t="s">
        <v>65</v>
      </c>
    </row>
    <row r="142" customFormat="false" ht="15" hidden="false" customHeight="false" outlineLevel="0" collapsed="false">
      <c r="A142" s="3" t="s">
        <v>417</v>
      </c>
      <c r="B142" s="3" t="s">
        <v>175</v>
      </c>
      <c r="C142" s="3" t="s">
        <v>176</v>
      </c>
      <c r="D142" s="4" t="n">
        <v>1168.4</v>
      </c>
      <c r="E142" s="3" t="s">
        <v>60</v>
      </c>
      <c r="F142" s="3" t="n">
        <v>53.14</v>
      </c>
      <c r="G142" s="3" t="s">
        <v>60</v>
      </c>
      <c r="H142" s="3" t="s">
        <v>60</v>
      </c>
      <c r="I142" s="3" t="n">
        <v>46927350</v>
      </c>
      <c r="J142" s="3" t="n">
        <v>1204200</v>
      </c>
      <c r="K142" s="3" t="s">
        <v>61</v>
      </c>
      <c r="L142" s="3" t="s">
        <v>62</v>
      </c>
      <c r="M142" s="3" t="s">
        <v>418</v>
      </c>
      <c r="N142" s="3" t="n">
        <v>2</v>
      </c>
      <c r="O142" s="3" t="s">
        <v>64</v>
      </c>
      <c r="P142" s="3" t="s">
        <v>65</v>
      </c>
    </row>
    <row r="143" customFormat="false" ht="15" hidden="false" customHeight="false" outlineLevel="0" collapsed="false">
      <c r="A143" s="3" t="s">
        <v>417</v>
      </c>
      <c r="B143" s="3" t="s">
        <v>114</v>
      </c>
      <c r="C143" s="3" t="s">
        <v>115</v>
      </c>
      <c r="D143" s="4" t="n">
        <v>75.39</v>
      </c>
      <c r="E143" s="3" t="s">
        <v>60</v>
      </c>
      <c r="F143" s="3" t="n">
        <v>46.83</v>
      </c>
      <c r="G143" s="3" t="s">
        <v>60</v>
      </c>
      <c r="H143" s="3" t="s">
        <v>60</v>
      </c>
      <c r="I143" s="3" t="n">
        <v>328259250</v>
      </c>
      <c r="J143" s="3" t="n">
        <v>3395250</v>
      </c>
      <c r="K143" s="3" t="s">
        <v>61</v>
      </c>
      <c r="L143" s="3" t="s">
        <v>62</v>
      </c>
      <c r="M143" s="3" t="s">
        <v>419</v>
      </c>
      <c r="N143" s="3" t="n">
        <v>2</v>
      </c>
      <c r="O143" s="3" t="s">
        <v>64</v>
      </c>
      <c r="P143" s="3" t="s">
        <v>65</v>
      </c>
    </row>
    <row r="144" customFormat="false" ht="15" hidden="false" customHeight="false" outlineLevel="0" collapsed="false">
      <c r="A144" s="3" t="s">
        <v>420</v>
      </c>
      <c r="B144" s="3" t="s">
        <v>368</v>
      </c>
      <c r="C144" s="3" t="s">
        <v>369</v>
      </c>
      <c r="D144" s="4" t="n">
        <v>119.26</v>
      </c>
      <c r="E144" s="3" t="s">
        <v>60</v>
      </c>
      <c r="F144" s="3" t="n">
        <v>47.01</v>
      </c>
      <c r="G144" s="3" t="s">
        <v>60</v>
      </c>
      <c r="H144" s="3" t="s">
        <v>60</v>
      </c>
      <c r="I144" s="3" t="n">
        <v>177612000</v>
      </c>
      <c r="J144" s="3" t="n">
        <v>4587900</v>
      </c>
      <c r="K144" s="3" t="s">
        <v>61</v>
      </c>
      <c r="L144" s="3" t="s">
        <v>62</v>
      </c>
      <c r="M144" s="3" t="s">
        <v>421</v>
      </c>
      <c r="N144" s="3" t="n">
        <v>1</v>
      </c>
      <c r="O144" s="3" t="s">
        <v>64</v>
      </c>
      <c r="P144" s="3" t="s">
        <v>65</v>
      </c>
    </row>
    <row r="145" customFormat="false" ht="15" hidden="false" customHeight="false" outlineLevel="0" collapsed="false">
      <c r="A145" s="3" t="s">
        <v>420</v>
      </c>
      <c r="B145" s="3" t="s">
        <v>422</v>
      </c>
      <c r="C145" s="3" t="s">
        <v>423</v>
      </c>
      <c r="D145" s="4" t="n">
        <v>26545</v>
      </c>
      <c r="E145" s="3" t="s">
        <v>60</v>
      </c>
      <c r="F145" s="3" t="n">
        <v>71.2</v>
      </c>
      <c r="G145" s="3" t="s">
        <v>60</v>
      </c>
      <c r="H145" s="3" t="s">
        <v>60</v>
      </c>
      <c r="I145" s="3" t="n">
        <v>283450</v>
      </c>
      <c r="J145" s="3" t="n">
        <v>16925</v>
      </c>
      <c r="K145" s="3" t="s">
        <v>61</v>
      </c>
      <c r="L145" s="3" t="s">
        <v>62</v>
      </c>
      <c r="M145" s="3" t="s">
        <v>424</v>
      </c>
      <c r="N145" s="3" t="n">
        <v>0</v>
      </c>
      <c r="O145" s="3" t="s">
        <v>64</v>
      </c>
      <c r="P145" s="3" t="s">
        <v>65</v>
      </c>
    </row>
    <row r="146" customFormat="false" ht="15" hidden="false" customHeight="false" outlineLevel="0" collapsed="false">
      <c r="A146" s="3" t="s">
        <v>425</v>
      </c>
      <c r="B146" s="3" t="s">
        <v>426</v>
      </c>
      <c r="C146" s="3" t="s">
        <v>427</v>
      </c>
      <c r="D146" s="4" t="n">
        <v>2217.9</v>
      </c>
      <c r="E146" s="3" t="s">
        <v>60</v>
      </c>
      <c r="F146" s="3" t="n">
        <v>56.1</v>
      </c>
      <c r="G146" s="3" t="s">
        <v>60</v>
      </c>
      <c r="H146" s="3" t="s">
        <v>60</v>
      </c>
      <c r="I146" s="3" t="n">
        <v>20195004</v>
      </c>
      <c r="J146" s="3" t="n">
        <v>492237</v>
      </c>
      <c r="K146" s="3" t="s">
        <v>61</v>
      </c>
      <c r="L146" s="3" t="s">
        <v>62</v>
      </c>
      <c r="M146" s="3" t="s">
        <v>428</v>
      </c>
      <c r="N146" s="3" t="n">
        <v>0</v>
      </c>
      <c r="O146" s="3" t="s">
        <v>64</v>
      </c>
      <c r="P146" s="3" t="s">
        <v>65</v>
      </c>
    </row>
    <row r="147" customFormat="false" ht="15" hidden="false" customHeight="false" outlineLevel="0" collapsed="false">
      <c r="A147" s="3" t="s">
        <v>425</v>
      </c>
      <c r="B147" s="3" t="s">
        <v>352</v>
      </c>
      <c r="C147" s="3" t="s">
        <v>353</v>
      </c>
      <c r="D147" s="4" t="n">
        <v>6452</v>
      </c>
      <c r="E147" s="3" t="s">
        <v>60</v>
      </c>
      <c r="F147" s="3" t="n">
        <v>50.78</v>
      </c>
      <c r="G147" s="3" t="s">
        <v>60</v>
      </c>
      <c r="H147" s="3" t="s">
        <v>60</v>
      </c>
      <c r="I147" s="3" t="n">
        <v>1988300</v>
      </c>
      <c r="J147" s="3" t="n">
        <v>7000</v>
      </c>
      <c r="K147" s="3" t="s">
        <v>61</v>
      </c>
      <c r="L147" s="3" t="s">
        <v>62</v>
      </c>
      <c r="M147" s="3" t="s">
        <v>429</v>
      </c>
      <c r="N147" s="3" t="n">
        <v>1</v>
      </c>
      <c r="O147" s="3" t="s">
        <v>64</v>
      </c>
      <c r="P147" s="3" t="s">
        <v>65</v>
      </c>
    </row>
    <row r="148" customFormat="false" ht="15" hidden="false" customHeight="false" outlineLevel="0" collapsed="false">
      <c r="A148" s="3" t="s">
        <v>430</v>
      </c>
      <c r="B148" s="3" t="s">
        <v>195</v>
      </c>
      <c r="C148" s="3" t="s">
        <v>196</v>
      </c>
      <c r="D148" s="4" t="n">
        <v>260.85</v>
      </c>
      <c r="E148" s="3" t="s">
        <v>60</v>
      </c>
      <c r="F148" s="3" t="n">
        <v>68.47</v>
      </c>
      <c r="G148" s="3" t="s">
        <v>60</v>
      </c>
      <c r="H148" s="3" t="s">
        <v>60</v>
      </c>
      <c r="I148" s="3" t="n">
        <v>59550000</v>
      </c>
      <c r="J148" s="3" t="n">
        <v>305000</v>
      </c>
      <c r="K148" s="3" t="s">
        <v>61</v>
      </c>
      <c r="L148" s="3" t="s">
        <v>62</v>
      </c>
      <c r="M148" s="3" t="s">
        <v>431</v>
      </c>
      <c r="N148" s="3" t="n">
        <v>1</v>
      </c>
      <c r="O148" s="3" t="s">
        <v>64</v>
      </c>
      <c r="P148" s="3" t="s">
        <v>65</v>
      </c>
    </row>
    <row r="149" customFormat="false" ht="15" hidden="false" customHeight="false" outlineLevel="0" collapsed="false">
      <c r="A149" s="3" t="s">
        <v>432</v>
      </c>
      <c r="B149" s="3" t="s">
        <v>396</v>
      </c>
      <c r="C149" s="3" t="s">
        <v>397</v>
      </c>
      <c r="D149" s="4" t="n">
        <v>993.7</v>
      </c>
      <c r="E149" s="3" t="s">
        <v>60</v>
      </c>
      <c r="F149" s="3" t="n">
        <v>55.01</v>
      </c>
      <c r="G149" s="3" t="s">
        <v>60</v>
      </c>
      <c r="H149" s="3" t="s">
        <v>60</v>
      </c>
      <c r="I149" s="3" t="n">
        <v>18109000</v>
      </c>
      <c r="J149" s="3" t="n">
        <v>2484000</v>
      </c>
      <c r="K149" s="3" t="s">
        <v>61</v>
      </c>
      <c r="L149" s="3" t="s">
        <v>62</v>
      </c>
      <c r="M149" s="3" t="s">
        <v>433</v>
      </c>
      <c r="N149" s="3" t="n">
        <v>1</v>
      </c>
      <c r="O149" s="3" t="s">
        <v>64</v>
      </c>
      <c r="P149" s="3" t="s">
        <v>65</v>
      </c>
    </row>
    <row r="150" customFormat="false" ht="15" hidden="false" customHeight="false" outlineLevel="0" collapsed="false">
      <c r="A150" s="3" t="s">
        <v>432</v>
      </c>
      <c r="B150" s="3" t="s">
        <v>364</v>
      </c>
      <c r="C150" s="3" t="s">
        <v>365</v>
      </c>
      <c r="D150" s="4" t="n">
        <v>642.85</v>
      </c>
      <c r="E150" s="3" t="s">
        <v>60</v>
      </c>
      <c r="F150" s="3" t="n">
        <v>53.34</v>
      </c>
      <c r="G150" s="3" t="s">
        <v>60</v>
      </c>
      <c r="H150" s="3" t="s">
        <v>60</v>
      </c>
      <c r="I150" s="3" t="n">
        <v>14731550</v>
      </c>
      <c r="J150" s="3" t="n">
        <v>179450</v>
      </c>
      <c r="K150" s="3" t="s">
        <v>61</v>
      </c>
      <c r="L150" s="3" t="s">
        <v>62</v>
      </c>
      <c r="M150" s="3" t="s">
        <v>434</v>
      </c>
      <c r="N150" s="3" t="n">
        <v>1</v>
      </c>
      <c r="O150" s="3" t="s">
        <v>64</v>
      </c>
      <c r="P150" s="3" t="s">
        <v>65</v>
      </c>
    </row>
    <row r="151" customFormat="false" ht="15" hidden="false" customHeight="false" outlineLevel="0" collapsed="false">
      <c r="A151" s="3" t="s">
        <v>432</v>
      </c>
      <c r="B151" s="3" t="s">
        <v>120</v>
      </c>
      <c r="C151" s="3" t="s">
        <v>121</v>
      </c>
      <c r="D151" s="4" t="n">
        <v>343.85</v>
      </c>
      <c r="E151" s="3" t="s">
        <v>60</v>
      </c>
      <c r="F151" s="3" t="n">
        <v>58.79</v>
      </c>
      <c r="G151" s="3" t="s">
        <v>60</v>
      </c>
      <c r="H151" s="3" t="s">
        <v>60</v>
      </c>
      <c r="I151" s="3" t="n">
        <v>74984000</v>
      </c>
      <c r="J151" s="3" t="n">
        <v>76700</v>
      </c>
      <c r="K151" s="3" t="s">
        <v>61</v>
      </c>
      <c r="L151" s="3" t="s">
        <v>62</v>
      </c>
      <c r="M151" s="3" t="s">
        <v>435</v>
      </c>
      <c r="N151" s="3" t="n">
        <v>1</v>
      </c>
      <c r="O151" s="3" t="s">
        <v>64</v>
      </c>
      <c r="P151" s="3" t="s">
        <v>65</v>
      </c>
    </row>
    <row r="152" customFormat="false" ht="15" hidden="false" customHeight="false" outlineLevel="0" collapsed="false">
      <c r="A152" s="3" t="s">
        <v>436</v>
      </c>
      <c r="B152" s="3" t="s">
        <v>437</v>
      </c>
      <c r="C152" s="3" t="s">
        <v>438</v>
      </c>
      <c r="D152" s="4" t="n">
        <v>536.1</v>
      </c>
      <c r="E152" s="3" t="s">
        <v>60</v>
      </c>
      <c r="F152" s="3" t="n">
        <v>69.43</v>
      </c>
      <c r="G152" s="3" t="s">
        <v>60</v>
      </c>
      <c r="H152" s="3" t="s">
        <v>60</v>
      </c>
      <c r="I152" s="3" t="n">
        <v>48365100</v>
      </c>
      <c r="J152" s="3" t="n">
        <v>613200</v>
      </c>
      <c r="K152" s="3" t="s">
        <v>61</v>
      </c>
      <c r="L152" s="3" t="s">
        <v>62</v>
      </c>
      <c r="M152" s="3" t="s">
        <v>439</v>
      </c>
      <c r="N152" s="3" t="n">
        <v>0</v>
      </c>
      <c r="O152" s="3" t="s">
        <v>64</v>
      </c>
      <c r="P152" s="3" t="s">
        <v>65</v>
      </c>
    </row>
    <row r="153" customFormat="false" ht="15" hidden="false" customHeight="false" outlineLevel="0" collapsed="false">
      <c r="A153" s="3" t="s">
        <v>436</v>
      </c>
      <c r="B153" s="3" t="s">
        <v>368</v>
      </c>
      <c r="C153" s="3" t="s">
        <v>369</v>
      </c>
      <c r="D153" s="4" t="n">
        <v>119.8</v>
      </c>
      <c r="E153" s="3" t="s">
        <v>60</v>
      </c>
      <c r="F153" s="3" t="n">
        <v>46.52</v>
      </c>
      <c r="G153" s="3" t="s">
        <v>60</v>
      </c>
      <c r="H153" s="3" t="s">
        <v>60</v>
      </c>
      <c r="I153" s="3" t="n">
        <v>180330300</v>
      </c>
      <c r="J153" s="3" t="n">
        <v>9391050</v>
      </c>
      <c r="K153" s="3" t="s">
        <v>61</v>
      </c>
      <c r="L153" s="3" t="s">
        <v>62</v>
      </c>
      <c r="M153" s="3" t="s">
        <v>440</v>
      </c>
      <c r="N153" s="3" t="n">
        <v>2</v>
      </c>
      <c r="O153" s="3" t="s">
        <v>64</v>
      </c>
      <c r="P153" s="3" t="s">
        <v>65</v>
      </c>
    </row>
    <row r="154" customFormat="false" ht="15" hidden="false" customHeight="false" outlineLevel="0" collapsed="false">
      <c r="A154" s="3" t="s">
        <v>436</v>
      </c>
      <c r="B154" s="3" t="s">
        <v>441</v>
      </c>
      <c r="C154" s="3" t="s">
        <v>442</v>
      </c>
      <c r="D154" s="4" t="n">
        <v>900.15</v>
      </c>
      <c r="E154" s="3" t="s">
        <v>60</v>
      </c>
      <c r="F154" s="3" t="n">
        <v>47.23</v>
      </c>
      <c r="G154" s="3" t="s">
        <v>60</v>
      </c>
      <c r="H154" s="3" t="s">
        <v>60</v>
      </c>
      <c r="I154" s="3" t="n">
        <v>15501850</v>
      </c>
      <c r="J154" s="3" t="n">
        <v>357500</v>
      </c>
      <c r="K154" s="3" t="s">
        <v>61</v>
      </c>
      <c r="L154" s="3" t="s">
        <v>62</v>
      </c>
      <c r="M154" s="3" t="s">
        <v>443</v>
      </c>
      <c r="N154" s="3" t="n">
        <v>0</v>
      </c>
      <c r="O154" s="3" t="s">
        <v>64</v>
      </c>
      <c r="P154" s="3" t="s">
        <v>65</v>
      </c>
    </row>
    <row r="155" customFormat="false" ht="15" hidden="false" customHeight="false" outlineLevel="0" collapsed="false">
      <c r="A155" s="3" t="s">
        <v>444</v>
      </c>
      <c r="B155" s="3" t="s">
        <v>319</v>
      </c>
      <c r="C155" s="3" t="s">
        <v>320</v>
      </c>
      <c r="D155" s="4" t="n">
        <v>1735.6</v>
      </c>
      <c r="E155" s="3" t="s">
        <v>60</v>
      </c>
      <c r="F155" s="3" t="n">
        <v>72.4</v>
      </c>
      <c r="G155" s="3" t="s">
        <v>60</v>
      </c>
      <c r="H155" s="3" t="s">
        <v>60</v>
      </c>
      <c r="I155" s="3" t="n">
        <v>13332500</v>
      </c>
      <c r="J155" s="3" t="n">
        <v>480000</v>
      </c>
      <c r="K155" s="3" t="s">
        <v>61</v>
      </c>
      <c r="L155" s="3" t="s">
        <v>62</v>
      </c>
      <c r="M155" s="3" t="s">
        <v>445</v>
      </c>
      <c r="N155" s="3" t="n">
        <v>1</v>
      </c>
      <c r="O155" s="3" t="s">
        <v>64</v>
      </c>
      <c r="P155" s="3" t="s">
        <v>65</v>
      </c>
    </row>
    <row r="156" customFormat="false" ht="15" hidden="false" customHeight="false" outlineLevel="0" collapsed="false">
      <c r="A156" s="3" t="s">
        <v>444</v>
      </c>
      <c r="B156" s="3" t="s">
        <v>257</v>
      </c>
      <c r="C156" s="3" t="s">
        <v>258</v>
      </c>
      <c r="D156" s="4" t="n">
        <v>170.71</v>
      </c>
      <c r="E156" s="3" t="s">
        <v>60</v>
      </c>
      <c r="F156" s="3" t="n">
        <v>52.12</v>
      </c>
      <c r="G156" s="3" t="s">
        <v>60</v>
      </c>
      <c r="H156" s="3" t="s">
        <v>60</v>
      </c>
      <c r="I156" s="3" t="n">
        <v>92228850</v>
      </c>
      <c r="J156" s="3" t="n">
        <v>3931200</v>
      </c>
      <c r="K156" s="3" t="s">
        <v>61</v>
      </c>
      <c r="L156" s="3" t="s">
        <v>62</v>
      </c>
      <c r="M156" s="3" t="s">
        <v>446</v>
      </c>
      <c r="N156" s="3" t="n">
        <v>1</v>
      </c>
      <c r="O156" s="3" t="s">
        <v>64</v>
      </c>
      <c r="P156" s="3" t="s">
        <v>65</v>
      </c>
    </row>
    <row r="157" customFormat="false" ht="15" hidden="false" customHeight="false" outlineLevel="0" collapsed="false">
      <c r="A157" s="3" t="s">
        <v>444</v>
      </c>
      <c r="B157" s="3" t="s">
        <v>260</v>
      </c>
      <c r="C157" s="3" t="s">
        <v>261</v>
      </c>
      <c r="D157" s="4" t="n">
        <v>104.34</v>
      </c>
      <c r="E157" s="3" t="s">
        <v>60</v>
      </c>
      <c r="F157" s="3" t="n">
        <v>52.14</v>
      </c>
      <c r="G157" s="3" t="s">
        <v>60</v>
      </c>
      <c r="H157" s="3" t="s">
        <v>60</v>
      </c>
      <c r="I157" s="3" t="n">
        <v>170727075</v>
      </c>
      <c r="J157" s="3" t="n">
        <v>111600</v>
      </c>
      <c r="K157" s="3" t="s">
        <v>61</v>
      </c>
      <c r="L157" s="3" t="s">
        <v>62</v>
      </c>
      <c r="M157" s="3" t="s">
        <v>447</v>
      </c>
      <c r="N157" s="3" t="n">
        <v>1</v>
      </c>
      <c r="O157" s="3" t="s">
        <v>64</v>
      </c>
      <c r="P157" s="3" t="s">
        <v>65</v>
      </c>
    </row>
    <row r="158" customFormat="false" ht="15" hidden="false" customHeight="false" outlineLevel="0" collapsed="false">
      <c r="A158" s="3" t="s">
        <v>444</v>
      </c>
      <c r="B158" s="3" t="s">
        <v>171</v>
      </c>
      <c r="C158" s="3" t="s">
        <v>172</v>
      </c>
      <c r="D158" s="4" t="n">
        <v>852.1</v>
      </c>
      <c r="E158" s="3" t="s">
        <v>60</v>
      </c>
      <c r="F158" s="3" t="n">
        <v>51.88</v>
      </c>
      <c r="G158" s="3" t="s">
        <v>60</v>
      </c>
      <c r="H158" s="3" t="s">
        <v>60</v>
      </c>
      <c r="I158" s="3" t="n">
        <v>77721700</v>
      </c>
      <c r="J158" s="3" t="n">
        <v>1071700</v>
      </c>
      <c r="K158" s="3" t="s">
        <v>61</v>
      </c>
      <c r="L158" s="3" t="s">
        <v>62</v>
      </c>
      <c r="M158" s="3" t="s">
        <v>448</v>
      </c>
      <c r="N158" s="3" t="n">
        <v>2</v>
      </c>
      <c r="O158" s="3" t="s">
        <v>64</v>
      </c>
      <c r="P158" s="3" t="s">
        <v>65</v>
      </c>
    </row>
    <row r="159" customFormat="false" ht="15" hidden="false" customHeight="false" outlineLevel="0" collapsed="false">
      <c r="A159" s="3" t="s">
        <v>444</v>
      </c>
      <c r="B159" s="3" t="s">
        <v>136</v>
      </c>
      <c r="C159" s="3" t="s">
        <v>137</v>
      </c>
      <c r="D159" s="4" t="n">
        <v>163.67</v>
      </c>
      <c r="E159" s="3" t="s">
        <v>60</v>
      </c>
      <c r="F159" s="3" t="n">
        <v>51.75</v>
      </c>
      <c r="G159" s="3" t="s">
        <v>60</v>
      </c>
      <c r="H159" s="3" t="s">
        <v>60</v>
      </c>
      <c r="I159" s="3" t="n">
        <v>85843875</v>
      </c>
      <c r="J159" s="3" t="n">
        <v>1189500</v>
      </c>
      <c r="K159" s="3" t="s">
        <v>61</v>
      </c>
      <c r="L159" s="3" t="s">
        <v>62</v>
      </c>
      <c r="M159" s="3" t="s">
        <v>449</v>
      </c>
      <c r="N159" s="3" t="n">
        <v>4</v>
      </c>
      <c r="O159" s="3" t="s">
        <v>64</v>
      </c>
      <c r="P159" s="3" t="s">
        <v>65</v>
      </c>
    </row>
    <row r="160" customFormat="false" ht="15" hidden="false" customHeight="false" outlineLevel="0" collapsed="false">
      <c r="A160" s="3" t="s">
        <v>444</v>
      </c>
      <c r="B160" s="3" t="s">
        <v>152</v>
      </c>
      <c r="C160" s="3" t="s">
        <v>153</v>
      </c>
      <c r="D160" s="4" t="n">
        <v>1091.1</v>
      </c>
      <c r="E160" s="3" t="s">
        <v>60</v>
      </c>
      <c r="F160" s="3" t="n">
        <v>66.44</v>
      </c>
      <c r="G160" s="3" t="s">
        <v>60</v>
      </c>
      <c r="H160" s="3" t="s">
        <v>60</v>
      </c>
      <c r="I160" s="3" t="n">
        <v>12210750</v>
      </c>
      <c r="J160" s="3" t="n">
        <v>265500</v>
      </c>
      <c r="K160" s="3" t="s">
        <v>61</v>
      </c>
      <c r="L160" s="3" t="s">
        <v>62</v>
      </c>
      <c r="M160" s="3" t="s">
        <v>450</v>
      </c>
      <c r="N160" s="3" t="n">
        <v>1</v>
      </c>
      <c r="O160" s="3" t="s">
        <v>64</v>
      </c>
      <c r="P160" s="3" t="s">
        <v>65</v>
      </c>
    </row>
    <row r="161" customFormat="false" ht="15" hidden="false" customHeight="false" outlineLevel="0" collapsed="false">
      <c r="A161" s="3" t="s">
        <v>444</v>
      </c>
      <c r="B161" s="3" t="s">
        <v>139</v>
      </c>
      <c r="C161" s="3" t="s">
        <v>140</v>
      </c>
      <c r="D161" s="4" t="n">
        <v>2178.8</v>
      </c>
      <c r="E161" s="3" t="s">
        <v>60</v>
      </c>
      <c r="F161" s="3" t="n">
        <v>75.03</v>
      </c>
      <c r="G161" s="3" t="s">
        <v>60</v>
      </c>
      <c r="H161" s="3" t="s">
        <v>60</v>
      </c>
      <c r="I161" s="3" t="n">
        <v>2243700</v>
      </c>
      <c r="J161" s="3" t="n">
        <v>18000</v>
      </c>
      <c r="K161" s="3" t="s">
        <v>61</v>
      </c>
      <c r="L161" s="3" t="s">
        <v>62</v>
      </c>
      <c r="M161" s="3" t="s">
        <v>451</v>
      </c>
      <c r="N161" s="3" t="n">
        <v>2</v>
      </c>
      <c r="O161" s="3" t="s">
        <v>64</v>
      </c>
      <c r="P161" s="3" t="s">
        <v>65</v>
      </c>
    </row>
    <row r="162" customFormat="false" ht="15" hidden="false" customHeight="false" outlineLevel="0" collapsed="false">
      <c r="A162" s="3" t="s">
        <v>444</v>
      </c>
      <c r="B162" s="3" t="s">
        <v>114</v>
      </c>
      <c r="C162" s="3" t="s">
        <v>115</v>
      </c>
      <c r="D162" s="4" t="n">
        <v>77.94</v>
      </c>
      <c r="E162" s="3" t="s">
        <v>60</v>
      </c>
      <c r="F162" s="3" t="n">
        <v>49.44</v>
      </c>
      <c r="G162" s="3" t="s">
        <v>60</v>
      </c>
      <c r="H162" s="3" t="s">
        <v>60</v>
      </c>
      <c r="I162" s="3" t="n">
        <v>318539250</v>
      </c>
      <c r="J162" s="3" t="n">
        <v>3854250</v>
      </c>
      <c r="K162" s="3" t="s">
        <v>61</v>
      </c>
      <c r="L162" s="3" t="s">
        <v>62</v>
      </c>
      <c r="M162" s="3" t="s">
        <v>452</v>
      </c>
      <c r="N162" s="3" t="n">
        <v>3</v>
      </c>
      <c r="O162" s="3" t="s">
        <v>69</v>
      </c>
      <c r="P162" s="3" t="s">
        <v>70</v>
      </c>
    </row>
    <row r="163" customFormat="false" ht="15" hidden="false" customHeight="false" outlineLevel="0" collapsed="false">
      <c r="A163" s="3" t="s">
        <v>444</v>
      </c>
      <c r="B163" s="3" t="s">
        <v>453</v>
      </c>
      <c r="C163" s="3" t="s">
        <v>454</v>
      </c>
      <c r="D163" s="4" t="n">
        <v>492.5</v>
      </c>
      <c r="E163" s="3" t="s">
        <v>60</v>
      </c>
      <c r="F163" s="3" t="n">
        <v>68.73</v>
      </c>
      <c r="G163" s="3" t="s">
        <v>60</v>
      </c>
      <c r="H163" s="3" t="s">
        <v>60</v>
      </c>
      <c r="I163" s="3" t="n">
        <v>13784400</v>
      </c>
      <c r="J163" s="3" t="n">
        <v>248850</v>
      </c>
      <c r="K163" s="3" t="s">
        <v>61</v>
      </c>
      <c r="L163" s="3" t="s">
        <v>62</v>
      </c>
      <c r="M163" s="3" t="s">
        <v>455</v>
      </c>
      <c r="N163" s="3" t="n">
        <v>0</v>
      </c>
      <c r="O163" s="3" t="s">
        <v>64</v>
      </c>
      <c r="P163" s="3" t="s">
        <v>65</v>
      </c>
    </row>
    <row r="164" customFormat="false" ht="15" hidden="false" customHeight="false" outlineLevel="0" collapsed="false">
      <c r="A164" s="3" t="s">
        <v>444</v>
      </c>
      <c r="B164" s="3" t="s">
        <v>372</v>
      </c>
      <c r="C164" s="3" t="s">
        <v>373</v>
      </c>
      <c r="D164" s="4" t="n">
        <v>647</v>
      </c>
      <c r="E164" s="3" t="s">
        <v>60</v>
      </c>
      <c r="F164" s="3" t="n">
        <v>56.77</v>
      </c>
      <c r="G164" s="3" t="s">
        <v>60</v>
      </c>
      <c r="H164" s="3" t="s">
        <v>60</v>
      </c>
      <c r="I164" s="3" t="n">
        <v>8417000</v>
      </c>
      <c r="J164" s="3" t="n">
        <v>132000</v>
      </c>
      <c r="K164" s="3" t="s">
        <v>61</v>
      </c>
      <c r="L164" s="3" t="s">
        <v>62</v>
      </c>
      <c r="M164" s="3" t="s">
        <v>456</v>
      </c>
      <c r="N164" s="3" t="n">
        <v>1</v>
      </c>
      <c r="O164" s="3" t="s">
        <v>64</v>
      </c>
      <c r="P164" s="3" t="s">
        <v>65</v>
      </c>
    </row>
    <row r="165" customFormat="false" ht="15" hidden="false" customHeight="false" outlineLevel="0" collapsed="false">
      <c r="A165" s="3" t="s">
        <v>444</v>
      </c>
      <c r="B165" s="3" t="s">
        <v>178</v>
      </c>
      <c r="C165" s="3" t="s">
        <v>179</v>
      </c>
      <c r="D165" s="4" t="n">
        <v>381.95</v>
      </c>
      <c r="E165" s="3" t="s">
        <v>60</v>
      </c>
      <c r="F165" s="3" t="n">
        <v>74.75</v>
      </c>
      <c r="G165" s="3" t="s">
        <v>60</v>
      </c>
      <c r="H165" s="3" t="s">
        <v>60</v>
      </c>
      <c r="I165" s="3" t="n">
        <v>52469700</v>
      </c>
      <c r="J165" s="3" t="n">
        <v>37700</v>
      </c>
      <c r="K165" s="3" t="s">
        <v>61</v>
      </c>
      <c r="L165" s="3" t="s">
        <v>62</v>
      </c>
      <c r="M165" s="3" t="s">
        <v>457</v>
      </c>
      <c r="N165" s="3" t="n">
        <v>1</v>
      </c>
      <c r="O165" s="3" t="s">
        <v>64</v>
      </c>
      <c r="P165" s="3" t="s">
        <v>65</v>
      </c>
    </row>
    <row r="166" customFormat="false" ht="15" hidden="false" customHeight="false" outlineLevel="0" collapsed="false">
      <c r="A166" s="3" t="s">
        <v>444</v>
      </c>
      <c r="B166" s="3" t="s">
        <v>126</v>
      </c>
      <c r="C166" s="3" t="s">
        <v>127</v>
      </c>
      <c r="D166" s="4" t="n">
        <v>543.6</v>
      </c>
      <c r="E166" s="3" t="s">
        <v>60</v>
      </c>
      <c r="F166" s="3" t="n">
        <v>46.41</v>
      </c>
      <c r="G166" s="3" t="s">
        <v>60</v>
      </c>
      <c r="H166" s="3" t="s">
        <v>60</v>
      </c>
      <c r="I166" s="3" t="n">
        <v>108885450</v>
      </c>
      <c r="J166" s="3" t="n">
        <v>3888150</v>
      </c>
      <c r="K166" s="3" t="s">
        <v>61</v>
      </c>
      <c r="L166" s="3" t="s">
        <v>62</v>
      </c>
      <c r="M166" s="3" t="s">
        <v>458</v>
      </c>
      <c r="N166" s="3" t="n">
        <v>1</v>
      </c>
      <c r="O166" s="3" t="s">
        <v>64</v>
      </c>
      <c r="P166" s="3" t="s">
        <v>65</v>
      </c>
    </row>
    <row r="167" customFormat="false" ht="15" hidden="false" customHeight="false" outlineLevel="0" collapsed="false">
      <c r="A167" s="3" t="s">
        <v>459</v>
      </c>
      <c r="B167" s="3" t="s">
        <v>114</v>
      </c>
      <c r="C167" s="3" t="s">
        <v>115</v>
      </c>
      <c r="D167" s="4" t="n">
        <v>78.55</v>
      </c>
      <c r="E167" s="3" t="s">
        <v>60</v>
      </c>
      <c r="F167" s="3" t="n">
        <v>49.09</v>
      </c>
      <c r="G167" s="3" t="s">
        <v>60</v>
      </c>
      <c r="H167" s="3" t="s">
        <v>60</v>
      </c>
      <c r="I167" s="3" t="n">
        <v>322683750</v>
      </c>
      <c r="J167" s="3" t="n">
        <v>4144500</v>
      </c>
      <c r="K167" s="3" t="s">
        <v>61</v>
      </c>
      <c r="L167" s="3" t="s">
        <v>62</v>
      </c>
      <c r="M167" s="3" t="s">
        <v>460</v>
      </c>
      <c r="N167" s="3" t="n">
        <v>3</v>
      </c>
      <c r="O167" s="3" t="s">
        <v>100</v>
      </c>
      <c r="P167" s="3" t="s">
        <v>70</v>
      </c>
    </row>
    <row r="168" customFormat="false" ht="15" hidden="false" customHeight="false" outlineLevel="0" collapsed="false">
      <c r="A168" s="3" t="s">
        <v>459</v>
      </c>
      <c r="B168" s="3" t="s">
        <v>237</v>
      </c>
      <c r="C168" s="3" t="s">
        <v>238</v>
      </c>
      <c r="D168" s="4" t="n">
        <v>1789.4</v>
      </c>
      <c r="E168" s="3" t="s">
        <v>60</v>
      </c>
      <c r="F168" s="3" t="n">
        <v>45.05</v>
      </c>
      <c r="G168" s="3" t="s">
        <v>60</v>
      </c>
      <c r="H168" s="3" t="s">
        <v>60</v>
      </c>
      <c r="I168" s="3" t="n">
        <v>3329200</v>
      </c>
      <c r="J168" s="3" t="n">
        <v>17850</v>
      </c>
      <c r="K168" s="3" t="s">
        <v>61</v>
      </c>
      <c r="L168" s="3" t="s">
        <v>62</v>
      </c>
      <c r="M168" s="3" t="s">
        <v>461</v>
      </c>
      <c r="N168" s="3" t="n">
        <v>1</v>
      </c>
      <c r="O168" s="3" t="s">
        <v>64</v>
      </c>
      <c r="P168" s="3" t="s">
        <v>65</v>
      </c>
    </row>
    <row r="169" customFormat="false" ht="15" hidden="false" customHeight="false" outlineLevel="0" collapsed="false">
      <c r="A169" s="3" t="s">
        <v>462</v>
      </c>
      <c r="B169" s="3" t="s">
        <v>58</v>
      </c>
      <c r="C169" s="3" t="s">
        <v>59</v>
      </c>
      <c r="D169" s="4" t="n">
        <v>1764.5</v>
      </c>
      <c r="E169" s="3" t="s">
        <v>60</v>
      </c>
      <c r="F169" s="3" t="n">
        <v>53.38</v>
      </c>
      <c r="G169" s="3" t="s">
        <v>60</v>
      </c>
      <c r="H169" s="3" t="s">
        <v>60</v>
      </c>
      <c r="I169" s="3" t="n">
        <v>7556150</v>
      </c>
      <c r="J169" s="3" t="n">
        <v>62300</v>
      </c>
      <c r="K169" s="3" t="s">
        <v>61</v>
      </c>
      <c r="L169" s="3" t="s">
        <v>62</v>
      </c>
      <c r="M169" s="3" t="s">
        <v>463</v>
      </c>
      <c r="N169" s="3" t="n">
        <v>1</v>
      </c>
      <c r="O169" s="3" t="s">
        <v>64</v>
      </c>
      <c r="P169" s="3" t="s">
        <v>65</v>
      </c>
    </row>
    <row r="170" customFormat="false" ht="15" hidden="false" customHeight="false" outlineLevel="0" collapsed="false">
      <c r="A170" s="3" t="s">
        <v>462</v>
      </c>
      <c r="B170" s="3" t="s">
        <v>396</v>
      </c>
      <c r="C170" s="3" t="s">
        <v>397</v>
      </c>
      <c r="D170" s="4" t="n">
        <v>990.3</v>
      </c>
      <c r="E170" s="3" t="s">
        <v>60</v>
      </c>
      <c r="F170" s="3" t="n">
        <v>65.72</v>
      </c>
      <c r="G170" s="3" t="s">
        <v>60</v>
      </c>
      <c r="H170" s="3" t="s">
        <v>60</v>
      </c>
      <c r="I170" s="3" t="n">
        <v>18649000</v>
      </c>
      <c r="J170" s="3" t="n">
        <v>583000</v>
      </c>
      <c r="K170" s="3" t="s">
        <v>61</v>
      </c>
      <c r="L170" s="3" t="s">
        <v>62</v>
      </c>
      <c r="M170" s="3" t="s">
        <v>464</v>
      </c>
      <c r="N170" s="3" t="n">
        <v>2</v>
      </c>
      <c r="O170" s="3" t="s">
        <v>64</v>
      </c>
      <c r="P170" s="3" t="s">
        <v>65</v>
      </c>
    </row>
    <row r="171" customFormat="false" ht="15" hidden="false" customHeight="false" outlineLevel="0" collapsed="false">
      <c r="A171" s="3" t="s">
        <v>462</v>
      </c>
      <c r="B171" s="3" t="s">
        <v>136</v>
      </c>
      <c r="C171" s="3" t="s">
        <v>137</v>
      </c>
      <c r="D171" s="4" t="n">
        <v>168.16</v>
      </c>
      <c r="E171" s="3" t="s">
        <v>60</v>
      </c>
      <c r="F171" s="3" t="n">
        <v>57</v>
      </c>
      <c r="G171" s="3" t="s">
        <v>60</v>
      </c>
      <c r="H171" s="3" t="s">
        <v>60</v>
      </c>
      <c r="I171" s="3" t="n">
        <v>90948000</v>
      </c>
      <c r="J171" s="3" t="n">
        <v>892125</v>
      </c>
      <c r="K171" s="3" t="s">
        <v>61</v>
      </c>
      <c r="L171" s="3" t="s">
        <v>62</v>
      </c>
      <c r="M171" s="3" t="s">
        <v>465</v>
      </c>
      <c r="N171" s="3" t="n">
        <v>5</v>
      </c>
      <c r="O171" s="3" t="s">
        <v>64</v>
      </c>
      <c r="P171" s="3" t="s">
        <v>65</v>
      </c>
    </row>
    <row r="172" customFormat="false" ht="15" hidden="false" customHeight="false" outlineLevel="0" collapsed="false">
      <c r="A172" s="3" t="s">
        <v>462</v>
      </c>
      <c r="B172" s="3" t="s">
        <v>190</v>
      </c>
      <c r="C172" s="3" t="s">
        <v>60</v>
      </c>
      <c r="D172" s="4" t="n">
        <v>6252.5</v>
      </c>
      <c r="E172" s="3" t="s">
        <v>60</v>
      </c>
      <c r="F172" s="3" t="n">
        <v>59.98</v>
      </c>
      <c r="G172" s="3" t="s">
        <v>60</v>
      </c>
      <c r="H172" s="3" t="s">
        <v>60</v>
      </c>
      <c r="I172" s="3" t="n">
        <v>2115600</v>
      </c>
      <c r="J172" s="3" t="n">
        <v>42450</v>
      </c>
      <c r="K172" s="3" t="s">
        <v>61</v>
      </c>
      <c r="L172" s="3" t="s">
        <v>62</v>
      </c>
      <c r="M172" s="3" t="s">
        <v>466</v>
      </c>
      <c r="N172" s="3" t="n">
        <v>2</v>
      </c>
      <c r="O172" s="3" t="s">
        <v>64</v>
      </c>
      <c r="P172" s="3" t="s">
        <v>65</v>
      </c>
    </row>
    <row r="173" customFormat="false" ht="15" hidden="false" customHeight="false" outlineLevel="0" collapsed="false">
      <c r="A173" s="3" t="s">
        <v>462</v>
      </c>
      <c r="B173" s="3" t="s">
        <v>275</v>
      </c>
      <c r="C173" s="3" t="s">
        <v>276</v>
      </c>
      <c r="D173" s="4" t="n">
        <v>543.9</v>
      </c>
      <c r="E173" s="3" t="s">
        <v>60</v>
      </c>
      <c r="F173" s="3" t="n">
        <v>45.61</v>
      </c>
      <c r="G173" s="3" t="s">
        <v>60</v>
      </c>
      <c r="H173" s="3" t="s">
        <v>60</v>
      </c>
      <c r="I173" s="3" t="n">
        <v>36126000</v>
      </c>
      <c r="J173" s="3" t="n">
        <v>774900</v>
      </c>
      <c r="K173" s="3" t="s">
        <v>61</v>
      </c>
      <c r="L173" s="3" t="s">
        <v>62</v>
      </c>
      <c r="M173" s="3" t="s">
        <v>467</v>
      </c>
      <c r="N173" s="3" t="n">
        <v>1</v>
      </c>
      <c r="O173" s="3" t="s">
        <v>64</v>
      </c>
      <c r="P173" s="3" t="s">
        <v>65</v>
      </c>
    </row>
    <row r="174" customFormat="false" ht="15" hidden="false" customHeight="false" outlineLevel="0" collapsed="false">
      <c r="A174" s="3" t="s">
        <v>462</v>
      </c>
      <c r="B174" s="3" t="s">
        <v>303</v>
      </c>
      <c r="C174" s="3" t="s">
        <v>304</v>
      </c>
      <c r="D174" s="4" t="n">
        <v>864.2</v>
      </c>
      <c r="E174" s="3" t="s">
        <v>60</v>
      </c>
      <c r="F174" s="3" t="n">
        <v>54.6</v>
      </c>
      <c r="G174" s="3" t="s">
        <v>60</v>
      </c>
      <c r="H174" s="3" t="s">
        <v>60</v>
      </c>
      <c r="I174" s="3" t="n">
        <v>63834375</v>
      </c>
      <c r="J174" s="3" t="n">
        <v>207075</v>
      </c>
      <c r="K174" s="3" t="s">
        <v>61</v>
      </c>
      <c r="L174" s="3" t="s">
        <v>62</v>
      </c>
      <c r="M174" s="3" t="s">
        <v>468</v>
      </c>
      <c r="N174" s="3" t="n">
        <v>2</v>
      </c>
      <c r="O174" s="3" t="s">
        <v>64</v>
      </c>
      <c r="P174" s="3" t="s">
        <v>65</v>
      </c>
    </row>
    <row r="175" customFormat="false" ht="15" hidden="false" customHeight="false" outlineLevel="0" collapsed="false">
      <c r="A175" s="3" t="s">
        <v>469</v>
      </c>
      <c r="B175" s="3" t="s">
        <v>364</v>
      </c>
      <c r="C175" s="3" t="s">
        <v>365</v>
      </c>
      <c r="D175" s="4" t="n">
        <v>645.65</v>
      </c>
      <c r="E175" s="3" t="s">
        <v>60</v>
      </c>
      <c r="F175" s="3" t="n">
        <v>81.75</v>
      </c>
      <c r="G175" s="3" t="s">
        <v>60</v>
      </c>
      <c r="H175" s="3" t="s">
        <v>60</v>
      </c>
      <c r="I175" s="3" t="n">
        <v>16003425</v>
      </c>
      <c r="J175" s="3" t="n">
        <v>32375</v>
      </c>
      <c r="K175" s="3" t="s">
        <v>61</v>
      </c>
      <c r="L175" s="3" t="s">
        <v>62</v>
      </c>
      <c r="M175" s="3" t="s">
        <v>470</v>
      </c>
      <c r="N175" s="3" t="n">
        <v>2</v>
      </c>
      <c r="O175" s="3" t="s">
        <v>64</v>
      </c>
      <c r="P175" s="3" t="s">
        <v>65</v>
      </c>
    </row>
    <row r="176" customFormat="false" ht="15" hidden="false" customHeight="false" outlineLevel="0" collapsed="false">
      <c r="A176" s="3" t="s">
        <v>469</v>
      </c>
      <c r="B176" s="3" t="s">
        <v>312</v>
      </c>
      <c r="C176" s="3" t="s">
        <v>313</v>
      </c>
      <c r="D176" s="4" t="n">
        <v>847.4</v>
      </c>
      <c r="E176" s="3" t="s">
        <v>60</v>
      </c>
      <c r="F176" s="3" t="n">
        <v>70.42</v>
      </c>
      <c r="G176" s="3" t="s">
        <v>60</v>
      </c>
      <c r="H176" s="3" t="s">
        <v>60</v>
      </c>
      <c r="I176" s="3" t="n">
        <v>10159800</v>
      </c>
      <c r="J176" s="3" t="n">
        <v>312200</v>
      </c>
      <c r="K176" s="3" t="s">
        <v>61</v>
      </c>
      <c r="L176" s="3" t="s">
        <v>62</v>
      </c>
      <c r="M176" s="3" t="s">
        <v>471</v>
      </c>
      <c r="N176" s="3" t="n">
        <v>1</v>
      </c>
      <c r="O176" s="3" t="s">
        <v>64</v>
      </c>
      <c r="P176" s="3" t="s">
        <v>65</v>
      </c>
    </row>
    <row r="177" customFormat="false" ht="15" hidden="false" customHeight="false" outlineLevel="0" collapsed="false">
      <c r="A177" s="3" t="s">
        <v>472</v>
      </c>
      <c r="B177" s="3" t="s">
        <v>342</v>
      </c>
      <c r="C177" s="3" t="s">
        <v>343</v>
      </c>
      <c r="D177" s="4" t="n">
        <v>2799.9</v>
      </c>
      <c r="E177" s="3" t="s">
        <v>60</v>
      </c>
      <c r="F177" s="3" t="n">
        <v>78.78</v>
      </c>
      <c r="G177" s="3" t="s">
        <v>60</v>
      </c>
      <c r="H177" s="3" t="s">
        <v>60</v>
      </c>
      <c r="I177" s="3" t="n">
        <v>12333000</v>
      </c>
      <c r="J177" s="3" t="n">
        <v>789750</v>
      </c>
      <c r="K177" s="3" t="s">
        <v>61</v>
      </c>
      <c r="L177" s="3" t="s">
        <v>62</v>
      </c>
      <c r="M177" s="3" t="s">
        <v>473</v>
      </c>
      <c r="N177" s="3" t="n">
        <v>2</v>
      </c>
      <c r="O177" s="3" t="s">
        <v>64</v>
      </c>
      <c r="P177" s="3" t="s">
        <v>65</v>
      </c>
    </row>
    <row r="178" customFormat="false" ht="15" hidden="false" customHeight="false" outlineLevel="0" collapsed="false">
      <c r="A178" s="3" t="s">
        <v>472</v>
      </c>
      <c r="B178" s="3" t="s">
        <v>96</v>
      </c>
      <c r="C178" s="3" t="s">
        <v>97</v>
      </c>
      <c r="D178" s="4" t="n">
        <v>405.95</v>
      </c>
      <c r="E178" s="3" t="s">
        <v>60</v>
      </c>
      <c r="F178" s="3" t="n">
        <v>72.92</v>
      </c>
      <c r="G178" s="3" t="s">
        <v>60</v>
      </c>
      <c r="H178" s="3" t="s">
        <v>60</v>
      </c>
      <c r="I178" s="3" t="n">
        <v>15259550</v>
      </c>
      <c r="J178" s="3" t="n">
        <v>286350</v>
      </c>
      <c r="K178" s="3" t="s">
        <v>61</v>
      </c>
      <c r="L178" s="3" t="s">
        <v>62</v>
      </c>
      <c r="M178" s="3" t="s">
        <v>474</v>
      </c>
      <c r="N178" s="3" t="n">
        <v>2</v>
      </c>
      <c r="O178" s="3" t="s">
        <v>64</v>
      </c>
      <c r="P178" s="3" t="s">
        <v>65</v>
      </c>
    </row>
    <row r="179" customFormat="false" ht="15" hidden="false" customHeight="false" outlineLevel="0" collapsed="false">
      <c r="A179" s="3" t="s">
        <v>472</v>
      </c>
      <c r="B179" s="3" t="s">
        <v>346</v>
      </c>
      <c r="C179" s="3" t="s">
        <v>347</v>
      </c>
      <c r="D179" s="4" t="n">
        <v>292.65</v>
      </c>
      <c r="E179" s="3" t="s">
        <v>60</v>
      </c>
      <c r="F179" s="3" t="n">
        <v>48.86</v>
      </c>
      <c r="G179" s="3" t="s">
        <v>60</v>
      </c>
      <c r="H179" s="3" t="s">
        <v>60</v>
      </c>
      <c r="I179" s="3" t="n">
        <v>37632000</v>
      </c>
      <c r="J179" s="3" t="n">
        <v>714000</v>
      </c>
      <c r="K179" s="3" t="s">
        <v>61</v>
      </c>
      <c r="L179" s="3" t="s">
        <v>62</v>
      </c>
      <c r="M179" s="3" t="s">
        <v>475</v>
      </c>
      <c r="N179" s="3" t="n">
        <v>1</v>
      </c>
      <c r="O179" s="3" t="s">
        <v>64</v>
      </c>
      <c r="P179" s="3" t="s">
        <v>65</v>
      </c>
    </row>
    <row r="180" customFormat="false" ht="15" hidden="false" customHeight="false" outlineLevel="0" collapsed="false">
      <c r="A180" s="3" t="s">
        <v>472</v>
      </c>
      <c r="B180" s="3" t="s">
        <v>453</v>
      </c>
      <c r="C180" s="3" t="s">
        <v>454</v>
      </c>
      <c r="D180" s="4" t="n">
        <v>496.8</v>
      </c>
      <c r="E180" s="3" t="s">
        <v>60</v>
      </c>
      <c r="F180" s="3" t="n">
        <v>67.93</v>
      </c>
      <c r="G180" s="3" t="s">
        <v>60</v>
      </c>
      <c r="H180" s="3" t="s">
        <v>60</v>
      </c>
      <c r="I180" s="3" t="n">
        <v>13979700</v>
      </c>
      <c r="J180" s="3" t="n">
        <v>152250</v>
      </c>
      <c r="K180" s="3" t="s">
        <v>61</v>
      </c>
      <c r="L180" s="3" t="s">
        <v>62</v>
      </c>
      <c r="M180" s="3" t="s">
        <v>476</v>
      </c>
      <c r="N180" s="3" t="n">
        <v>1</v>
      </c>
      <c r="O180" s="3" t="s">
        <v>64</v>
      </c>
      <c r="P180" s="3" t="s">
        <v>65</v>
      </c>
    </row>
    <row r="181" customFormat="false" ht="15" hidden="false" customHeight="false" outlineLevel="0" collapsed="false">
      <c r="A181" s="3" t="s">
        <v>477</v>
      </c>
      <c r="B181" s="3" t="s">
        <v>263</v>
      </c>
      <c r="C181" s="3" t="s">
        <v>264</v>
      </c>
      <c r="D181" s="4" t="n">
        <v>681.65</v>
      </c>
      <c r="E181" s="3" t="s">
        <v>60</v>
      </c>
      <c r="F181" s="3" t="n">
        <v>45.31</v>
      </c>
      <c r="G181" s="3" t="s">
        <v>60</v>
      </c>
      <c r="H181" s="3" t="s">
        <v>60</v>
      </c>
      <c r="I181" s="3" t="n">
        <v>18122125</v>
      </c>
      <c r="J181" s="3" t="n">
        <v>136500</v>
      </c>
      <c r="K181" s="3" t="s">
        <v>61</v>
      </c>
      <c r="L181" s="3" t="s">
        <v>62</v>
      </c>
      <c r="M181" s="3" t="s">
        <v>478</v>
      </c>
      <c r="N181" s="3" t="n">
        <v>1</v>
      </c>
      <c r="O181" s="3" t="s">
        <v>64</v>
      </c>
      <c r="P181" s="3" t="s">
        <v>65</v>
      </c>
    </row>
    <row r="182" customFormat="false" ht="15" hidden="false" customHeight="false" outlineLevel="0" collapsed="false">
      <c r="A182" s="3" t="s">
        <v>479</v>
      </c>
      <c r="B182" s="3" t="s">
        <v>480</v>
      </c>
      <c r="C182" s="3" t="s">
        <v>481</v>
      </c>
      <c r="D182" s="4" t="n">
        <v>16647</v>
      </c>
      <c r="E182" s="3" t="s">
        <v>60</v>
      </c>
      <c r="F182" s="3" t="n">
        <v>71.68</v>
      </c>
      <c r="G182" s="3" t="s">
        <v>60</v>
      </c>
      <c r="H182" s="3" t="s">
        <v>60</v>
      </c>
      <c r="I182" s="3" t="n">
        <v>579500</v>
      </c>
      <c r="J182" s="3" t="n">
        <v>17000</v>
      </c>
      <c r="K182" s="3" t="s">
        <v>61</v>
      </c>
      <c r="L182" s="3" t="s">
        <v>62</v>
      </c>
      <c r="M182" s="3" t="s">
        <v>482</v>
      </c>
      <c r="N182" s="3" t="n">
        <v>0</v>
      </c>
      <c r="O182" s="3" t="s">
        <v>64</v>
      </c>
      <c r="P182" s="3" t="s">
        <v>65</v>
      </c>
    </row>
    <row r="183" customFormat="false" ht="15" hidden="false" customHeight="false" outlineLevel="0" collapsed="false">
      <c r="A183" s="3" t="s">
        <v>483</v>
      </c>
      <c r="B183" s="3" t="s">
        <v>484</v>
      </c>
      <c r="C183" s="3" t="s">
        <v>485</v>
      </c>
      <c r="D183" s="4" t="n">
        <v>357.7</v>
      </c>
      <c r="E183" s="3" t="s">
        <v>60</v>
      </c>
      <c r="F183" s="3" t="n">
        <v>54.94</v>
      </c>
      <c r="G183" s="3" t="s">
        <v>60</v>
      </c>
      <c r="H183" s="3" t="s">
        <v>60</v>
      </c>
      <c r="I183" s="3" t="n">
        <v>76526600</v>
      </c>
      <c r="J183" s="3" t="n">
        <v>1692600</v>
      </c>
      <c r="K183" s="3" t="s">
        <v>61</v>
      </c>
      <c r="L183" s="3" t="s">
        <v>62</v>
      </c>
      <c r="M183" s="3" t="s">
        <v>486</v>
      </c>
      <c r="N183" s="3" t="n">
        <v>0</v>
      </c>
      <c r="O183" s="3" t="s">
        <v>64</v>
      </c>
      <c r="P183" s="3" t="s">
        <v>65</v>
      </c>
    </row>
    <row r="184" customFormat="false" ht="15" hidden="false" customHeight="false" outlineLevel="0" collapsed="false">
      <c r="A184" s="3" t="s">
        <v>483</v>
      </c>
      <c r="B184" s="3" t="s">
        <v>487</v>
      </c>
      <c r="C184" s="3" t="s">
        <v>488</v>
      </c>
      <c r="D184" s="4" t="n">
        <v>11328</v>
      </c>
      <c r="E184" s="3" t="s">
        <v>60</v>
      </c>
      <c r="F184" s="3" t="n">
        <v>46.29</v>
      </c>
      <c r="G184" s="3" t="s">
        <v>60</v>
      </c>
      <c r="H184" s="3" t="s">
        <v>60</v>
      </c>
      <c r="I184" s="3" t="n">
        <v>52200</v>
      </c>
      <c r="J184" s="3" t="n">
        <v>52200</v>
      </c>
      <c r="K184" s="3" t="s">
        <v>61</v>
      </c>
      <c r="L184" s="3" t="s">
        <v>62</v>
      </c>
      <c r="M184" s="3" t="s">
        <v>489</v>
      </c>
      <c r="N184" s="3" t="n">
        <v>0</v>
      </c>
      <c r="O184" s="3" t="s">
        <v>64</v>
      </c>
      <c r="P184" s="3" t="s">
        <v>65</v>
      </c>
    </row>
    <row r="185" customFormat="false" ht="15" hidden="false" customHeight="false" outlineLevel="0" collapsed="false">
      <c r="A185" s="3" t="s">
        <v>483</v>
      </c>
      <c r="B185" s="3" t="s">
        <v>490</v>
      </c>
      <c r="C185" s="3" t="s">
        <v>491</v>
      </c>
      <c r="D185" s="4" t="n">
        <v>384</v>
      </c>
      <c r="E185" s="3" t="s">
        <v>60</v>
      </c>
      <c r="F185" s="3" t="n">
        <v>54.47</v>
      </c>
      <c r="G185" s="3" t="s">
        <v>60</v>
      </c>
      <c r="H185" s="3" t="s">
        <v>60</v>
      </c>
      <c r="I185" s="3" t="n">
        <v>25682900</v>
      </c>
      <c r="J185" s="3" t="n">
        <v>1694550</v>
      </c>
      <c r="K185" s="3" t="s">
        <v>61</v>
      </c>
      <c r="L185" s="3" t="s">
        <v>62</v>
      </c>
      <c r="M185" s="3" t="s">
        <v>492</v>
      </c>
      <c r="N185" s="3" t="n">
        <v>0</v>
      </c>
      <c r="O185" s="3" t="s">
        <v>64</v>
      </c>
      <c r="P185" s="3" t="s">
        <v>65</v>
      </c>
    </row>
    <row r="186" customFormat="false" ht="15" hidden="false" customHeight="false" outlineLevel="0" collapsed="false">
      <c r="A186" s="3" t="s">
        <v>483</v>
      </c>
      <c r="B186" s="3" t="s">
        <v>493</v>
      </c>
      <c r="C186" s="3" t="s">
        <v>494</v>
      </c>
      <c r="D186" s="4" t="n">
        <v>503.6</v>
      </c>
      <c r="E186" s="3" t="s">
        <v>60</v>
      </c>
      <c r="F186" s="3" t="n">
        <v>55.19</v>
      </c>
      <c r="G186" s="3" t="s">
        <v>60</v>
      </c>
      <c r="H186" s="3" t="s">
        <v>60</v>
      </c>
      <c r="I186" s="3" t="n">
        <v>20291250</v>
      </c>
      <c r="J186" s="3" t="n">
        <v>640000</v>
      </c>
      <c r="K186" s="3" t="s">
        <v>61</v>
      </c>
      <c r="L186" s="3" t="s">
        <v>62</v>
      </c>
      <c r="M186" s="3" t="s">
        <v>495</v>
      </c>
      <c r="N186" s="3" t="n">
        <v>0</v>
      </c>
      <c r="O186" s="3" t="s">
        <v>64</v>
      </c>
      <c r="P186" s="3" t="s">
        <v>65</v>
      </c>
    </row>
    <row r="187" customFormat="false" ht="15" hidden="false" customHeight="false" outlineLevel="0" collapsed="false">
      <c r="A187" s="3" t="s">
        <v>483</v>
      </c>
      <c r="B187" s="3" t="s">
        <v>496</v>
      </c>
      <c r="C187" s="3" t="s">
        <v>497</v>
      </c>
      <c r="D187" s="4" t="n">
        <v>1222.2</v>
      </c>
      <c r="E187" s="3" t="s">
        <v>60</v>
      </c>
      <c r="F187" s="3" t="n">
        <v>64.88</v>
      </c>
      <c r="G187" s="3" t="s">
        <v>60</v>
      </c>
      <c r="H187" s="3" t="s">
        <v>60</v>
      </c>
      <c r="I187" s="3" t="n">
        <v>9596500</v>
      </c>
      <c r="J187" s="3" t="n">
        <v>195500</v>
      </c>
      <c r="K187" s="3" t="s">
        <v>61</v>
      </c>
      <c r="L187" s="3" t="s">
        <v>62</v>
      </c>
      <c r="M187" s="3" t="s">
        <v>498</v>
      </c>
      <c r="N187" s="3" t="n">
        <v>0</v>
      </c>
      <c r="O187" s="3" t="s">
        <v>64</v>
      </c>
      <c r="P187" s="3" t="s">
        <v>65</v>
      </c>
    </row>
    <row r="188" customFormat="false" ht="15" hidden="false" customHeight="false" outlineLevel="0" collapsed="false">
      <c r="A188" s="3" t="s">
        <v>483</v>
      </c>
      <c r="B188" s="3" t="s">
        <v>364</v>
      </c>
      <c r="C188" s="3" t="s">
        <v>365</v>
      </c>
      <c r="D188" s="4" t="n">
        <v>668.25</v>
      </c>
      <c r="E188" s="3" t="s">
        <v>60</v>
      </c>
      <c r="F188" s="3" t="n">
        <v>52.35</v>
      </c>
      <c r="G188" s="3" t="s">
        <v>60</v>
      </c>
      <c r="H188" s="3" t="s">
        <v>60</v>
      </c>
      <c r="I188" s="3" t="n">
        <v>16543625</v>
      </c>
      <c r="J188" s="3" t="n">
        <v>158175</v>
      </c>
      <c r="K188" s="3" t="s">
        <v>61</v>
      </c>
      <c r="L188" s="3" t="s">
        <v>62</v>
      </c>
      <c r="M188" s="3" t="s">
        <v>499</v>
      </c>
      <c r="N188" s="3" t="n">
        <v>3</v>
      </c>
      <c r="O188" s="3" t="s">
        <v>64</v>
      </c>
      <c r="P188" s="3" t="s">
        <v>65</v>
      </c>
    </row>
    <row r="189" customFormat="false" ht="15" hidden="false" customHeight="false" outlineLevel="0" collapsed="false">
      <c r="A189" s="3" t="s">
        <v>483</v>
      </c>
      <c r="B189" s="3" t="s">
        <v>136</v>
      </c>
      <c r="C189" s="3" t="s">
        <v>137</v>
      </c>
      <c r="D189" s="4" t="n">
        <v>166.46</v>
      </c>
      <c r="E189" s="3" t="s">
        <v>60</v>
      </c>
      <c r="F189" s="3" t="n">
        <v>59.3</v>
      </c>
      <c r="G189" s="3" t="s">
        <v>60</v>
      </c>
      <c r="H189" s="3" t="s">
        <v>60</v>
      </c>
      <c r="I189" s="3" t="n">
        <v>100074000</v>
      </c>
      <c r="J189" s="3" t="n">
        <v>7507500</v>
      </c>
      <c r="K189" s="3" t="s">
        <v>61</v>
      </c>
      <c r="L189" s="3" t="s">
        <v>62</v>
      </c>
      <c r="M189" s="3" t="s">
        <v>500</v>
      </c>
      <c r="N189" s="3" t="n">
        <v>6</v>
      </c>
      <c r="O189" s="3" t="s">
        <v>64</v>
      </c>
      <c r="P189" s="3" t="s">
        <v>65</v>
      </c>
    </row>
    <row r="190" customFormat="false" ht="15" hidden="false" customHeight="false" outlineLevel="0" collapsed="false">
      <c r="A190" s="3" t="s">
        <v>483</v>
      </c>
      <c r="B190" s="3" t="s">
        <v>501</v>
      </c>
      <c r="C190" s="3" t="s">
        <v>502</v>
      </c>
      <c r="D190" s="4" t="n">
        <v>4460.2</v>
      </c>
      <c r="E190" s="3" t="s">
        <v>60</v>
      </c>
      <c r="F190" s="3" t="n">
        <v>53.27</v>
      </c>
      <c r="G190" s="3" t="s">
        <v>60</v>
      </c>
      <c r="H190" s="3" t="s">
        <v>60</v>
      </c>
      <c r="I190" s="3" t="n">
        <v>927675</v>
      </c>
      <c r="J190" s="3" t="n">
        <v>32025</v>
      </c>
      <c r="K190" s="3" t="s">
        <v>61</v>
      </c>
      <c r="L190" s="3" t="s">
        <v>62</v>
      </c>
      <c r="M190" s="3" t="s">
        <v>503</v>
      </c>
      <c r="N190" s="3" t="n">
        <v>0</v>
      </c>
      <c r="O190" s="3" t="s">
        <v>64</v>
      </c>
      <c r="P190" s="3" t="s">
        <v>65</v>
      </c>
    </row>
    <row r="191" customFormat="false" ht="15" hidden="false" customHeight="false" outlineLevel="0" collapsed="false">
      <c r="A191" s="3" t="s">
        <v>483</v>
      </c>
      <c r="B191" s="3" t="s">
        <v>504</v>
      </c>
      <c r="C191" s="3" t="s">
        <v>505</v>
      </c>
      <c r="D191" s="4" t="n">
        <v>145.64</v>
      </c>
      <c r="E191" s="3" t="s">
        <v>60</v>
      </c>
      <c r="F191" s="3" t="n">
        <v>49.9</v>
      </c>
      <c r="G191" s="3" t="s">
        <v>60</v>
      </c>
      <c r="H191" s="3" t="s">
        <v>60</v>
      </c>
      <c r="I191" s="3" t="n">
        <v>94845100</v>
      </c>
      <c r="J191" s="3" t="n">
        <v>18283600</v>
      </c>
      <c r="K191" s="3" t="s">
        <v>61</v>
      </c>
      <c r="L191" s="3" t="s">
        <v>62</v>
      </c>
      <c r="M191" s="3" t="s">
        <v>506</v>
      </c>
      <c r="N191" s="3" t="n">
        <v>0</v>
      </c>
      <c r="O191" s="3" t="s">
        <v>64</v>
      </c>
      <c r="P191" s="3" t="s">
        <v>65</v>
      </c>
    </row>
    <row r="192" customFormat="false" ht="15" hidden="false" customHeight="false" outlineLevel="0" collapsed="false">
      <c r="A192" s="3" t="s">
        <v>507</v>
      </c>
      <c r="B192" s="3" t="s">
        <v>58</v>
      </c>
      <c r="C192" s="3" t="s">
        <v>59</v>
      </c>
      <c r="D192" s="4" t="n">
        <v>1970</v>
      </c>
      <c r="E192" s="3" t="s">
        <v>60</v>
      </c>
      <c r="F192" s="3" t="n">
        <v>50.81</v>
      </c>
      <c r="G192" s="3" t="s">
        <v>60</v>
      </c>
      <c r="H192" s="3" t="s">
        <v>60</v>
      </c>
      <c r="I192" s="3" t="n">
        <v>9918650</v>
      </c>
      <c r="J192" s="3" t="n">
        <v>963200</v>
      </c>
      <c r="K192" s="3" t="s">
        <v>61</v>
      </c>
      <c r="L192" s="3" t="s">
        <v>62</v>
      </c>
      <c r="M192" s="3" t="s">
        <v>508</v>
      </c>
      <c r="N192" s="3" t="n">
        <v>2</v>
      </c>
      <c r="O192" s="3" t="s">
        <v>64</v>
      </c>
      <c r="P192" s="3" t="s">
        <v>65</v>
      </c>
    </row>
    <row r="193" customFormat="false" ht="15" hidden="false" customHeight="false" outlineLevel="0" collapsed="false">
      <c r="A193" s="3" t="s">
        <v>507</v>
      </c>
      <c r="B193" s="3" t="s">
        <v>509</v>
      </c>
      <c r="C193" s="3" t="s">
        <v>510</v>
      </c>
      <c r="D193" s="4" t="n">
        <v>890.2</v>
      </c>
      <c r="E193" s="3" t="s">
        <v>60</v>
      </c>
      <c r="F193" s="3" t="n">
        <v>45.61</v>
      </c>
      <c r="G193" s="3" t="s">
        <v>60</v>
      </c>
      <c r="H193" s="3" t="s">
        <v>60</v>
      </c>
      <c r="I193" s="3" t="n">
        <v>44338700</v>
      </c>
      <c r="J193" s="3" t="n">
        <v>245000</v>
      </c>
      <c r="K193" s="3" t="s">
        <v>61</v>
      </c>
      <c r="L193" s="3" t="s">
        <v>62</v>
      </c>
      <c r="M193" s="3" t="s">
        <v>511</v>
      </c>
      <c r="N193" s="3" t="n">
        <v>0</v>
      </c>
      <c r="O193" s="3" t="s">
        <v>64</v>
      </c>
      <c r="P193" s="3" t="s">
        <v>65</v>
      </c>
    </row>
    <row r="194" customFormat="false" ht="15" hidden="false" customHeight="false" outlineLevel="0" collapsed="false">
      <c r="A194" s="3" t="s">
        <v>512</v>
      </c>
      <c r="B194" s="3" t="s">
        <v>513</v>
      </c>
      <c r="C194" s="3" t="s">
        <v>514</v>
      </c>
      <c r="D194" s="4" t="n">
        <v>305.05</v>
      </c>
      <c r="E194" s="3" t="s">
        <v>60</v>
      </c>
      <c r="F194" s="3" t="n">
        <v>53.03</v>
      </c>
      <c r="G194" s="3" t="s">
        <v>60</v>
      </c>
      <c r="H194" s="3" t="s">
        <v>60</v>
      </c>
      <c r="I194" s="3" t="n">
        <v>85076550</v>
      </c>
      <c r="J194" s="3" t="n">
        <v>3299400</v>
      </c>
      <c r="K194" s="3" t="s">
        <v>61</v>
      </c>
      <c r="L194" s="3" t="s">
        <v>62</v>
      </c>
      <c r="M194" s="3" t="s">
        <v>515</v>
      </c>
      <c r="N194" s="3" t="n">
        <v>0</v>
      </c>
      <c r="O194" s="3" t="s">
        <v>64</v>
      </c>
      <c r="P194" s="3" t="s">
        <v>65</v>
      </c>
    </row>
    <row r="195" customFormat="false" ht="15" hidden="false" customHeight="false" outlineLevel="0" collapsed="false">
      <c r="A195" s="3" t="s">
        <v>512</v>
      </c>
      <c r="B195" s="3" t="s">
        <v>516</v>
      </c>
      <c r="C195" s="3" t="s">
        <v>517</v>
      </c>
      <c r="D195" s="4" t="n">
        <v>1816.1</v>
      </c>
      <c r="E195" s="3" t="s">
        <v>60</v>
      </c>
      <c r="F195" s="3" t="n">
        <v>58.72</v>
      </c>
      <c r="G195" s="3" t="s">
        <v>60</v>
      </c>
      <c r="H195" s="3" t="s">
        <v>60</v>
      </c>
      <c r="I195" s="3" t="n">
        <v>2475200</v>
      </c>
      <c r="J195" s="3" t="n">
        <v>69550</v>
      </c>
      <c r="K195" s="3" t="s">
        <v>61</v>
      </c>
      <c r="L195" s="3" t="s">
        <v>62</v>
      </c>
      <c r="M195" s="3" t="s">
        <v>518</v>
      </c>
      <c r="N195" s="3" t="n">
        <v>0</v>
      </c>
      <c r="O195" s="3" t="s">
        <v>64</v>
      </c>
      <c r="P195" s="3" t="s">
        <v>65</v>
      </c>
    </row>
    <row r="196" customFormat="false" ht="15" hidden="false" customHeight="false" outlineLevel="0" collapsed="false">
      <c r="A196" s="3" t="s">
        <v>512</v>
      </c>
      <c r="B196" s="3" t="s">
        <v>519</v>
      </c>
      <c r="C196" s="3" t="s">
        <v>520</v>
      </c>
      <c r="D196" s="4" t="n">
        <v>154.87</v>
      </c>
      <c r="E196" s="3" t="s">
        <v>60</v>
      </c>
      <c r="F196" s="3" t="n">
        <v>53.9</v>
      </c>
      <c r="G196" s="3" t="s">
        <v>60</v>
      </c>
      <c r="H196" s="3" t="s">
        <v>60</v>
      </c>
      <c r="I196" s="3" t="n">
        <v>148041000</v>
      </c>
      <c r="J196" s="3" t="n">
        <v>8100000</v>
      </c>
      <c r="K196" s="3" t="s">
        <v>61</v>
      </c>
      <c r="L196" s="3" t="s">
        <v>62</v>
      </c>
      <c r="M196" s="3" t="s">
        <v>521</v>
      </c>
      <c r="N196" s="3" t="n">
        <v>0</v>
      </c>
      <c r="O196" s="3" t="s">
        <v>64</v>
      </c>
      <c r="P196" s="3" t="s">
        <v>65</v>
      </c>
    </row>
    <row r="197" customFormat="false" ht="15" hidden="false" customHeight="false" outlineLevel="0" collapsed="false">
      <c r="A197" s="3" t="s">
        <v>512</v>
      </c>
      <c r="B197" s="3" t="s">
        <v>522</v>
      </c>
      <c r="C197" s="3" t="s">
        <v>523</v>
      </c>
      <c r="D197" s="4" t="n">
        <v>252.1</v>
      </c>
      <c r="E197" s="3" t="s">
        <v>60</v>
      </c>
      <c r="F197" s="3" t="n">
        <v>68.77</v>
      </c>
      <c r="G197" s="3" t="s">
        <v>60</v>
      </c>
      <c r="H197" s="3" t="s">
        <v>60</v>
      </c>
      <c r="I197" s="3" t="n">
        <v>52615800</v>
      </c>
      <c r="J197" s="3" t="n">
        <v>642600</v>
      </c>
      <c r="K197" s="3" t="s">
        <v>61</v>
      </c>
      <c r="L197" s="3" t="s">
        <v>62</v>
      </c>
      <c r="M197" s="3" t="s">
        <v>524</v>
      </c>
      <c r="N197" s="3" t="n">
        <v>0</v>
      </c>
      <c r="O197" s="3" t="s">
        <v>69</v>
      </c>
      <c r="P197" s="3" t="s">
        <v>70</v>
      </c>
    </row>
    <row r="198" customFormat="false" ht="15" hidden="false" customHeight="false" outlineLevel="0" collapsed="false">
      <c r="A198" s="3" t="s">
        <v>512</v>
      </c>
      <c r="B198" s="3" t="s">
        <v>525</v>
      </c>
      <c r="C198" s="3" t="s">
        <v>526</v>
      </c>
      <c r="D198" s="4" t="n">
        <v>301.7</v>
      </c>
      <c r="E198" s="3" t="s">
        <v>60</v>
      </c>
      <c r="F198" s="3" t="n">
        <v>54.2</v>
      </c>
      <c r="G198" s="3" t="s">
        <v>60</v>
      </c>
      <c r="H198" s="3" t="s">
        <v>60</v>
      </c>
      <c r="I198" s="3" t="n">
        <v>152381050</v>
      </c>
      <c r="J198" s="3" t="n">
        <v>493500</v>
      </c>
      <c r="K198" s="3" t="s">
        <v>61</v>
      </c>
      <c r="L198" s="3" t="s">
        <v>62</v>
      </c>
      <c r="M198" s="3" t="s">
        <v>527</v>
      </c>
      <c r="N198" s="3" t="n">
        <v>0</v>
      </c>
      <c r="O198" s="3" t="s">
        <v>64</v>
      </c>
      <c r="P198" s="3" t="s">
        <v>65</v>
      </c>
    </row>
    <row r="199" customFormat="false" ht="15" hidden="false" customHeight="false" outlineLevel="0" collapsed="false">
      <c r="A199" s="3" t="s">
        <v>512</v>
      </c>
      <c r="B199" s="3" t="s">
        <v>152</v>
      </c>
      <c r="C199" s="3" t="s">
        <v>153</v>
      </c>
      <c r="D199" s="4" t="n">
        <v>1085.7</v>
      </c>
      <c r="E199" s="3" t="s">
        <v>60</v>
      </c>
      <c r="F199" s="3" t="n">
        <v>65.18</v>
      </c>
      <c r="G199" s="3" t="s">
        <v>60</v>
      </c>
      <c r="H199" s="3" t="s">
        <v>60</v>
      </c>
      <c r="I199" s="3" t="n">
        <v>12893400</v>
      </c>
      <c r="J199" s="3" t="n">
        <v>373050</v>
      </c>
      <c r="K199" s="3" t="s">
        <v>61</v>
      </c>
      <c r="L199" s="3" t="s">
        <v>62</v>
      </c>
      <c r="M199" s="3" t="s">
        <v>528</v>
      </c>
      <c r="N199" s="3" t="n">
        <v>2</v>
      </c>
      <c r="O199" s="3" t="s">
        <v>64</v>
      </c>
      <c r="P199" s="3" t="s">
        <v>65</v>
      </c>
    </row>
    <row r="200" customFormat="false" ht="15" hidden="false" customHeight="false" outlineLevel="0" collapsed="false">
      <c r="A200" s="3" t="s">
        <v>512</v>
      </c>
      <c r="B200" s="3" t="s">
        <v>529</v>
      </c>
      <c r="C200" s="3" t="s">
        <v>530</v>
      </c>
      <c r="D200" s="4" t="n">
        <v>270.95</v>
      </c>
      <c r="E200" s="3" t="s">
        <v>60</v>
      </c>
      <c r="F200" s="3" t="n">
        <v>66.06</v>
      </c>
      <c r="G200" s="3" t="s">
        <v>60</v>
      </c>
      <c r="H200" s="3" t="s">
        <v>60</v>
      </c>
      <c r="I200" s="3" t="n">
        <v>85144700</v>
      </c>
      <c r="J200" s="3" t="n">
        <v>1485800</v>
      </c>
      <c r="K200" s="3" t="s">
        <v>61</v>
      </c>
      <c r="L200" s="3" t="s">
        <v>62</v>
      </c>
      <c r="M200" s="3" t="s">
        <v>531</v>
      </c>
      <c r="N200" s="3" t="n">
        <v>0</v>
      </c>
      <c r="O200" s="3" t="s">
        <v>69</v>
      </c>
      <c r="P200" s="3" t="s">
        <v>70</v>
      </c>
    </row>
    <row r="201" customFormat="false" ht="15" hidden="false" customHeight="false" outlineLevel="0" collapsed="false">
      <c r="A201" s="3" t="s">
        <v>512</v>
      </c>
      <c r="B201" s="3" t="s">
        <v>156</v>
      </c>
      <c r="C201" s="3" t="s">
        <v>157</v>
      </c>
      <c r="D201" s="4" t="n">
        <v>1321.2</v>
      </c>
      <c r="E201" s="3" t="s">
        <v>60</v>
      </c>
      <c r="F201" s="3" t="n">
        <v>71.93</v>
      </c>
      <c r="G201" s="3" t="s">
        <v>60</v>
      </c>
      <c r="H201" s="3" t="s">
        <v>60</v>
      </c>
      <c r="I201" s="3" t="n">
        <v>4688750</v>
      </c>
      <c r="J201" s="3" t="n">
        <v>517550</v>
      </c>
      <c r="K201" s="3" t="s">
        <v>61</v>
      </c>
      <c r="L201" s="3" t="s">
        <v>62</v>
      </c>
      <c r="M201" s="3" t="s">
        <v>532</v>
      </c>
      <c r="N201" s="3" t="n">
        <v>2</v>
      </c>
      <c r="O201" s="3" t="s">
        <v>64</v>
      </c>
      <c r="P201" s="3" t="s">
        <v>65</v>
      </c>
    </row>
    <row r="202" customFormat="false" ht="15" hidden="false" customHeight="false" outlineLevel="0" collapsed="false">
      <c r="A202" s="3" t="s">
        <v>533</v>
      </c>
      <c r="B202" s="3" t="s">
        <v>328</v>
      </c>
      <c r="C202" s="3" t="s">
        <v>329</v>
      </c>
      <c r="D202" s="4" t="n">
        <v>6026.5</v>
      </c>
      <c r="E202" s="3" t="s">
        <v>60</v>
      </c>
      <c r="F202" s="3" t="n">
        <v>69.46</v>
      </c>
      <c r="G202" s="3" t="s">
        <v>60</v>
      </c>
      <c r="H202" s="3" t="s">
        <v>60</v>
      </c>
      <c r="I202" s="3" t="n">
        <v>2988000</v>
      </c>
      <c r="J202" s="3" t="n">
        <v>91875</v>
      </c>
      <c r="K202" s="3" t="s">
        <v>61</v>
      </c>
      <c r="L202" s="3" t="s">
        <v>62</v>
      </c>
      <c r="M202" s="3" t="s">
        <v>534</v>
      </c>
      <c r="N202" s="3" t="n">
        <v>1</v>
      </c>
      <c r="O202" s="3" t="s">
        <v>69</v>
      </c>
      <c r="P202" s="3" t="s">
        <v>70</v>
      </c>
    </row>
    <row r="203" customFormat="false" ht="15" hidden="false" customHeight="false" outlineLevel="0" collapsed="false">
      <c r="A203" s="3" t="s">
        <v>533</v>
      </c>
      <c r="B203" s="3" t="s">
        <v>522</v>
      </c>
      <c r="C203" s="3" t="s">
        <v>523</v>
      </c>
      <c r="D203" s="4" t="n">
        <v>259.75</v>
      </c>
      <c r="E203" s="3" t="s">
        <v>60</v>
      </c>
      <c r="F203" s="3" t="n">
        <v>46.16</v>
      </c>
      <c r="G203" s="3" t="s">
        <v>60</v>
      </c>
      <c r="H203" s="3" t="s">
        <v>60</v>
      </c>
      <c r="I203" s="3" t="n">
        <v>54025200</v>
      </c>
      <c r="J203" s="3" t="n">
        <v>1409400</v>
      </c>
      <c r="K203" s="3" t="s">
        <v>61</v>
      </c>
      <c r="L203" s="3" t="s">
        <v>62</v>
      </c>
      <c r="M203" s="3" t="s">
        <v>535</v>
      </c>
      <c r="N203" s="3" t="n">
        <v>0</v>
      </c>
      <c r="O203" s="3" t="s">
        <v>100</v>
      </c>
      <c r="P203" s="3" t="s">
        <v>70</v>
      </c>
    </row>
    <row r="204" customFormat="false" ht="15" hidden="false" customHeight="false" outlineLevel="0" collapsed="false">
      <c r="A204" s="3" t="s">
        <v>533</v>
      </c>
      <c r="B204" s="3" t="s">
        <v>96</v>
      </c>
      <c r="C204" s="3" t="s">
        <v>97</v>
      </c>
      <c r="D204" s="4" t="n">
        <v>411.95</v>
      </c>
      <c r="E204" s="3" t="s">
        <v>60</v>
      </c>
      <c r="F204" s="3" t="n">
        <v>52.15</v>
      </c>
      <c r="G204" s="3" t="s">
        <v>60</v>
      </c>
      <c r="H204" s="3" t="s">
        <v>60</v>
      </c>
      <c r="I204" s="3" t="n">
        <v>18498625</v>
      </c>
      <c r="J204" s="3" t="n">
        <v>1684900</v>
      </c>
      <c r="K204" s="3" t="s">
        <v>61</v>
      </c>
      <c r="L204" s="3" t="s">
        <v>62</v>
      </c>
      <c r="M204" s="3" t="s">
        <v>536</v>
      </c>
      <c r="N204" s="3" t="n">
        <v>3</v>
      </c>
      <c r="O204" s="3" t="s">
        <v>299</v>
      </c>
      <c r="P204" s="3" t="s">
        <v>70</v>
      </c>
    </row>
    <row r="205" customFormat="false" ht="15" hidden="false" customHeight="false" outlineLevel="0" collapsed="false">
      <c r="A205" s="3" t="s">
        <v>533</v>
      </c>
      <c r="B205" s="3" t="s">
        <v>254</v>
      </c>
      <c r="C205" s="3" t="s">
        <v>255</v>
      </c>
      <c r="D205" s="4" t="n">
        <v>711.35</v>
      </c>
      <c r="E205" s="3" t="s">
        <v>60</v>
      </c>
      <c r="F205" s="3" t="n">
        <v>46.59</v>
      </c>
      <c r="G205" s="3" t="s">
        <v>60</v>
      </c>
      <c r="H205" s="3" t="s">
        <v>60</v>
      </c>
      <c r="I205" s="3" t="n">
        <v>49107300</v>
      </c>
      <c r="J205" s="3" t="n">
        <v>919050</v>
      </c>
      <c r="K205" s="3" t="s">
        <v>61</v>
      </c>
      <c r="L205" s="3" t="s">
        <v>62</v>
      </c>
      <c r="M205" s="3" t="s">
        <v>537</v>
      </c>
      <c r="N205" s="3" t="n">
        <v>1</v>
      </c>
      <c r="O205" s="3" t="s">
        <v>64</v>
      </c>
      <c r="P205" s="3" t="s">
        <v>65</v>
      </c>
    </row>
    <row r="206" customFormat="false" ht="15" hidden="false" customHeight="false" outlineLevel="0" collapsed="false">
      <c r="A206" s="3" t="s">
        <v>533</v>
      </c>
      <c r="B206" s="3" t="s">
        <v>538</v>
      </c>
      <c r="C206" s="3" t="s">
        <v>539</v>
      </c>
      <c r="D206" s="4" t="n">
        <v>504.2</v>
      </c>
      <c r="E206" s="3" t="s">
        <v>60</v>
      </c>
      <c r="F206" s="3" t="n">
        <v>48.16</v>
      </c>
      <c r="G206" s="3" t="s">
        <v>60</v>
      </c>
      <c r="H206" s="3" t="s">
        <v>60</v>
      </c>
      <c r="I206" s="3" t="n">
        <v>35487350</v>
      </c>
      <c r="J206" s="3" t="n">
        <v>324300</v>
      </c>
      <c r="K206" s="3" t="s">
        <v>61</v>
      </c>
      <c r="L206" s="3" t="s">
        <v>62</v>
      </c>
      <c r="M206" s="3" t="s">
        <v>540</v>
      </c>
      <c r="N206" s="3" t="n">
        <v>0</v>
      </c>
      <c r="O206" s="3" t="s">
        <v>64</v>
      </c>
      <c r="P206" s="3" t="s">
        <v>65</v>
      </c>
    </row>
    <row r="207" customFormat="false" ht="15" hidden="false" customHeight="false" outlineLevel="0" collapsed="false">
      <c r="A207" s="3" t="s">
        <v>533</v>
      </c>
      <c r="B207" s="3" t="s">
        <v>541</v>
      </c>
      <c r="C207" s="3" t="s">
        <v>542</v>
      </c>
      <c r="D207" s="4" t="n">
        <v>3921</v>
      </c>
      <c r="E207" s="3" t="s">
        <v>60</v>
      </c>
      <c r="F207" s="3" t="n">
        <v>51.62</v>
      </c>
      <c r="G207" s="3" t="s">
        <v>60</v>
      </c>
      <c r="H207" s="3" t="s">
        <v>60</v>
      </c>
      <c r="I207" s="3" t="n">
        <v>3597550</v>
      </c>
      <c r="J207" s="3" t="n">
        <v>167200</v>
      </c>
      <c r="K207" s="3" t="s">
        <v>61</v>
      </c>
      <c r="L207" s="3" t="s">
        <v>62</v>
      </c>
      <c r="M207" s="3" t="s">
        <v>543</v>
      </c>
      <c r="N207" s="3" t="n">
        <v>0</v>
      </c>
      <c r="O207" s="3" t="s">
        <v>69</v>
      </c>
      <c r="P207" s="3" t="s">
        <v>70</v>
      </c>
    </row>
    <row r="208" customFormat="false" ht="15" hidden="false" customHeight="false" outlineLevel="0" collapsed="false">
      <c r="A208" s="3" t="s">
        <v>533</v>
      </c>
      <c r="B208" s="3" t="s">
        <v>544</v>
      </c>
      <c r="C208" s="3" t="s">
        <v>545</v>
      </c>
      <c r="D208" s="4" t="n">
        <v>1314.6</v>
      </c>
      <c r="E208" s="3" t="s">
        <v>60</v>
      </c>
      <c r="F208" s="3" t="n">
        <v>59.46</v>
      </c>
      <c r="G208" s="3" t="s">
        <v>60</v>
      </c>
      <c r="H208" s="3" t="s">
        <v>60</v>
      </c>
      <c r="I208" s="3" t="n">
        <v>17110500</v>
      </c>
      <c r="J208" s="3" t="n">
        <v>978500</v>
      </c>
      <c r="K208" s="3" t="s">
        <v>61</v>
      </c>
      <c r="L208" s="3" t="s">
        <v>62</v>
      </c>
      <c r="M208" s="3" t="s">
        <v>546</v>
      </c>
      <c r="N208" s="3" t="n">
        <v>0</v>
      </c>
      <c r="O208" s="3" t="s">
        <v>64</v>
      </c>
      <c r="P208" s="3" t="s">
        <v>65</v>
      </c>
    </row>
    <row r="209" customFormat="false" ht="15" hidden="false" customHeight="false" outlineLevel="0" collapsed="false">
      <c r="A209" s="3" t="s">
        <v>533</v>
      </c>
      <c r="B209" s="3" t="s">
        <v>237</v>
      </c>
      <c r="C209" s="3" t="s">
        <v>238</v>
      </c>
      <c r="D209" s="4" t="n">
        <v>1924.5</v>
      </c>
      <c r="E209" s="3" t="s">
        <v>60</v>
      </c>
      <c r="F209" s="3" t="n">
        <v>65.24</v>
      </c>
      <c r="G209" s="3" t="s">
        <v>60</v>
      </c>
      <c r="H209" s="3" t="s">
        <v>60</v>
      </c>
      <c r="I209" s="3" t="n">
        <v>3121300</v>
      </c>
      <c r="J209" s="3" t="n">
        <v>115150</v>
      </c>
      <c r="K209" s="3" t="s">
        <v>61</v>
      </c>
      <c r="L209" s="3" t="s">
        <v>62</v>
      </c>
      <c r="M209" s="3" t="s">
        <v>547</v>
      </c>
      <c r="N209" s="3" t="n">
        <v>2</v>
      </c>
      <c r="O209" s="3" t="s">
        <v>69</v>
      </c>
      <c r="P209" s="3" t="s">
        <v>70</v>
      </c>
    </row>
    <row r="210" customFormat="false" ht="15" hidden="false" customHeight="false" outlineLevel="0" collapsed="false">
      <c r="A210" s="3" t="s">
        <v>533</v>
      </c>
      <c r="B210" s="3" t="s">
        <v>164</v>
      </c>
      <c r="C210" s="3" t="s">
        <v>165</v>
      </c>
      <c r="D210" s="4" t="n">
        <v>1505</v>
      </c>
      <c r="E210" s="3" t="s">
        <v>60</v>
      </c>
      <c r="F210" s="3" t="n">
        <v>52.84</v>
      </c>
      <c r="G210" s="3" t="s">
        <v>60</v>
      </c>
      <c r="H210" s="3" t="s">
        <v>60</v>
      </c>
      <c r="I210" s="3" t="n">
        <v>7687500</v>
      </c>
      <c r="J210" s="3" t="n">
        <v>80000</v>
      </c>
      <c r="K210" s="3" t="s">
        <v>61</v>
      </c>
      <c r="L210" s="3" t="s">
        <v>62</v>
      </c>
      <c r="M210" s="3" t="s">
        <v>548</v>
      </c>
      <c r="N210" s="3" t="n">
        <v>2</v>
      </c>
      <c r="O210" s="3" t="s">
        <v>64</v>
      </c>
      <c r="P210" s="3" t="s">
        <v>65</v>
      </c>
    </row>
    <row r="211" customFormat="false" ht="15" hidden="false" customHeight="false" outlineLevel="0" collapsed="false">
      <c r="A211" s="3" t="s">
        <v>533</v>
      </c>
      <c r="B211" s="3" t="s">
        <v>529</v>
      </c>
      <c r="C211" s="3" t="s">
        <v>530</v>
      </c>
      <c r="D211" s="4" t="n">
        <v>271.65</v>
      </c>
      <c r="E211" s="3" t="s">
        <v>60</v>
      </c>
      <c r="F211" s="3" t="n">
        <v>72.61</v>
      </c>
      <c r="G211" s="3" t="s">
        <v>60</v>
      </c>
      <c r="H211" s="3" t="s">
        <v>60</v>
      </c>
      <c r="I211" s="3" t="n">
        <v>87244200</v>
      </c>
      <c r="J211" s="3" t="n">
        <v>2099500</v>
      </c>
      <c r="K211" s="3" t="s">
        <v>61</v>
      </c>
      <c r="L211" s="3" t="s">
        <v>62</v>
      </c>
      <c r="M211" s="3" t="s">
        <v>549</v>
      </c>
      <c r="N211" s="3" t="n">
        <v>0</v>
      </c>
      <c r="O211" s="3" t="s">
        <v>100</v>
      </c>
      <c r="P211" s="3" t="s">
        <v>70</v>
      </c>
    </row>
    <row r="212" customFormat="false" ht="15" hidden="false" customHeight="false" outlineLevel="0" collapsed="false">
      <c r="A212" s="3" t="s">
        <v>533</v>
      </c>
      <c r="B212" s="3" t="s">
        <v>550</v>
      </c>
      <c r="C212" s="3" t="s">
        <v>551</v>
      </c>
      <c r="D212" s="4" t="n">
        <v>1667.1</v>
      </c>
      <c r="E212" s="3" t="s">
        <v>60</v>
      </c>
      <c r="F212" s="3" t="n">
        <v>68.55</v>
      </c>
      <c r="G212" s="3" t="s">
        <v>60</v>
      </c>
      <c r="H212" s="3" t="s">
        <v>60</v>
      </c>
      <c r="I212" s="3" t="n">
        <v>3950550</v>
      </c>
      <c r="J212" s="3" t="n">
        <v>103500</v>
      </c>
      <c r="K212" s="3" t="s">
        <v>61</v>
      </c>
      <c r="L212" s="3" t="s">
        <v>62</v>
      </c>
      <c r="M212" s="3" t="s">
        <v>552</v>
      </c>
      <c r="N212" s="3" t="n">
        <v>0</v>
      </c>
      <c r="O212" s="3" t="s">
        <v>64</v>
      </c>
      <c r="P212" s="3" t="s">
        <v>65</v>
      </c>
    </row>
    <row r="213" customFormat="false" ht="15" hidden="false" customHeight="false" outlineLevel="0" collapsed="false">
      <c r="A213" s="3" t="s">
        <v>533</v>
      </c>
      <c r="B213" s="3" t="s">
        <v>504</v>
      </c>
      <c r="C213" s="3" t="s">
        <v>505</v>
      </c>
      <c r="D213" s="4" t="n">
        <v>151.49</v>
      </c>
      <c r="E213" s="3" t="s">
        <v>60</v>
      </c>
      <c r="F213" s="3" t="n">
        <v>47.31</v>
      </c>
      <c r="G213" s="3" t="s">
        <v>60</v>
      </c>
      <c r="H213" s="3" t="s">
        <v>60</v>
      </c>
      <c r="I213" s="3" t="n">
        <v>118723000</v>
      </c>
      <c r="J213" s="3" t="n">
        <v>11885200</v>
      </c>
      <c r="K213" s="3" t="s">
        <v>61</v>
      </c>
      <c r="L213" s="3" t="s">
        <v>62</v>
      </c>
      <c r="M213" s="3" t="s">
        <v>553</v>
      </c>
      <c r="N213" s="3" t="n">
        <v>1</v>
      </c>
      <c r="O213" s="3" t="s">
        <v>64</v>
      </c>
      <c r="P213" s="3" t="s">
        <v>65</v>
      </c>
    </row>
    <row r="214" customFormat="false" ht="15" hidden="false" customHeight="false" outlineLevel="0" collapsed="false">
      <c r="A214" s="3" t="s">
        <v>533</v>
      </c>
      <c r="B214" s="3" t="s">
        <v>554</v>
      </c>
      <c r="C214" s="3" t="s">
        <v>555</v>
      </c>
      <c r="D214" s="4" t="n">
        <v>1403.8</v>
      </c>
      <c r="E214" s="3" t="s">
        <v>60</v>
      </c>
      <c r="F214" s="3" t="n">
        <v>50.31</v>
      </c>
      <c r="G214" s="3" t="s">
        <v>60</v>
      </c>
      <c r="H214" s="3" t="s">
        <v>60</v>
      </c>
      <c r="I214" s="3" t="n">
        <v>2822000</v>
      </c>
      <c r="J214" s="3" t="n">
        <v>1275</v>
      </c>
      <c r="K214" s="3" t="s">
        <v>61</v>
      </c>
      <c r="L214" s="3" t="s">
        <v>62</v>
      </c>
      <c r="M214" s="3" t="s">
        <v>556</v>
      </c>
      <c r="N214" s="3" t="n">
        <v>0</v>
      </c>
      <c r="O214" s="3" t="s">
        <v>64</v>
      </c>
      <c r="P214" s="3" t="s">
        <v>65</v>
      </c>
    </row>
    <row r="215" customFormat="false" ht="15" hidden="false" customHeight="false" outlineLevel="0" collapsed="false">
      <c r="A215" s="3" t="s">
        <v>557</v>
      </c>
      <c r="B215" s="3" t="s">
        <v>380</v>
      </c>
      <c r="C215" s="3" t="s">
        <v>381</v>
      </c>
      <c r="D215" s="4" t="n">
        <v>1231.3</v>
      </c>
      <c r="E215" s="3" t="s">
        <v>60</v>
      </c>
      <c r="F215" s="3" t="n">
        <v>59.43</v>
      </c>
      <c r="G215" s="3" t="s">
        <v>60</v>
      </c>
      <c r="H215" s="3" t="s">
        <v>60</v>
      </c>
      <c r="I215" s="3" t="n">
        <v>21931250</v>
      </c>
      <c r="J215" s="3" t="n">
        <v>488400</v>
      </c>
      <c r="K215" s="3" t="s">
        <v>61</v>
      </c>
      <c r="L215" s="3" t="s">
        <v>62</v>
      </c>
      <c r="M215" s="3" t="s">
        <v>558</v>
      </c>
      <c r="N215" s="3" t="n">
        <v>1</v>
      </c>
      <c r="O215" s="3" t="s">
        <v>64</v>
      </c>
      <c r="P215" s="3" t="s">
        <v>65</v>
      </c>
    </row>
    <row r="216" customFormat="false" ht="15" hidden="false" customHeight="false" outlineLevel="0" collapsed="false">
      <c r="A216" s="3" t="s">
        <v>557</v>
      </c>
      <c r="B216" s="3" t="s">
        <v>328</v>
      </c>
      <c r="C216" s="3" t="s">
        <v>329</v>
      </c>
      <c r="D216" s="4" t="n">
        <v>6129.5</v>
      </c>
      <c r="E216" s="3" t="s">
        <v>60</v>
      </c>
      <c r="F216" s="3" t="n">
        <v>51.9</v>
      </c>
      <c r="G216" s="3" t="s">
        <v>60</v>
      </c>
      <c r="H216" s="3" t="s">
        <v>60</v>
      </c>
      <c r="I216" s="3" t="n">
        <v>3021125</v>
      </c>
      <c r="J216" s="3" t="n">
        <v>33125</v>
      </c>
      <c r="K216" s="3" t="s">
        <v>61</v>
      </c>
      <c r="L216" s="3" t="s">
        <v>62</v>
      </c>
      <c r="M216" s="3" t="s">
        <v>559</v>
      </c>
      <c r="N216" s="3" t="n">
        <v>1</v>
      </c>
      <c r="O216" s="3" t="s">
        <v>100</v>
      </c>
      <c r="P216" s="3" t="s">
        <v>70</v>
      </c>
    </row>
    <row r="217" customFormat="false" ht="15" hidden="false" customHeight="false" outlineLevel="0" collapsed="false">
      <c r="A217" s="3" t="s">
        <v>557</v>
      </c>
      <c r="B217" s="3" t="s">
        <v>216</v>
      </c>
      <c r="C217" s="3" t="s">
        <v>217</v>
      </c>
      <c r="D217" s="4" t="n">
        <v>1530.8</v>
      </c>
      <c r="E217" s="3" t="s">
        <v>60</v>
      </c>
      <c r="F217" s="3" t="n">
        <v>69.3</v>
      </c>
      <c r="G217" s="3" t="s">
        <v>60</v>
      </c>
      <c r="H217" s="3" t="s">
        <v>60</v>
      </c>
      <c r="I217" s="3" t="n">
        <v>11902125</v>
      </c>
      <c r="J217" s="3" t="n">
        <v>64875</v>
      </c>
      <c r="K217" s="3" t="s">
        <v>61</v>
      </c>
      <c r="L217" s="3" t="s">
        <v>62</v>
      </c>
      <c r="M217" s="3" t="s">
        <v>560</v>
      </c>
      <c r="N217" s="3" t="n">
        <v>2</v>
      </c>
      <c r="O217" s="3" t="s">
        <v>64</v>
      </c>
      <c r="P217" s="3" t="s">
        <v>65</v>
      </c>
    </row>
    <row r="218" customFormat="false" ht="15" hidden="false" customHeight="false" outlineLevel="0" collapsed="false">
      <c r="A218" s="3" t="s">
        <v>557</v>
      </c>
      <c r="B218" s="3" t="s">
        <v>96</v>
      </c>
      <c r="C218" s="3" t="s">
        <v>97</v>
      </c>
      <c r="D218" s="4" t="n">
        <v>414.25</v>
      </c>
      <c r="E218" s="3" t="s">
        <v>60</v>
      </c>
      <c r="F218" s="3" t="n">
        <v>56.43</v>
      </c>
      <c r="G218" s="3" t="s">
        <v>60</v>
      </c>
      <c r="H218" s="3" t="s">
        <v>60</v>
      </c>
      <c r="I218" s="3" t="n">
        <v>19729100</v>
      </c>
      <c r="J218" s="3" t="n">
        <v>1230475</v>
      </c>
      <c r="K218" s="3" t="s">
        <v>61</v>
      </c>
      <c r="L218" s="3" t="s">
        <v>315</v>
      </c>
      <c r="M218" s="3" t="s">
        <v>561</v>
      </c>
      <c r="N218" s="3" t="n">
        <v>3</v>
      </c>
      <c r="O218" s="3" t="s">
        <v>317</v>
      </c>
      <c r="P218" s="3" t="s">
        <v>70</v>
      </c>
    </row>
    <row r="219" customFormat="false" ht="15" hidden="false" customHeight="false" outlineLevel="0" collapsed="false">
      <c r="A219" s="3" t="s">
        <v>557</v>
      </c>
      <c r="B219" s="3" t="s">
        <v>562</v>
      </c>
      <c r="C219" s="3" t="s">
        <v>563</v>
      </c>
      <c r="D219" s="4" t="n">
        <v>2865.3</v>
      </c>
      <c r="E219" s="3" t="s">
        <v>60</v>
      </c>
      <c r="F219" s="3" t="n">
        <v>67.58</v>
      </c>
      <c r="G219" s="3" t="s">
        <v>60</v>
      </c>
      <c r="H219" s="3" t="s">
        <v>60</v>
      </c>
      <c r="I219" s="3" t="n">
        <v>16094250</v>
      </c>
      <c r="J219" s="3" t="n">
        <v>200000</v>
      </c>
      <c r="K219" s="3" t="s">
        <v>61</v>
      </c>
      <c r="L219" s="3" t="s">
        <v>62</v>
      </c>
      <c r="M219" s="3" t="s">
        <v>564</v>
      </c>
      <c r="N219" s="3" t="n">
        <v>0</v>
      </c>
      <c r="O219" s="3" t="s">
        <v>64</v>
      </c>
      <c r="P219" s="3" t="s">
        <v>65</v>
      </c>
    </row>
    <row r="220" customFormat="false" ht="15" hidden="false" customHeight="false" outlineLevel="0" collapsed="false">
      <c r="A220" s="3" t="s">
        <v>557</v>
      </c>
      <c r="B220" s="3" t="s">
        <v>565</v>
      </c>
      <c r="C220" s="3" t="s">
        <v>566</v>
      </c>
      <c r="D220" s="4" t="n">
        <v>1501.7</v>
      </c>
      <c r="E220" s="3" t="s">
        <v>60</v>
      </c>
      <c r="F220" s="3" t="n">
        <v>59.16</v>
      </c>
      <c r="G220" s="3" t="s">
        <v>60</v>
      </c>
      <c r="H220" s="3" t="s">
        <v>60</v>
      </c>
      <c r="I220" s="3" t="n">
        <v>8278500</v>
      </c>
      <c r="J220" s="3" t="n">
        <v>743000</v>
      </c>
      <c r="K220" s="3" t="s">
        <v>61</v>
      </c>
      <c r="L220" s="3" t="s">
        <v>62</v>
      </c>
      <c r="M220" s="3" t="s">
        <v>567</v>
      </c>
      <c r="N220" s="3" t="n">
        <v>0</v>
      </c>
      <c r="O220" s="3" t="s">
        <v>64</v>
      </c>
      <c r="P220" s="3" t="s">
        <v>65</v>
      </c>
    </row>
    <row r="221" customFormat="false" ht="15" hidden="false" customHeight="false" outlineLevel="0" collapsed="false">
      <c r="A221" s="3" t="s">
        <v>557</v>
      </c>
      <c r="B221" s="3" t="s">
        <v>399</v>
      </c>
      <c r="C221" s="3" t="s">
        <v>400</v>
      </c>
      <c r="D221" s="4" t="n">
        <v>777.85</v>
      </c>
      <c r="E221" s="3" t="s">
        <v>60</v>
      </c>
      <c r="F221" s="3" t="n">
        <v>48.74</v>
      </c>
      <c r="G221" s="3" t="s">
        <v>60</v>
      </c>
      <c r="H221" s="3" t="s">
        <v>60</v>
      </c>
      <c r="I221" s="3" t="n">
        <v>35880900</v>
      </c>
      <c r="J221" s="3" t="n">
        <v>693000</v>
      </c>
      <c r="K221" s="3" t="s">
        <v>61</v>
      </c>
      <c r="L221" s="3" t="s">
        <v>62</v>
      </c>
      <c r="M221" s="3" t="s">
        <v>568</v>
      </c>
      <c r="N221" s="3" t="n">
        <v>1</v>
      </c>
      <c r="O221" s="3" t="s">
        <v>64</v>
      </c>
      <c r="P221" s="3" t="s">
        <v>65</v>
      </c>
    </row>
    <row r="222" customFormat="false" ht="15" hidden="false" customHeight="false" outlineLevel="0" collapsed="false">
      <c r="A222" s="3" t="s">
        <v>557</v>
      </c>
      <c r="B222" s="3" t="s">
        <v>245</v>
      </c>
      <c r="C222" s="3" t="s">
        <v>246</v>
      </c>
      <c r="D222" s="4" t="n">
        <v>2424.7</v>
      </c>
      <c r="E222" s="3" t="s">
        <v>60</v>
      </c>
      <c r="F222" s="3" t="n">
        <v>53.69</v>
      </c>
      <c r="G222" s="3" t="s">
        <v>60</v>
      </c>
      <c r="H222" s="3" t="s">
        <v>60</v>
      </c>
      <c r="I222" s="3" t="n">
        <v>13144500</v>
      </c>
      <c r="J222" s="3" t="n">
        <v>661800</v>
      </c>
      <c r="K222" s="3" t="s">
        <v>61</v>
      </c>
      <c r="L222" s="3" t="s">
        <v>62</v>
      </c>
      <c r="M222" s="3" t="s">
        <v>569</v>
      </c>
      <c r="N222" s="3" t="n">
        <v>1</v>
      </c>
      <c r="O222" s="3" t="s">
        <v>64</v>
      </c>
      <c r="P222" s="3" t="s">
        <v>65</v>
      </c>
    </row>
    <row r="223" customFormat="false" ht="15" hidden="false" customHeight="false" outlineLevel="0" collapsed="false">
      <c r="A223" s="3" t="s">
        <v>557</v>
      </c>
      <c r="B223" s="3" t="s">
        <v>296</v>
      </c>
      <c r="C223" s="3" t="s">
        <v>297</v>
      </c>
      <c r="D223" s="4" t="n">
        <v>2149.7</v>
      </c>
      <c r="E223" s="3" t="s">
        <v>60</v>
      </c>
      <c r="F223" s="3" t="n">
        <v>69.96</v>
      </c>
      <c r="G223" s="3" t="s">
        <v>60</v>
      </c>
      <c r="H223" s="3" t="s">
        <v>60</v>
      </c>
      <c r="I223" s="3" t="n">
        <v>7101750</v>
      </c>
      <c r="J223" s="3" t="n">
        <v>161075</v>
      </c>
      <c r="K223" s="3" t="s">
        <v>61</v>
      </c>
      <c r="L223" s="3" t="s">
        <v>62</v>
      </c>
      <c r="M223" s="3" t="s">
        <v>570</v>
      </c>
      <c r="N223" s="3" t="n">
        <v>1</v>
      </c>
      <c r="O223" s="3" t="s">
        <v>64</v>
      </c>
      <c r="P223" s="3" t="s">
        <v>65</v>
      </c>
    </row>
    <row r="224" customFormat="false" ht="15" hidden="false" customHeight="false" outlineLevel="0" collapsed="false">
      <c r="A224" s="3" t="s">
        <v>557</v>
      </c>
      <c r="B224" s="3" t="s">
        <v>80</v>
      </c>
      <c r="C224" s="3" t="s">
        <v>81</v>
      </c>
      <c r="D224" s="4" t="n">
        <v>1731.3</v>
      </c>
      <c r="E224" s="3" t="s">
        <v>60</v>
      </c>
      <c r="F224" s="3" t="n">
        <v>58.28</v>
      </c>
      <c r="G224" s="3" t="s">
        <v>60</v>
      </c>
      <c r="H224" s="3" t="s">
        <v>60</v>
      </c>
      <c r="I224" s="3" t="n">
        <v>8769600</v>
      </c>
      <c r="J224" s="3" t="n">
        <v>248000</v>
      </c>
      <c r="K224" s="3" t="s">
        <v>61</v>
      </c>
      <c r="L224" s="3" t="s">
        <v>62</v>
      </c>
      <c r="M224" s="3" t="s">
        <v>571</v>
      </c>
      <c r="N224" s="3" t="n">
        <v>2</v>
      </c>
      <c r="O224" s="3" t="s">
        <v>64</v>
      </c>
      <c r="P224" s="3" t="s">
        <v>65</v>
      </c>
    </row>
    <row r="225" customFormat="false" ht="15" hidden="false" customHeight="false" outlineLevel="0" collapsed="false">
      <c r="A225" s="3" t="s">
        <v>557</v>
      </c>
      <c r="B225" s="3" t="s">
        <v>541</v>
      </c>
      <c r="C225" s="3" t="s">
        <v>542</v>
      </c>
      <c r="D225" s="4" t="n">
        <v>3940.7</v>
      </c>
      <c r="E225" s="3" t="s">
        <v>60</v>
      </c>
      <c r="F225" s="3" t="n">
        <v>46.66</v>
      </c>
      <c r="G225" s="3" t="s">
        <v>60</v>
      </c>
      <c r="H225" s="3" t="s">
        <v>60</v>
      </c>
      <c r="I225" s="3" t="n">
        <v>3629175</v>
      </c>
      <c r="J225" s="3" t="n">
        <v>31625</v>
      </c>
      <c r="K225" s="3" t="s">
        <v>61</v>
      </c>
      <c r="L225" s="3" t="s">
        <v>62</v>
      </c>
      <c r="M225" s="3" t="s">
        <v>572</v>
      </c>
      <c r="N225" s="3" t="n">
        <v>0</v>
      </c>
      <c r="O225" s="3" t="s">
        <v>100</v>
      </c>
      <c r="P225" s="3" t="s">
        <v>70</v>
      </c>
    </row>
    <row r="226" customFormat="false" ht="15" hidden="false" customHeight="false" outlineLevel="0" collapsed="false">
      <c r="A226" s="3" t="s">
        <v>557</v>
      </c>
      <c r="B226" s="3" t="s">
        <v>237</v>
      </c>
      <c r="C226" s="3" t="s">
        <v>238</v>
      </c>
      <c r="D226" s="4" t="n">
        <v>1950.8</v>
      </c>
      <c r="E226" s="3" t="s">
        <v>60</v>
      </c>
      <c r="F226" s="3" t="n">
        <v>49.31</v>
      </c>
      <c r="G226" s="3" t="s">
        <v>60</v>
      </c>
      <c r="H226" s="3" t="s">
        <v>60</v>
      </c>
      <c r="I226" s="3" t="n">
        <v>3373650</v>
      </c>
      <c r="J226" s="3" t="n">
        <v>252350</v>
      </c>
      <c r="K226" s="3" t="s">
        <v>61</v>
      </c>
      <c r="L226" s="3" t="s">
        <v>62</v>
      </c>
      <c r="M226" s="3" t="s">
        <v>573</v>
      </c>
      <c r="N226" s="3" t="n">
        <v>2</v>
      </c>
      <c r="O226" s="3" t="s">
        <v>100</v>
      </c>
      <c r="P226" s="3" t="s">
        <v>70</v>
      </c>
    </row>
    <row r="227" customFormat="false" ht="15" hidden="false" customHeight="false" outlineLevel="0" collapsed="false">
      <c r="A227" s="3" t="s">
        <v>557</v>
      </c>
      <c r="B227" s="3" t="s">
        <v>574</v>
      </c>
      <c r="C227" s="3" t="s">
        <v>575</v>
      </c>
      <c r="D227" s="4" t="n">
        <v>382.85</v>
      </c>
      <c r="E227" s="3" t="s">
        <v>60</v>
      </c>
      <c r="F227" s="3" t="n">
        <v>46.73</v>
      </c>
      <c r="G227" s="3" t="s">
        <v>60</v>
      </c>
      <c r="H227" s="3" t="s">
        <v>60</v>
      </c>
      <c r="I227" s="3" t="n">
        <v>77518000</v>
      </c>
      <c r="J227" s="3" t="n">
        <v>453600</v>
      </c>
      <c r="K227" s="3" t="s">
        <v>61</v>
      </c>
      <c r="L227" s="3" t="s">
        <v>62</v>
      </c>
      <c r="M227" s="3" t="s">
        <v>576</v>
      </c>
      <c r="N227" s="3" t="n">
        <v>0</v>
      </c>
      <c r="O227" s="3" t="s">
        <v>64</v>
      </c>
      <c r="P227" s="3" t="s">
        <v>65</v>
      </c>
    </row>
    <row r="228" customFormat="false" ht="15" hidden="false" customHeight="false" outlineLevel="0" collapsed="false">
      <c r="A228" s="3" t="s">
        <v>557</v>
      </c>
      <c r="B228" s="3" t="s">
        <v>300</v>
      </c>
      <c r="C228" s="3" t="s">
        <v>301</v>
      </c>
      <c r="D228" s="4" t="n">
        <v>1018.9</v>
      </c>
      <c r="E228" s="3" t="s">
        <v>60</v>
      </c>
      <c r="F228" s="3" t="n">
        <v>59.11</v>
      </c>
      <c r="G228" s="3" t="s">
        <v>60</v>
      </c>
      <c r="H228" s="3" t="s">
        <v>60</v>
      </c>
      <c r="I228" s="3" t="n">
        <v>75516750</v>
      </c>
      <c r="J228" s="3" t="n">
        <v>663750</v>
      </c>
      <c r="K228" s="3" t="s">
        <v>61</v>
      </c>
      <c r="L228" s="3" t="s">
        <v>62</v>
      </c>
      <c r="M228" s="3" t="s">
        <v>577</v>
      </c>
      <c r="N228" s="3" t="n">
        <v>1</v>
      </c>
      <c r="O228" s="3" t="s">
        <v>64</v>
      </c>
      <c r="P228" s="3" t="s">
        <v>65</v>
      </c>
    </row>
    <row r="229" customFormat="false" ht="15" hidden="false" customHeight="false" outlineLevel="0" collapsed="false">
      <c r="A229" s="3" t="s">
        <v>557</v>
      </c>
      <c r="B229" s="3" t="s">
        <v>142</v>
      </c>
      <c r="C229" s="3" t="s">
        <v>143</v>
      </c>
      <c r="D229" s="4" t="n">
        <v>1210.4</v>
      </c>
      <c r="E229" s="3" t="s">
        <v>60</v>
      </c>
      <c r="F229" s="3" t="n">
        <v>52.78</v>
      </c>
      <c r="G229" s="3" t="s">
        <v>60</v>
      </c>
      <c r="H229" s="3" t="s">
        <v>60</v>
      </c>
      <c r="I229" s="3" t="n">
        <v>11570350</v>
      </c>
      <c r="J229" s="3" t="n">
        <v>53350</v>
      </c>
      <c r="K229" s="3" t="s">
        <v>61</v>
      </c>
      <c r="L229" s="3" t="s">
        <v>62</v>
      </c>
      <c r="M229" s="3" t="s">
        <v>578</v>
      </c>
      <c r="N229" s="3" t="n">
        <v>2</v>
      </c>
      <c r="O229" s="3" t="s">
        <v>64</v>
      </c>
      <c r="P229" s="3" t="s">
        <v>65</v>
      </c>
    </row>
    <row r="230" customFormat="false" ht="15" hidden="false" customHeight="false" outlineLevel="0" collapsed="false">
      <c r="A230" s="3" t="s">
        <v>557</v>
      </c>
      <c r="B230" s="3" t="s">
        <v>579</v>
      </c>
      <c r="C230" s="3" t="s">
        <v>580</v>
      </c>
      <c r="D230" s="4" t="n">
        <v>498.85</v>
      </c>
      <c r="E230" s="3" t="s">
        <v>60</v>
      </c>
      <c r="F230" s="3" t="n">
        <v>53.55</v>
      </c>
      <c r="G230" s="3" t="s">
        <v>60</v>
      </c>
      <c r="H230" s="3" t="s">
        <v>60</v>
      </c>
      <c r="I230" s="3" t="n">
        <v>49946625</v>
      </c>
      <c r="J230" s="3" t="n">
        <v>519750</v>
      </c>
      <c r="K230" s="3" t="s">
        <v>61</v>
      </c>
      <c r="L230" s="3" t="s">
        <v>62</v>
      </c>
      <c r="M230" s="3" t="s">
        <v>581</v>
      </c>
      <c r="N230" s="3" t="n">
        <v>0</v>
      </c>
      <c r="O230" s="3" t="s">
        <v>69</v>
      </c>
      <c r="P230" s="3" t="s">
        <v>70</v>
      </c>
    </row>
    <row r="231" customFormat="false" ht="15" hidden="false" customHeight="false" outlineLevel="0" collapsed="false">
      <c r="A231" s="3" t="s">
        <v>557</v>
      </c>
      <c r="B231" s="3" t="s">
        <v>159</v>
      </c>
      <c r="C231" s="3" t="s">
        <v>160</v>
      </c>
      <c r="D231" s="4" t="n">
        <v>1486.2</v>
      </c>
      <c r="E231" s="3" t="s">
        <v>60</v>
      </c>
      <c r="F231" s="3" t="n">
        <v>47.62</v>
      </c>
      <c r="G231" s="3" t="s">
        <v>60</v>
      </c>
      <c r="H231" s="3" t="s">
        <v>60</v>
      </c>
      <c r="I231" s="3" t="n">
        <v>10131375</v>
      </c>
      <c r="J231" s="3" t="n">
        <v>84750</v>
      </c>
      <c r="K231" s="3" t="s">
        <v>61</v>
      </c>
      <c r="L231" s="3" t="s">
        <v>62</v>
      </c>
      <c r="M231" s="3" t="s">
        <v>582</v>
      </c>
      <c r="N231" s="3" t="n">
        <v>1</v>
      </c>
      <c r="O231" s="3" t="s">
        <v>64</v>
      </c>
      <c r="P231" s="3" t="s">
        <v>65</v>
      </c>
    </row>
    <row r="232" customFormat="false" ht="15" hidden="false" customHeight="false" outlineLevel="0" collapsed="false">
      <c r="A232" s="3" t="s">
        <v>583</v>
      </c>
      <c r="B232" s="3" t="s">
        <v>333</v>
      </c>
      <c r="C232" s="3" t="s">
        <v>334</v>
      </c>
      <c r="D232" s="4" t="n">
        <v>5806.5</v>
      </c>
      <c r="E232" s="3" t="s">
        <v>60</v>
      </c>
      <c r="F232" s="3" t="n">
        <v>51.07</v>
      </c>
      <c r="G232" s="3" t="s">
        <v>60</v>
      </c>
      <c r="H232" s="3" t="s">
        <v>60</v>
      </c>
      <c r="I232" s="3" t="n">
        <v>1492000</v>
      </c>
      <c r="J232" s="3" t="n">
        <v>4750</v>
      </c>
      <c r="K232" s="3" t="s">
        <v>61</v>
      </c>
      <c r="L232" s="3" t="s">
        <v>62</v>
      </c>
      <c r="M232" s="3" t="s">
        <v>584</v>
      </c>
      <c r="N232" s="3" t="n">
        <v>1</v>
      </c>
      <c r="O232" s="3" t="s">
        <v>64</v>
      </c>
      <c r="P232" s="3" t="s">
        <v>65</v>
      </c>
    </row>
    <row r="233" customFormat="false" ht="15" hidden="false" customHeight="false" outlineLevel="0" collapsed="false">
      <c r="A233" s="3" t="s">
        <v>583</v>
      </c>
      <c r="B233" s="3" t="s">
        <v>585</v>
      </c>
      <c r="C233" s="3" t="s">
        <v>586</v>
      </c>
      <c r="D233" s="4" t="n">
        <v>7447.5</v>
      </c>
      <c r="E233" s="3" t="s">
        <v>60</v>
      </c>
      <c r="F233" s="3" t="n">
        <v>49.24</v>
      </c>
      <c r="G233" s="3" t="s">
        <v>60</v>
      </c>
      <c r="H233" s="3" t="s">
        <v>60</v>
      </c>
      <c r="I233" s="3" t="n">
        <v>2986000</v>
      </c>
      <c r="J233" s="3" t="n">
        <v>65000</v>
      </c>
      <c r="K233" s="3" t="s">
        <v>61</v>
      </c>
      <c r="L233" s="3" t="s">
        <v>62</v>
      </c>
      <c r="M233" s="3" t="s">
        <v>587</v>
      </c>
      <c r="N233" s="3" t="n">
        <v>0</v>
      </c>
      <c r="O233" s="3" t="s">
        <v>64</v>
      </c>
      <c r="P233" s="3" t="s">
        <v>65</v>
      </c>
    </row>
    <row r="234" customFormat="false" ht="15" hidden="false" customHeight="false" outlineLevel="0" collapsed="false">
      <c r="A234" s="3" t="s">
        <v>583</v>
      </c>
      <c r="B234" s="3" t="s">
        <v>199</v>
      </c>
      <c r="C234" s="3" t="s">
        <v>200</v>
      </c>
      <c r="D234" s="4" t="n">
        <v>387.05</v>
      </c>
      <c r="E234" s="3" t="s">
        <v>60</v>
      </c>
      <c r="F234" s="3" t="n">
        <v>51.52</v>
      </c>
      <c r="G234" s="3" t="s">
        <v>60</v>
      </c>
      <c r="H234" s="3" t="s">
        <v>60</v>
      </c>
      <c r="I234" s="3" t="n">
        <v>45630000</v>
      </c>
      <c r="J234" s="3" t="n">
        <v>1602500</v>
      </c>
      <c r="K234" s="3" t="s">
        <v>61</v>
      </c>
      <c r="L234" s="3" t="s">
        <v>62</v>
      </c>
      <c r="M234" s="3" t="s">
        <v>588</v>
      </c>
      <c r="N234" s="3" t="n">
        <v>4</v>
      </c>
      <c r="O234" s="3" t="s">
        <v>64</v>
      </c>
      <c r="P234" s="3" t="s">
        <v>65</v>
      </c>
    </row>
    <row r="235" customFormat="false" ht="15" hidden="false" customHeight="false" outlineLevel="0" collapsed="false">
      <c r="A235" s="3" t="s">
        <v>583</v>
      </c>
      <c r="B235" s="3" t="s">
        <v>96</v>
      </c>
      <c r="C235" s="3" t="s">
        <v>97</v>
      </c>
      <c r="D235" s="4" t="n">
        <v>422.25</v>
      </c>
      <c r="E235" s="3" t="s">
        <v>60</v>
      </c>
      <c r="F235" s="3" t="n">
        <v>54.17</v>
      </c>
      <c r="G235" s="3" t="s">
        <v>60</v>
      </c>
      <c r="H235" s="3" t="s">
        <v>60</v>
      </c>
      <c r="I235" s="3" t="n">
        <v>21111050</v>
      </c>
      <c r="J235" s="3" t="n">
        <v>1381950</v>
      </c>
      <c r="K235" s="3" t="s">
        <v>61</v>
      </c>
      <c r="L235" s="3" t="s">
        <v>62</v>
      </c>
      <c r="M235" s="3" t="s">
        <v>589</v>
      </c>
      <c r="N235" s="3" t="n">
        <v>3</v>
      </c>
      <c r="O235" s="3" t="s">
        <v>324</v>
      </c>
      <c r="P235" s="3" t="s">
        <v>70</v>
      </c>
    </row>
    <row r="236" customFormat="false" ht="15" hidden="false" customHeight="false" outlineLevel="0" collapsed="false">
      <c r="A236" s="3" t="s">
        <v>583</v>
      </c>
      <c r="B236" s="3" t="s">
        <v>360</v>
      </c>
      <c r="C236" s="3" t="s">
        <v>361</v>
      </c>
      <c r="D236" s="4" t="n">
        <v>280.95</v>
      </c>
      <c r="E236" s="3" t="s">
        <v>60</v>
      </c>
      <c r="F236" s="3" t="n">
        <v>62.92</v>
      </c>
      <c r="G236" s="3" t="s">
        <v>60</v>
      </c>
      <c r="H236" s="3" t="s">
        <v>60</v>
      </c>
      <c r="I236" s="3" t="n">
        <v>282750150</v>
      </c>
      <c r="J236" s="3" t="n">
        <v>7619350</v>
      </c>
      <c r="K236" s="3" t="s">
        <v>61</v>
      </c>
      <c r="L236" s="3" t="s">
        <v>62</v>
      </c>
      <c r="M236" s="3" t="s">
        <v>590</v>
      </c>
      <c r="N236" s="3" t="n">
        <v>1</v>
      </c>
      <c r="O236" s="3" t="s">
        <v>64</v>
      </c>
      <c r="P236" s="3" t="s">
        <v>65</v>
      </c>
    </row>
    <row r="237" customFormat="false" ht="15" hidden="false" customHeight="false" outlineLevel="0" collapsed="false">
      <c r="A237" s="3" t="s">
        <v>583</v>
      </c>
      <c r="B237" s="3" t="s">
        <v>591</v>
      </c>
      <c r="C237" s="3" t="s">
        <v>592</v>
      </c>
      <c r="D237" s="4" t="n">
        <v>1647.7</v>
      </c>
      <c r="E237" s="3" t="s">
        <v>60</v>
      </c>
      <c r="F237" s="3" t="n">
        <v>64.3</v>
      </c>
      <c r="G237" s="3" t="s">
        <v>60</v>
      </c>
      <c r="H237" s="3" t="s">
        <v>60</v>
      </c>
      <c r="I237" s="3" t="n">
        <v>17290700</v>
      </c>
      <c r="J237" s="3" t="n">
        <v>1119650</v>
      </c>
      <c r="K237" s="3" t="s">
        <v>61</v>
      </c>
      <c r="L237" s="3" t="s">
        <v>62</v>
      </c>
      <c r="M237" s="3" t="s">
        <v>593</v>
      </c>
      <c r="N237" s="3" t="n">
        <v>0</v>
      </c>
      <c r="O237" s="3" t="s">
        <v>64</v>
      </c>
      <c r="P237" s="3" t="s">
        <v>65</v>
      </c>
    </row>
    <row r="238" customFormat="false" ht="15" hidden="false" customHeight="false" outlineLevel="0" collapsed="false">
      <c r="A238" s="3" t="s">
        <v>583</v>
      </c>
      <c r="B238" s="3" t="s">
        <v>525</v>
      </c>
      <c r="C238" s="3" t="s">
        <v>526</v>
      </c>
      <c r="D238" s="4" t="n">
        <v>303.5</v>
      </c>
      <c r="E238" s="3" t="s">
        <v>60</v>
      </c>
      <c r="F238" s="3" t="n">
        <v>57.98</v>
      </c>
      <c r="G238" s="3" t="s">
        <v>60</v>
      </c>
      <c r="H238" s="3" t="s">
        <v>60</v>
      </c>
      <c r="I238" s="3" t="n">
        <v>152129600</v>
      </c>
      <c r="J238" s="3" t="n">
        <v>2930450</v>
      </c>
      <c r="K238" s="3" t="s">
        <v>61</v>
      </c>
      <c r="L238" s="3" t="s">
        <v>62</v>
      </c>
      <c r="M238" s="3" t="s">
        <v>594</v>
      </c>
      <c r="N238" s="3" t="n">
        <v>1</v>
      </c>
      <c r="O238" s="3" t="s">
        <v>64</v>
      </c>
      <c r="P238" s="3" t="s">
        <v>65</v>
      </c>
    </row>
    <row r="239" customFormat="false" ht="15" hidden="false" customHeight="false" outlineLevel="0" collapsed="false">
      <c r="A239" s="3" t="s">
        <v>583</v>
      </c>
      <c r="B239" s="3" t="s">
        <v>595</v>
      </c>
      <c r="C239" s="3" t="s">
        <v>596</v>
      </c>
      <c r="D239" s="4" t="n">
        <v>1359.4</v>
      </c>
      <c r="E239" s="3" t="s">
        <v>60</v>
      </c>
      <c r="F239" s="3" t="n">
        <v>54.26</v>
      </c>
      <c r="G239" s="3" t="s">
        <v>60</v>
      </c>
      <c r="H239" s="3" t="s">
        <v>60</v>
      </c>
      <c r="I239" s="3" t="n">
        <v>7963500</v>
      </c>
      <c r="J239" s="3" t="n">
        <v>68250</v>
      </c>
      <c r="K239" s="3" t="s">
        <v>61</v>
      </c>
      <c r="L239" s="3" t="s">
        <v>62</v>
      </c>
      <c r="M239" s="3" t="s">
        <v>597</v>
      </c>
      <c r="N239" s="3" t="n">
        <v>0</v>
      </c>
      <c r="O239" s="3" t="s">
        <v>64</v>
      </c>
      <c r="P239" s="3" t="s">
        <v>65</v>
      </c>
    </row>
    <row r="240" customFormat="false" ht="15" hidden="false" customHeight="false" outlineLevel="0" collapsed="false">
      <c r="A240" s="3" t="s">
        <v>583</v>
      </c>
      <c r="B240" s="3" t="s">
        <v>145</v>
      </c>
      <c r="C240" s="3" t="s">
        <v>146</v>
      </c>
      <c r="D240" s="4" t="n">
        <v>1625.2</v>
      </c>
      <c r="E240" s="3" t="s">
        <v>60</v>
      </c>
      <c r="F240" s="3" t="n">
        <v>54.03</v>
      </c>
      <c r="G240" s="3" t="s">
        <v>60</v>
      </c>
      <c r="H240" s="3" t="s">
        <v>60</v>
      </c>
      <c r="I240" s="3" t="n">
        <v>19499400</v>
      </c>
      <c r="J240" s="3" t="n">
        <v>147000</v>
      </c>
      <c r="K240" s="3" t="s">
        <v>61</v>
      </c>
      <c r="L240" s="3" t="s">
        <v>62</v>
      </c>
      <c r="M240" s="3" t="s">
        <v>598</v>
      </c>
      <c r="N240" s="3" t="n">
        <v>3</v>
      </c>
      <c r="O240" s="3" t="s">
        <v>64</v>
      </c>
      <c r="P240" s="3" t="s">
        <v>65</v>
      </c>
    </row>
    <row r="241" customFormat="false" ht="15" hidden="false" customHeight="false" outlineLevel="0" collapsed="false">
      <c r="A241" s="3" t="s">
        <v>583</v>
      </c>
      <c r="B241" s="3" t="s">
        <v>148</v>
      </c>
      <c r="C241" s="3" t="s">
        <v>149</v>
      </c>
      <c r="D241" s="4" t="n">
        <v>4092.2</v>
      </c>
      <c r="E241" s="3" t="s">
        <v>60</v>
      </c>
      <c r="F241" s="3" t="n">
        <v>48.99</v>
      </c>
      <c r="G241" s="3" t="s">
        <v>60</v>
      </c>
      <c r="H241" s="3" t="s">
        <v>60</v>
      </c>
      <c r="I241" s="3" t="n">
        <v>2248250</v>
      </c>
      <c r="J241" s="3" t="n">
        <v>123500</v>
      </c>
      <c r="K241" s="3" t="s">
        <v>61</v>
      </c>
      <c r="L241" s="3" t="s">
        <v>62</v>
      </c>
      <c r="M241" s="3" t="s">
        <v>599</v>
      </c>
      <c r="N241" s="3" t="n">
        <v>1</v>
      </c>
      <c r="O241" s="3" t="s">
        <v>64</v>
      </c>
      <c r="P241" s="3" t="s">
        <v>65</v>
      </c>
    </row>
    <row r="242" customFormat="false" ht="15" hidden="false" customHeight="false" outlineLevel="0" collapsed="false">
      <c r="A242" s="3" t="s">
        <v>583</v>
      </c>
      <c r="B242" s="3" t="s">
        <v>579</v>
      </c>
      <c r="C242" s="3" t="s">
        <v>580</v>
      </c>
      <c r="D242" s="4" t="n">
        <v>509.7</v>
      </c>
      <c r="E242" s="3" t="s">
        <v>60</v>
      </c>
      <c r="F242" s="3" t="n">
        <v>47.71</v>
      </c>
      <c r="G242" s="3" t="s">
        <v>60</v>
      </c>
      <c r="H242" s="3" t="s">
        <v>60</v>
      </c>
      <c r="I242" s="3" t="n">
        <v>50779125</v>
      </c>
      <c r="J242" s="3" t="n">
        <v>832500</v>
      </c>
      <c r="K242" s="3" t="s">
        <v>61</v>
      </c>
      <c r="L242" s="3" t="s">
        <v>62</v>
      </c>
      <c r="M242" s="3" t="s">
        <v>600</v>
      </c>
      <c r="N242" s="3" t="n">
        <v>0</v>
      </c>
      <c r="O242" s="3" t="s">
        <v>100</v>
      </c>
      <c r="P242" s="3" t="s">
        <v>70</v>
      </c>
    </row>
    <row r="243" customFormat="false" ht="15" hidden="false" customHeight="false" outlineLevel="0" collapsed="false">
      <c r="A243" s="3" t="s">
        <v>601</v>
      </c>
      <c r="B243" s="3" t="s">
        <v>602</v>
      </c>
      <c r="C243" s="3" t="s">
        <v>603</v>
      </c>
      <c r="D243" s="4" t="n">
        <v>1435</v>
      </c>
      <c r="E243" s="3" t="s">
        <v>60</v>
      </c>
      <c r="F243" s="3" t="n">
        <v>71.19</v>
      </c>
      <c r="G243" s="3" t="s">
        <v>60</v>
      </c>
      <c r="H243" s="3" t="s">
        <v>60</v>
      </c>
      <c r="I243" s="3" t="n">
        <v>110668600</v>
      </c>
      <c r="J243" s="3" t="n">
        <v>255500</v>
      </c>
      <c r="K243" s="3" t="s">
        <v>61</v>
      </c>
      <c r="L243" s="3" t="s">
        <v>62</v>
      </c>
      <c r="M243" s="3" t="s">
        <v>604</v>
      </c>
      <c r="N243" s="3" t="n">
        <v>0</v>
      </c>
      <c r="O243" s="3" t="s">
        <v>64</v>
      </c>
      <c r="P243" s="3" t="s">
        <v>65</v>
      </c>
    </row>
    <row r="244" customFormat="false" ht="15" hidden="false" customHeight="false" outlineLevel="0" collapsed="false">
      <c r="A244" s="3" t="s">
        <v>601</v>
      </c>
      <c r="B244" s="3" t="s">
        <v>605</v>
      </c>
      <c r="C244" s="3" t="s">
        <v>606</v>
      </c>
      <c r="D244" s="4" t="n">
        <v>430.85</v>
      </c>
      <c r="E244" s="3" t="s">
        <v>60</v>
      </c>
      <c r="F244" s="3" t="n">
        <v>51.16</v>
      </c>
      <c r="G244" s="3" t="s">
        <v>60</v>
      </c>
      <c r="H244" s="3" t="s">
        <v>60</v>
      </c>
      <c r="I244" s="3" t="n">
        <v>94276900</v>
      </c>
      <c r="J244" s="3" t="n">
        <v>2524500</v>
      </c>
      <c r="K244" s="3" t="s">
        <v>61</v>
      </c>
      <c r="L244" s="3" t="s">
        <v>62</v>
      </c>
      <c r="M244" s="3" t="s">
        <v>607</v>
      </c>
      <c r="N244" s="3" t="n">
        <v>0</v>
      </c>
      <c r="O244" s="3" t="s">
        <v>64</v>
      </c>
      <c r="P244" s="3" t="s">
        <v>65</v>
      </c>
    </row>
    <row r="245" customFormat="false" ht="15" hidden="false" customHeight="false" outlineLevel="0" collapsed="false">
      <c r="A245" s="3" t="s">
        <v>601</v>
      </c>
      <c r="B245" s="3" t="s">
        <v>608</v>
      </c>
      <c r="C245" s="3" t="s">
        <v>609</v>
      </c>
      <c r="D245" s="4" t="n">
        <v>2082.9</v>
      </c>
      <c r="E245" s="3" t="s">
        <v>60</v>
      </c>
      <c r="F245" s="3" t="n">
        <v>54.79</v>
      </c>
      <c r="G245" s="3" t="s">
        <v>60</v>
      </c>
      <c r="H245" s="3" t="s">
        <v>60</v>
      </c>
      <c r="I245" s="3" t="n">
        <v>9129000</v>
      </c>
      <c r="J245" s="3" t="n">
        <v>194625</v>
      </c>
      <c r="K245" s="3" t="s">
        <v>61</v>
      </c>
      <c r="L245" s="3" t="s">
        <v>62</v>
      </c>
      <c r="M245" s="3" t="s">
        <v>610</v>
      </c>
      <c r="N245" s="3" t="n">
        <v>0</v>
      </c>
      <c r="O245" s="3" t="s">
        <v>64</v>
      </c>
      <c r="P245" s="3" t="s">
        <v>65</v>
      </c>
    </row>
    <row r="246" customFormat="false" ht="15" hidden="false" customHeight="false" outlineLevel="0" collapsed="false">
      <c r="A246" s="3" t="s">
        <v>611</v>
      </c>
      <c r="B246" s="3" t="s">
        <v>612</v>
      </c>
      <c r="C246" s="3" t="s">
        <v>613</v>
      </c>
      <c r="D246" s="4" t="n">
        <v>3801.3</v>
      </c>
      <c r="E246" s="3" t="s">
        <v>60</v>
      </c>
      <c r="F246" s="3" t="n">
        <v>50.38</v>
      </c>
      <c r="G246" s="3" t="s">
        <v>60</v>
      </c>
      <c r="H246" s="3" t="s">
        <v>60</v>
      </c>
      <c r="I246" s="3" t="n">
        <v>5507700</v>
      </c>
      <c r="J246" s="3" t="n">
        <v>131400</v>
      </c>
      <c r="K246" s="3" t="s">
        <v>61</v>
      </c>
      <c r="L246" s="3" t="s">
        <v>62</v>
      </c>
      <c r="M246" s="3" t="s">
        <v>614</v>
      </c>
      <c r="N246" s="3" t="n">
        <v>0</v>
      </c>
      <c r="O246" s="3" t="s">
        <v>64</v>
      </c>
      <c r="P246" s="3" t="s">
        <v>65</v>
      </c>
    </row>
    <row r="247" customFormat="false" ht="15" hidden="false" customHeight="false" outlineLevel="0" collapsed="false">
      <c r="A247" s="3" t="s">
        <v>611</v>
      </c>
      <c r="B247" s="3" t="s">
        <v>360</v>
      </c>
      <c r="C247" s="3" t="s">
        <v>361</v>
      </c>
      <c r="D247" s="4" t="n">
        <v>284.35</v>
      </c>
      <c r="E247" s="3" t="s">
        <v>60</v>
      </c>
      <c r="F247" s="3" t="n">
        <v>51</v>
      </c>
      <c r="G247" s="3" t="s">
        <v>60</v>
      </c>
      <c r="H247" s="3" t="s">
        <v>60</v>
      </c>
      <c r="I247" s="3" t="n">
        <v>282231200</v>
      </c>
      <c r="J247" s="3" t="n">
        <v>3283450</v>
      </c>
      <c r="K247" s="3" t="s">
        <v>61</v>
      </c>
      <c r="L247" s="3" t="s">
        <v>62</v>
      </c>
      <c r="M247" s="3" t="s">
        <v>615</v>
      </c>
      <c r="N247" s="3" t="n">
        <v>2</v>
      </c>
      <c r="O247" s="3" t="s">
        <v>64</v>
      </c>
      <c r="P247" s="3" t="s">
        <v>65</v>
      </c>
    </row>
    <row r="248" customFormat="false" ht="15" hidden="false" customHeight="false" outlineLevel="0" collapsed="false">
      <c r="A248" s="3" t="s">
        <v>616</v>
      </c>
      <c r="B248" s="3" t="s">
        <v>333</v>
      </c>
      <c r="C248" s="3" t="s">
        <v>334</v>
      </c>
      <c r="D248" s="4" t="n">
        <v>5867</v>
      </c>
      <c r="E248" s="3" t="s">
        <v>60</v>
      </c>
      <c r="F248" s="3" t="n">
        <v>59.2</v>
      </c>
      <c r="G248" s="3" t="s">
        <v>60</v>
      </c>
      <c r="H248" s="3" t="s">
        <v>60</v>
      </c>
      <c r="I248" s="3" t="n">
        <v>1477500</v>
      </c>
      <c r="J248" s="3" t="n">
        <v>19250</v>
      </c>
      <c r="K248" s="3" t="s">
        <v>61</v>
      </c>
      <c r="L248" s="3" t="s">
        <v>62</v>
      </c>
      <c r="M248" s="3" t="s">
        <v>617</v>
      </c>
      <c r="N248" s="3" t="n">
        <v>2</v>
      </c>
      <c r="O248" s="3" t="s">
        <v>64</v>
      </c>
      <c r="P248" s="3" t="s">
        <v>65</v>
      </c>
    </row>
    <row r="249" customFormat="false" ht="15" hidden="false" customHeight="false" outlineLevel="0" collapsed="false">
      <c r="A249" s="3" t="s">
        <v>616</v>
      </c>
      <c r="B249" s="3" t="s">
        <v>591</v>
      </c>
      <c r="C249" s="3" t="s">
        <v>592</v>
      </c>
      <c r="D249" s="4" t="n">
        <v>1667.6</v>
      </c>
      <c r="E249" s="3" t="s">
        <v>60</v>
      </c>
      <c r="F249" s="3" t="n">
        <v>59.67</v>
      </c>
      <c r="G249" s="3" t="s">
        <v>60</v>
      </c>
      <c r="H249" s="3" t="s">
        <v>60</v>
      </c>
      <c r="I249" s="3" t="n">
        <v>18767000</v>
      </c>
      <c r="J249" s="3" t="n">
        <v>334250</v>
      </c>
      <c r="K249" s="3" t="s">
        <v>61</v>
      </c>
      <c r="L249" s="3" t="s">
        <v>62</v>
      </c>
      <c r="M249" s="3" t="s">
        <v>618</v>
      </c>
      <c r="N249" s="3" t="n">
        <v>1</v>
      </c>
      <c r="O249" s="3" t="s">
        <v>64</v>
      </c>
      <c r="P249" s="3" t="s">
        <v>65</v>
      </c>
    </row>
    <row r="250" customFormat="false" ht="15" hidden="false" customHeight="false" outlineLevel="0" collapsed="false">
      <c r="A250" s="3" t="s">
        <v>616</v>
      </c>
      <c r="B250" s="3" t="s">
        <v>619</v>
      </c>
      <c r="C250" s="3" t="s">
        <v>620</v>
      </c>
      <c r="D250" s="4" t="n">
        <v>235.71</v>
      </c>
      <c r="E250" s="3" t="s">
        <v>60</v>
      </c>
      <c r="F250" s="3" t="n">
        <v>55.51</v>
      </c>
      <c r="G250" s="3" t="s">
        <v>60</v>
      </c>
      <c r="H250" s="3" t="s">
        <v>60</v>
      </c>
      <c r="I250" s="3" t="n">
        <v>107133750</v>
      </c>
      <c r="J250" s="3" t="n">
        <v>631125</v>
      </c>
      <c r="K250" s="3" t="s">
        <v>61</v>
      </c>
      <c r="L250" s="3" t="s">
        <v>62</v>
      </c>
      <c r="M250" s="3" t="s">
        <v>621</v>
      </c>
      <c r="N250" s="3" t="n">
        <v>0</v>
      </c>
      <c r="O250" s="3" t="s">
        <v>69</v>
      </c>
      <c r="P250" s="3" t="s">
        <v>70</v>
      </c>
    </row>
    <row r="251" customFormat="false" ht="15" hidden="false" customHeight="false" outlineLevel="0" collapsed="false">
      <c r="A251" s="3" t="s">
        <v>616</v>
      </c>
      <c r="B251" s="3" t="s">
        <v>608</v>
      </c>
      <c r="C251" s="3" t="s">
        <v>609</v>
      </c>
      <c r="D251" s="4" t="n">
        <v>2098</v>
      </c>
      <c r="E251" s="3" t="s">
        <v>60</v>
      </c>
      <c r="F251" s="3" t="n">
        <v>54.53</v>
      </c>
      <c r="G251" s="3" t="s">
        <v>60</v>
      </c>
      <c r="H251" s="3" t="s">
        <v>60</v>
      </c>
      <c r="I251" s="3" t="n">
        <v>9375000</v>
      </c>
      <c r="J251" s="3" t="n">
        <v>269062</v>
      </c>
      <c r="K251" s="3" t="s">
        <v>61</v>
      </c>
      <c r="L251" s="3" t="s">
        <v>62</v>
      </c>
      <c r="M251" s="3" t="s">
        <v>622</v>
      </c>
      <c r="N251" s="3" t="n">
        <v>1</v>
      </c>
      <c r="O251" s="3" t="s">
        <v>64</v>
      </c>
      <c r="P251" s="3" t="s">
        <v>65</v>
      </c>
    </row>
    <row r="252" customFormat="false" ht="15" hidden="false" customHeight="false" outlineLevel="0" collapsed="false">
      <c r="A252" s="3" t="s">
        <v>616</v>
      </c>
      <c r="B252" s="3" t="s">
        <v>623</v>
      </c>
      <c r="C252" s="3" t="s">
        <v>624</v>
      </c>
      <c r="D252" s="4" t="n">
        <v>1736</v>
      </c>
      <c r="E252" s="3" t="s">
        <v>60</v>
      </c>
      <c r="F252" s="3" t="n">
        <v>67.54</v>
      </c>
      <c r="G252" s="3" t="s">
        <v>60</v>
      </c>
      <c r="H252" s="3" t="s">
        <v>60</v>
      </c>
      <c r="I252" s="3" t="n">
        <v>17051300</v>
      </c>
      <c r="J252" s="3" t="n">
        <v>44625</v>
      </c>
      <c r="K252" s="3" t="s">
        <v>61</v>
      </c>
      <c r="L252" s="3" t="s">
        <v>62</v>
      </c>
      <c r="M252" s="3" t="s">
        <v>625</v>
      </c>
      <c r="N252" s="3" t="n">
        <v>0</v>
      </c>
      <c r="O252" s="3" t="s">
        <v>64</v>
      </c>
      <c r="P252" s="3" t="s">
        <v>65</v>
      </c>
    </row>
    <row r="253" customFormat="false" ht="15" hidden="false" customHeight="false" outlineLevel="0" collapsed="false">
      <c r="A253" s="3" t="s">
        <v>626</v>
      </c>
      <c r="B253" s="3" t="s">
        <v>93</v>
      </c>
      <c r="C253" s="3" t="s">
        <v>94</v>
      </c>
      <c r="D253" s="4" t="n">
        <v>2105.5</v>
      </c>
      <c r="E253" s="3" t="s">
        <v>60</v>
      </c>
      <c r="F253" s="3" t="n">
        <v>54.66</v>
      </c>
      <c r="G253" s="3" t="s">
        <v>60</v>
      </c>
      <c r="H253" s="3" t="s">
        <v>60</v>
      </c>
      <c r="I253" s="3" t="n">
        <v>2904850</v>
      </c>
      <c r="J253" s="3" t="n">
        <v>160875</v>
      </c>
      <c r="K253" s="3" t="s">
        <v>61</v>
      </c>
      <c r="L253" s="3" t="s">
        <v>62</v>
      </c>
      <c r="M253" s="3" t="s">
        <v>627</v>
      </c>
      <c r="N253" s="3" t="n">
        <v>1</v>
      </c>
      <c r="O253" s="3" t="s">
        <v>69</v>
      </c>
      <c r="P253" s="3" t="s">
        <v>70</v>
      </c>
    </row>
    <row r="254" customFormat="false" ht="15" hidden="false" customHeight="false" outlineLevel="0" collapsed="false">
      <c r="A254" s="3" t="s">
        <v>626</v>
      </c>
      <c r="B254" s="3" t="s">
        <v>602</v>
      </c>
      <c r="C254" s="3" t="s">
        <v>603</v>
      </c>
      <c r="D254" s="4" t="n">
        <v>1437</v>
      </c>
      <c r="E254" s="3" t="s">
        <v>60</v>
      </c>
      <c r="F254" s="3" t="n">
        <v>53.59</v>
      </c>
      <c r="G254" s="3" t="s">
        <v>60</v>
      </c>
      <c r="H254" s="3" t="s">
        <v>60</v>
      </c>
      <c r="I254" s="3" t="n">
        <v>115773000</v>
      </c>
      <c r="J254" s="3" t="n">
        <v>1012900</v>
      </c>
      <c r="K254" s="3" t="s">
        <v>61</v>
      </c>
      <c r="L254" s="3" t="s">
        <v>62</v>
      </c>
      <c r="M254" s="3" t="s">
        <v>628</v>
      </c>
      <c r="N254" s="3" t="n">
        <v>1</v>
      </c>
      <c r="O254" s="3" t="s">
        <v>64</v>
      </c>
      <c r="P254" s="3" t="s">
        <v>65</v>
      </c>
    </row>
    <row r="255" customFormat="false" ht="15" hidden="false" customHeight="false" outlineLevel="0" collapsed="false">
      <c r="A255" s="3" t="s">
        <v>626</v>
      </c>
      <c r="B255" s="3" t="s">
        <v>629</v>
      </c>
      <c r="C255" s="3" t="s">
        <v>630</v>
      </c>
      <c r="D255" s="4" t="n">
        <v>447.9</v>
      </c>
      <c r="E255" s="3" t="s">
        <v>60</v>
      </c>
      <c r="F255" s="3" t="n">
        <v>47.93</v>
      </c>
      <c r="G255" s="3" t="s">
        <v>60</v>
      </c>
      <c r="H255" s="3" t="s">
        <v>60</v>
      </c>
      <c r="I255" s="3" t="n">
        <v>13055000</v>
      </c>
      <c r="J255" s="3" t="n">
        <v>996800</v>
      </c>
      <c r="K255" s="3" t="s">
        <v>61</v>
      </c>
      <c r="L255" s="3" t="s">
        <v>62</v>
      </c>
      <c r="M255" s="3" t="s">
        <v>631</v>
      </c>
      <c r="N255" s="3" t="n">
        <v>0</v>
      </c>
      <c r="O255" s="3" t="s">
        <v>64</v>
      </c>
      <c r="P255" s="3" t="s">
        <v>65</v>
      </c>
    </row>
    <row r="256" customFormat="false" ht="15" hidden="false" customHeight="false" outlineLevel="0" collapsed="false">
      <c r="A256" s="3" t="s">
        <v>626</v>
      </c>
      <c r="B256" s="3" t="s">
        <v>619</v>
      </c>
      <c r="C256" s="3" t="s">
        <v>620</v>
      </c>
      <c r="D256" s="4" t="n">
        <v>243.78</v>
      </c>
      <c r="E256" s="3" t="s">
        <v>60</v>
      </c>
      <c r="F256" s="3" t="n">
        <v>51.58</v>
      </c>
      <c r="G256" s="3" t="s">
        <v>60</v>
      </c>
      <c r="H256" s="3" t="s">
        <v>60</v>
      </c>
      <c r="I256" s="3" t="n">
        <v>109518750</v>
      </c>
      <c r="J256" s="3" t="n">
        <v>2385000</v>
      </c>
      <c r="K256" s="3" t="s">
        <v>61</v>
      </c>
      <c r="L256" s="3" t="s">
        <v>62</v>
      </c>
      <c r="M256" s="3" t="s">
        <v>632</v>
      </c>
      <c r="N256" s="3" t="n">
        <v>0</v>
      </c>
      <c r="O256" s="3" t="s">
        <v>100</v>
      </c>
      <c r="P256" s="3" t="s">
        <v>70</v>
      </c>
    </row>
    <row r="257" customFormat="false" ht="15" hidden="false" customHeight="false" outlineLevel="0" collapsed="false">
      <c r="A257" s="3" t="s">
        <v>626</v>
      </c>
      <c r="B257" s="3" t="s">
        <v>633</v>
      </c>
      <c r="C257" s="3" t="s">
        <v>634</v>
      </c>
      <c r="D257" s="4" t="n">
        <v>34645</v>
      </c>
      <c r="E257" s="3" t="s">
        <v>60</v>
      </c>
      <c r="F257" s="3" t="n">
        <v>65.39</v>
      </c>
      <c r="G257" s="3" t="s">
        <v>60</v>
      </c>
      <c r="H257" s="3" t="s">
        <v>60</v>
      </c>
      <c r="I257" s="3" t="n">
        <v>252090</v>
      </c>
      <c r="J257" s="3" t="n">
        <v>6045</v>
      </c>
      <c r="K257" s="3" t="s">
        <v>61</v>
      </c>
      <c r="L257" s="3" t="s">
        <v>62</v>
      </c>
      <c r="M257" s="3" t="s">
        <v>635</v>
      </c>
      <c r="N257" s="3" t="n">
        <v>0</v>
      </c>
      <c r="O257" s="3" t="s">
        <v>64</v>
      </c>
      <c r="P257" s="3" t="s">
        <v>65</v>
      </c>
    </row>
    <row r="258" customFormat="false" ht="15" hidden="false" customHeight="false" outlineLevel="0" collapsed="false">
      <c r="A258" s="3" t="s">
        <v>636</v>
      </c>
      <c r="B258" s="3" t="s">
        <v>58</v>
      </c>
      <c r="C258" s="3" t="s">
        <v>59</v>
      </c>
      <c r="D258" s="4" t="n">
        <v>1934.7</v>
      </c>
      <c r="E258" s="3" t="s">
        <v>60</v>
      </c>
      <c r="F258" s="3" t="n">
        <v>52.88</v>
      </c>
      <c r="G258" s="3" t="s">
        <v>60</v>
      </c>
      <c r="H258" s="3" t="s">
        <v>60</v>
      </c>
      <c r="I258" s="3" t="n">
        <v>10198650</v>
      </c>
      <c r="J258" s="3" t="n">
        <v>106050</v>
      </c>
      <c r="K258" s="3" t="s">
        <v>61</v>
      </c>
      <c r="L258" s="3" t="s">
        <v>62</v>
      </c>
      <c r="M258" s="3" t="s">
        <v>637</v>
      </c>
      <c r="N258" s="3" t="n">
        <v>3</v>
      </c>
      <c r="O258" s="3" t="s">
        <v>64</v>
      </c>
      <c r="P258" s="3" t="s">
        <v>65</v>
      </c>
    </row>
    <row r="259" customFormat="false" ht="15" hidden="false" customHeight="false" outlineLevel="0" collapsed="false">
      <c r="A259" s="3" t="s">
        <v>636</v>
      </c>
      <c r="B259" s="3" t="s">
        <v>513</v>
      </c>
      <c r="C259" s="3" t="s">
        <v>514</v>
      </c>
      <c r="D259" s="4" t="n">
        <v>307.7</v>
      </c>
      <c r="E259" s="3" t="s">
        <v>60</v>
      </c>
      <c r="F259" s="3" t="n">
        <v>50.19</v>
      </c>
      <c r="G259" s="3" t="s">
        <v>60</v>
      </c>
      <c r="H259" s="3" t="s">
        <v>60</v>
      </c>
      <c r="I259" s="3" t="n">
        <v>73113300</v>
      </c>
      <c r="J259" s="3" t="n">
        <v>152100</v>
      </c>
      <c r="K259" s="3" t="s">
        <v>61</v>
      </c>
      <c r="L259" s="3" t="s">
        <v>62</v>
      </c>
      <c r="M259" s="3" t="s">
        <v>638</v>
      </c>
      <c r="N259" s="3" t="n">
        <v>1</v>
      </c>
      <c r="O259" s="3" t="s">
        <v>64</v>
      </c>
      <c r="P259" s="3" t="s">
        <v>65</v>
      </c>
    </row>
    <row r="260" customFormat="false" ht="15" hidden="false" customHeight="false" outlineLevel="0" collapsed="false">
      <c r="A260" s="3" t="s">
        <v>636</v>
      </c>
      <c r="B260" s="3" t="s">
        <v>639</v>
      </c>
      <c r="C260" s="3" t="s">
        <v>640</v>
      </c>
      <c r="D260" s="4" t="n">
        <v>152.87</v>
      </c>
      <c r="E260" s="3" t="s">
        <v>60</v>
      </c>
      <c r="F260" s="3" t="n">
        <v>45.02</v>
      </c>
      <c r="G260" s="3" t="s">
        <v>60</v>
      </c>
      <c r="H260" s="3" t="s">
        <v>60</v>
      </c>
      <c r="I260" s="3" t="n">
        <v>53950000</v>
      </c>
      <c r="J260" s="3" t="n">
        <v>4908800</v>
      </c>
      <c r="K260" s="3" t="s">
        <v>61</v>
      </c>
      <c r="L260" s="3" t="s">
        <v>62</v>
      </c>
      <c r="M260" s="3" t="s">
        <v>641</v>
      </c>
      <c r="N260" s="3" t="n">
        <v>0</v>
      </c>
      <c r="O260" s="3" t="s">
        <v>64</v>
      </c>
      <c r="P260" s="3" t="s">
        <v>65</v>
      </c>
    </row>
    <row r="261" customFormat="false" ht="15" hidden="false" customHeight="false" outlineLevel="0" collapsed="false">
      <c r="A261" s="3" t="s">
        <v>636</v>
      </c>
      <c r="B261" s="3" t="s">
        <v>642</v>
      </c>
      <c r="C261" s="3" t="s">
        <v>643</v>
      </c>
      <c r="D261" s="4" t="n">
        <v>417.6</v>
      </c>
      <c r="E261" s="3" t="s">
        <v>60</v>
      </c>
      <c r="F261" s="3" t="n">
        <v>61.45</v>
      </c>
      <c r="G261" s="3" t="s">
        <v>60</v>
      </c>
      <c r="H261" s="3" t="s">
        <v>60</v>
      </c>
      <c r="I261" s="3" t="n">
        <v>118263600</v>
      </c>
      <c r="J261" s="3" t="n">
        <v>1573200</v>
      </c>
      <c r="K261" s="3" t="s">
        <v>61</v>
      </c>
      <c r="L261" s="3" t="s">
        <v>62</v>
      </c>
      <c r="M261" s="3" t="s">
        <v>644</v>
      </c>
      <c r="N261" s="3" t="n">
        <v>0</v>
      </c>
      <c r="O261" s="3" t="s">
        <v>64</v>
      </c>
      <c r="P261" s="3" t="s">
        <v>65</v>
      </c>
    </row>
    <row r="262" customFormat="false" ht="15" hidden="false" customHeight="false" outlineLevel="0" collapsed="false">
      <c r="A262" s="3" t="s">
        <v>636</v>
      </c>
      <c r="B262" s="3" t="s">
        <v>93</v>
      </c>
      <c r="C262" s="3" t="s">
        <v>94</v>
      </c>
      <c r="D262" s="4" t="n">
        <v>2177.3</v>
      </c>
      <c r="E262" s="3" t="s">
        <v>60</v>
      </c>
      <c r="F262" s="3" t="n">
        <v>52.05</v>
      </c>
      <c r="G262" s="3" t="s">
        <v>60</v>
      </c>
      <c r="H262" s="3" t="s">
        <v>60</v>
      </c>
      <c r="I262" s="3" t="n">
        <v>3018600</v>
      </c>
      <c r="J262" s="3" t="n">
        <v>113750</v>
      </c>
      <c r="K262" s="3" t="s">
        <v>61</v>
      </c>
      <c r="L262" s="3" t="s">
        <v>62</v>
      </c>
      <c r="M262" s="3" t="s">
        <v>645</v>
      </c>
      <c r="N262" s="3" t="n">
        <v>1</v>
      </c>
      <c r="O262" s="3" t="s">
        <v>100</v>
      </c>
      <c r="P262" s="3" t="s">
        <v>70</v>
      </c>
    </row>
    <row r="263" customFormat="false" ht="15" hidden="false" customHeight="false" outlineLevel="0" collapsed="false">
      <c r="A263" s="3" t="s">
        <v>636</v>
      </c>
      <c r="B263" s="3" t="s">
        <v>293</v>
      </c>
      <c r="C263" s="3" t="s">
        <v>294</v>
      </c>
      <c r="D263" s="4" t="n">
        <v>846.4</v>
      </c>
      <c r="E263" s="3" t="s">
        <v>60</v>
      </c>
      <c r="F263" s="3" t="n">
        <v>45.63</v>
      </c>
      <c r="G263" s="3" t="s">
        <v>60</v>
      </c>
      <c r="H263" s="3" t="s">
        <v>60</v>
      </c>
      <c r="I263" s="3" t="n">
        <v>9693000</v>
      </c>
      <c r="J263" s="3" t="n">
        <v>696000</v>
      </c>
      <c r="K263" s="3" t="s">
        <v>61</v>
      </c>
      <c r="L263" s="3" t="s">
        <v>62</v>
      </c>
      <c r="M263" s="3" t="s">
        <v>646</v>
      </c>
      <c r="N263" s="3" t="n">
        <v>1</v>
      </c>
      <c r="O263" s="3" t="s">
        <v>64</v>
      </c>
      <c r="P263" s="3" t="s">
        <v>65</v>
      </c>
    </row>
    <row r="264" customFormat="false" ht="15" hidden="false" customHeight="false" outlineLevel="0" collapsed="false">
      <c r="A264" s="3" t="s">
        <v>636</v>
      </c>
      <c r="B264" s="3" t="s">
        <v>175</v>
      </c>
      <c r="C264" s="3" t="s">
        <v>176</v>
      </c>
      <c r="D264" s="4" t="n">
        <v>1181.8</v>
      </c>
      <c r="E264" s="3" t="s">
        <v>60</v>
      </c>
      <c r="F264" s="3" t="n">
        <v>52.69</v>
      </c>
      <c r="G264" s="3" t="s">
        <v>60</v>
      </c>
      <c r="H264" s="3" t="s">
        <v>60</v>
      </c>
      <c r="I264" s="3" t="n">
        <v>49260825</v>
      </c>
      <c r="J264" s="3" t="n">
        <v>249750</v>
      </c>
      <c r="K264" s="3" t="s">
        <v>61</v>
      </c>
      <c r="L264" s="3" t="s">
        <v>62</v>
      </c>
      <c r="M264" s="3" t="s">
        <v>647</v>
      </c>
      <c r="N264" s="3" t="n">
        <v>3</v>
      </c>
      <c r="O264" s="3" t="s">
        <v>64</v>
      </c>
      <c r="P264" s="3" t="s">
        <v>65</v>
      </c>
    </row>
    <row r="265" customFormat="false" ht="15" hidden="false" customHeight="false" outlineLevel="0" collapsed="false">
      <c r="A265" s="3" t="s">
        <v>648</v>
      </c>
      <c r="B265" s="3" t="s">
        <v>396</v>
      </c>
      <c r="C265" s="3" t="s">
        <v>397</v>
      </c>
      <c r="D265" s="4" t="n">
        <v>1025.4</v>
      </c>
      <c r="E265" s="3" t="s">
        <v>60</v>
      </c>
      <c r="F265" s="3" t="n">
        <v>55.71</v>
      </c>
      <c r="G265" s="3" t="s">
        <v>60</v>
      </c>
      <c r="H265" s="3" t="s">
        <v>60</v>
      </c>
      <c r="I265" s="3" t="n">
        <v>23324000</v>
      </c>
      <c r="J265" s="3" t="n">
        <v>3068000</v>
      </c>
      <c r="K265" s="3" t="s">
        <v>61</v>
      </c>
      <c r="L265" s="3" t="s">
        <v>62</v>
      </c>
      <c r="M265" s="3" t="s">
        <v>649</v>
      </c>
      <c r="N265" s="3" t="n">
        <v>3</v>
      </c>
      <c r="O265" s="3" t="s">
        <v>64</v>
      </c>
      <c r="P265" s="3" t="s">
        <v>65</v>
      </c>
    </row>
    <row r="266" customFormat="false" ht="15" hidden="false" customHeight="false" outlineLevel="0" collapsed="false">
      <c r="A266" s="3" t="s">
        <v>648</v>
      </c>
      <c r="B266" s="3" t="s">
        <v>562</v>
      </c>
      <c r="C266" s="3" t="s">
        <v>563</v>
      </c>
      <c r="D266" s="4" t="n">
        <v>2809.6</v>
      </c>
      <c r="E266" s="3" t="s">
        <v>60</v>
      </c>
      <c r="F266" s="3" t="n">
        <v>60.21</v>
      </c>
      <c r="G266" s="3" t="s">
        <v>60</v>
      </c>
      <c r="H266" s="3" t="s">
        <v>60</v>
      </c>
      <c r="I266" s="3" t="n">
        <v>16306500</v>
      </c>
      <c r="J266" s="3" t="n">
        <v>35500</v>
      </c>
      <c r="K266" s="3" t="s">
        <v>61</v>
      </c>
      <c r="L266" s="3" t="s">
        <v>62</v>
      </c>
      <c r="M266" s="3" t="s">
        <v>650</v>
      </c>
      <c r="N266" s="3" t="n">
        <v>1</v>
      </c>
      <c r="O266" s="3" t="s">
        <v>64</v>
      </c>
      <c r="P266" s="3" t="s">
        <v>65</v>
      </c>
    </row>
    <row r="267" customFormat="false" ht="15" hidden="false" customHeight="false" outlineLevel="0" collapsed="false">
      <c r="A267" s="3" t="s">
        <v>648</v>
      </c>
      <c r="B267" s="3" t="s">
        <v>364</v>
      </c>
      <c r="C267" s="3" t="s">
        <v>365</v>
      </c>
      <c r="D267" s="4" t="n">
        <v>678</v>
      </c>
      <c r="E267" s="3" t="s">
        <v>60</v>
      </c>
      <c r="F267" s="3" t="n">
        <v>66.89</v>
      </c>
      <c r="G267" s="3" t="s">
        <v>60</v>
      </c>
      <c r="H267" s="3" t="s">
        <v>60</v>
      </c>
      <c r="I267" s="3" t="n">
        <v>16992250</v>
      </c>
      <c r="J267" s="3" t="n">
        <v>2258850</v>
      </c>
      <c r="K267" s="3" t="s">
        <v>61</v>
      </c>
      <c r="L267" s="3" t="s">
        <v>62</v>
      </c>
      <c r="M267" s="3" t="s">
        <v>651</v>
      </c>
      <c r="N267" s="3" t="n">
        <v>4</v>
      </c>
      <c r="O267" s="3" t="s">
        <v>64</v>
      </c>
      <c r="P267" s="3" t="s">
        <v>65</v>
      </c>
    </row>
    <row r="268" customFormat="false" ht="15" hidden="false" customHeight="false" outlineLevel="0" collapsed="false">
      <c r="A268" s="3" t="s">
        <v>648</v>
      </c>
      <c r="B268" s="3" t="s">
        <v>190</v>
      </c>
      <c r="C268" s="3" t="s">
        <v>60</v>
      </c>
      <c r="D268" s="4" t="n">
        <v>6308</v>
      </c>
      <c r="E268" s="3" t="s">
        <v>60</v>
      </c>
      <c r="F268" s="3" t="n">
        <v>45.82</v>
      </c>
      <c r="G268" s="3" t="s">
        <v>60</v>
      </c>
      <c r="H268" s="3" t="s">
        <v>60</v>
      </c>
      <c r="I268" s="3" t="n">
        <v>2368050</v>
      </c>
      <c r="J268" s="3" t="n">
        <v>78150</v>
      </c>
      <c r="K268" s="3" t="s">
        <v>61</v>
      </c>
      <c r="L268" s="3" t="s">
        <v>62</v>
      </c>
      <c r="M268" s="3" t="s">
        <v>652</v>
      </c>
      <c r="N268" s="3" t="n">
        <v>3</v>
      </c>
      <c r="O268" s="3" t="s">
        <v>64</v>
      </c>
      <c r="P268" s="3" t="s">
        <v>65</v>
      </c>
    </row>
    <row r="269" customFormat="false" ht="15" hidden="false" customHeight="false" outlineLevel="0" collapsed="false">
      <c r="A269" s="3" t="s">
        <v>648</v>
      </c>
      <c r="B269" s="3" t="s">
        <v>303</v>
      </c>
      <c r="C269" s="3" t="s">
        <v>304</v>
      </c>
      <c r="D269" s="4" t="n">
        <v>995.45</v>
      </c>
      <c r="E269" s="3" t="s">
        <v>60</v>
      </c>
      <c r="F269" s="3" t="n">
        <v>61.56</v>
      </c>
      <c r="G269" s="3" t="s">
        <v>60</v>
      </c>
      <c r="H269" s="3" t="s">
        <v>60</v>
      </c>
      <c r="I269" s="3" t="n">
        <v>43277025</v>
      </c>
      <c r="J269" s="3" t="n">
        <v>1725075</v>
      </c>
      <c r="K269" s="3" t="s">
        <v>61</v>
      </c>
      <c r="L269" s="3" t="s">
        <v>62</v>
      </c>
      <c r="M269" s="3" t="s">
        <v>653</v>
      </c>
      <c r="N269" s="3" t="n">
        <v>3</v>
      </c>
      <c r="O269" s="3" t="s">
        <v>64</v>
      </c>
      <c r="P269" s="3" t="s">
        <v>65</v>
      </c>
    </row>
    <row r="270" customFormat="false" ht="15" hidden="false" customHeight="false" outlineLevel="0" collapsed="false">
      <c r="A270" s="3" t="s">
        <v>648</v>
      </c>
      <c r="B270" s="3" t="s">
        <v>145</v>
      </c>
      <c r="C270" s="3" t="s">
        <v>146</v>
      </c>
      <c r="D270" s="4" t="n">
        <v>1670.5</v>
      </c>
      <c r="E270" s="3" t="s">
        <v>60</v>
      </c>
      <c r="F270" s="3" t="n">
        <v>45.8</v>
      </c>
      <c r="G270" s="3" t="s">
        <v>60</v>
      </c>
      <c r="H270" s="3" t="s">
        <v>60</v>
      </c>
      <c r="I270" s="3" t="n">
        <v>18867000</v>
      </c>
      <c r="J270" s="3" t="n">
        <v>772200</v>
      </c>
      <c r="K270" s="3" t="s">
        <v>61</v>
      </c>
      <c r="L270" s="3" t="s">
        <v>62</v>
      </c>
      <c r="M270" s="3" t="s">
        <v>654</v>
      </c>
      <c r="N270" s="3" t="n">
        <v>4</v>
      </c>
      <c r="O270" s="3" t="s">
        <v>64</v>
      </c>
      <c r="P270" s="3" t="s">
        <v>65</v>
      </c>
    </row>
    <row r="271" customFormat="false" ht="15" hidden="false" customHeight="false" outlineLevel="0" collapsed="false">
      <c r="A271" s="3" t="s">
        <v>648</v>
      </c>
      <c r="B271" s="3" t="s">
        <v>655</v>
      </c>
      <c r="C271" s="3" t="s">
        <v>656</v>
      </c>
      <c r="D271" s="4" t="n">
        <v>12378</v>
      </c>
      <c r="E271" s="3" t="s">
        <v>60</v>
      </c>
      <c r="F271" s="3" t="n">
        <v>70.54</v>
      </c>
      <c r="G271" s="3" t="s">
        <v>60</v>
      </c>
      <c r="H271" s="3" t="s">
        <v>60</v>
      </c>
      <c r="I271" s="3" t="n">
        <v>2755850</v>
      </c>
      <c r="J271" s="3" t="n">
        <v>4650</v>
      </c>
      <c r="K271" s="3" t="s">
        <v>61</v>
      </c>
      <c r="L271" s="3" t="s">
        <v>62</v>
      </c>
      <c r="M271" s="3" t="s">
        <v>657</v>
      </c>
      <c r="N271" s="3" t="n">
        <v>0</v>
      </c>
      <c r="O271" s="3" t="s">
        <v>64</v>
      </c>
      <c r="P271" s="3" t="s">
        <v>65</v>
      </c>
    </row>
    <row r="272" customFormat="false" ht="15" hidden="false" customHeight="false" outlineLevel="0" collapsed="false">
      <c r="A272" s="3" t="s">
        <v>658</v>
      </c>
      <c r="B272" s="3" t="s">
        <v>148</v>
      </c>
      <c r="C272" s="3" t="s">
        <v>149</v>
      </c>
      <c r="D272" s="4" t="n">
        <v>4086.6</v>
      </c>
      <c r="E272" s="3" t="s">
        <v>60</v>
      </c>
      <c r="F272" s="3" t="n">
        <v>60.79</v>
      </c>
      <c r="G272" s="3" t="s">
        <v>60</v>
      </c>
      <c r="H272" s="3" t="s">
        <v>60</v>
      </c>
      <c r="I272" s="3" t="n">
        <v>2320500</v>
      </c>
      <c r="J272" s="3" t="n">
        <v>16250</v>
      </c>
      <c r="K272" s="3" t="s">
        <v>61</v>
      </c>
      <c r="L272" s="3" t="s">
        <v>62</v>
      </c>
      <c r="M272" s="3" t="s">
        <v>659</v>
      </c>
      <c r="N272" s="3" t="n">
        <v>2</v>
      </c>
      <c r="O272" s="3" t="s">
        <v>64</v>
      </c>
      <c r="P272" s="3" t="s">
        <v>65</v>
      </c>
    </row>
    <row r="273" customFormat="false" ht="15" hidden="false" customHeight="false" outlineLevel="0" collapsed="false">
      <c r="A273" s="3" t="s">
        <v>658</v>
      </c>
      <c r="B273" s="3" t="s">
        <v>660</v>
      </c>
      <c r="C273" s="3" t="s">
        <v>661</v>
      </c>
      <c r="D273" s="4" t="n">
        <v>177.43</v>
      </c>
      <c r="E273" s="3" t="s">
        <v>60</v>
      </c>
      <c r="F273" s="3" t="n">
        <v>48.92</v>
      </c>
      <c r="G273" s="3" t="s">
        <v>60</v>
      </c>
      <c r="H273" s="3" t="s">
        <v>60</v>
      </c>
      <c r="I273" s="3" t="n">
        <v>71654025</v>
      </c>
      <c r="J273" s="3" t="n">
        <v>615075</v>
      </c>
      <c r="K273" s="3" t="s">
        <v>61</v>
      </c>
      <c r="L273" s="3" t="s">
        <v>62</v>
      </c>
      <c r="M273" s="3" t="s">
        <v>662</v>
      </c>
      <c r="N273" s="3" t="n">
        <v>0</v>
      </c>
      <c r="O273" s="3" t="s">
        <v>64</v>
      </c>
      <c r="P273" s="3" t="s">
        <v>65</v>
      </c>
    </row>
    <row r="274" customFormat="false" ht="15" hidden="false" customHeight="false" outlineLevel="0" collapsed="false">
      <c r="A274" s="3" t="s">
        <v>663</v>
      </c>
      <c r="B274" s="3" t="s">
        <v>664</v>
      </c>
      <c r="C274" s="3" t="s">
        <v>665</v>
      </c>
      <c r="D274" s="4" t="n">
        <v>1459.1</v>
      </c>
      <c r="E274" s="3" t="s">
        <v>60</v>
      </c>
      <c r="F274" s="3" t="n">
        <v>57.14</v>
      </c>
      <c r="G274" s="3" t="s">
        <v>60</v>
      </c>
      <c r="H274" s="3" t="s">
        <v>60</v>
      </c>
      <c r="I274" s="3" t="n">
        <v>6688500</v>
      </c>
      <c r="J274" s="3" t="n">
        <v>31000</v>
      </c>
      <c r="K274" s="3" t="s">
        <v>61</v>
      </c>
      <c r="L274" s="3" t="s">
        <v>62</v>
      </c>
      <c r="M274" s="3" t="s">
        <v>666</v>
      </c>
      <c r="N274" s="3" t="n">
        <v>0</v>
      </c>
      <c r="O274" s="3" t="s">
        <v>64</v>
      </c>
      <c r="P274" s="3" t="s">
        <v>65</v>
      </c>
    </row>
    <row r="275" customFormat="false" ht="15" hidden="false" customHeight="false" outlineLevel="0" collapsed="false">
      <c r="A275" s="3" t="s">
        <v>663</v>
      </c>
      <c r="B275" s="3" t="s">
        <v>490</v>
      </c>
      <c r="C275" s="3" t="s">
        <v>491</v>
      </c>
      <c r="D275" s="4" t="n">
        <v>362.35</v>
      </c>
      <c r="E275" s="3" t="s">
        <v>60</v>
      </c>
      <c r="F275" s="3" t="n">
        <v>57.83</v>
      </c>
      <c r="G275" s="3" t="s">
        <v>60</v>
      </c>
      <c r="H275" s="3" t="s">
        <v>60</v>
      </c>
      <c r="I275" s="3" t="n">
        <v>33563150</v>
      </c>
      <c r="J275" s="3" t="n">
        <v>2583300</v>
      </c>
      <c r="K275" s="3" t="s">
        <v>61</v>
      </c>
      <c r="L275" s="3" t="s">
        <v>62</v>
      </c>
      <c r="M275" s="3" t="s">
        <v>667</v>
      </c>
      <c r="N275" s="3" t="n">
        <v>1</v>
      </c>
      <c r="O275" s="3" t="s">
        <v>69</v>
      </c>
      <c r="P275" s="3" t="s">
        <v>70</v>
      </c>
    </row>
    <row r="276" customFormat="false" ht="15" hidden="false" customHeight="false" outlineLevel="0" collapsed="false">
      <c r="A276" s="3" t="s">
        <v>663</v>
      </c>
      <c r="B276" s="3" t="s">
        <v>493</v>
      </c>
      <c r="C276" s="3" t="s">
        <v>494</v>
      </c>
      <c r="D276" s="4" t="n">
        <v>515.75</v>
      </c>
      <c r="E276" s="3" t="s">
        <v>60</v>
      </c>
      <c r="F276" s="3" t="n">
        <v>45</v>
      </c>
      <c r="G276" s="3" t="s">
        <v>60</v>
      </c>
      <c r="H276" s="3" t="s">
        <v>60</v>
      </c>
      <c r="I276" s="3" t="n">
        <v>23337500</v>
      </c>
      <c r="J276" s="3" t="n">
        <v>958750</v>
      </c>
      <c r="K276" s="3" t="s">
        <v>61</v>
      </c>
      <c r="L276" s="3" t="s">
        <v>62</v>
      </c>
      <c r="M276" s="3" t="s">
        <v>668</v>
      </c>
      <c r="N276" s="3" t="n">
        <v>1</v>
      </c>
      <c r="O276" s="3" t="s">
        <v>64</v>
      </c>
      <c r="P276" s="3" t="s">
        <v>65</v>
      </c>
    </row>
    <row r="277" customFormat="false" ht="15" hidden="false" customHeight="false" outlineLevel="0" collapsed="false">
      <c r="A277" s="3" t="s">
        <v>663</v>
      </c>
      <c r="B277" s="3" t="s">
        <v>96</v>
      </c>
      <c r="C277" s="3" t="s">
        <v>97</v>
      </c>
      <c r="D277" s="4" t="n">
        <v>407.75</v>
      </c>
      <c r="E277" s="3" t="s">
        <v>60</v>
      </c>
      <c r="F277" s="3" t="n">
        <v>51.29</v>
      </c>
      <c r="G277" s="3" t="s">
        <v>60</v>
      </c>
      <c r="H277" s="3" t="s">
        <v>60</v>
      </c>
      <c r="I277" s="3" t="n">
        <v>25014125</v>
      </c>
      <c r="J277" s="3" t="n">
        <v>1446275</v>
      </c>
      <c r="K277" s="3" t="s">
        <v>61</v>
      </c>
      <c r="L277" s="3" t="s">
        <v>62</v>
      </c>
      <c r="M277" s="3" t="s">
        <v>669</v>
      </c>
      <c r="N277" s="3" t="n">
        <v>4</v>
      </c>
      <c r="O277" s="3" t="s">
        <v>69</v>
      </c>
      <c r="P277" s="3" t="s">
        <v>70</v>
      </c>
    </row>
    <row r="278" customFormat="false" ht="15" hidden="false" customHeight="false" outlineLevel="0" collapsed="false">
      <c r="A278" s="3" t="s">
        <v>663</v>
      </c>
      <c r="B278" s="3" t="s">
        <v>260</v>
      </c>
      <c r="C278" s="3" t="s">
        <v>261</v>
      </c>
      <c r="D278" s="4" t="n">
        <v>93.91</v>
      </c>
      <c r="E278" s="3" t="s">
        <v>60</v>
      </c>
      <c r="F278" s="3" t="n">
        <v>69.11</v>
      </c>
      <c r="G278" s="3" t="s">
        <v>60</v>
      </c>
      <c r="H278" s="3" t="s">
        <v>60</v>
      </c>
      <c r="I278" s="3" t="n">
        <v>160571475</v>
      </c>
      <c r="J278" s="3" t="n">
        <v>767250</v>
      </c>
      <c r="K278" s="3" t="s">
        <v>61</v>
      </c>
      <c r="L278" s="3" t="s">
        <v>62</v>
      </c>
      <c r="M278" s="3" t="s">
        <v>670</v>
      </c>
      <c r="N278" s="3" t="n">
        <v>2</v>
      </c>
      <c r="O278" s="3" t="s">
        <v>64</v>
      </c>
      <c r="P278" s="3" t="s">
        <v>65</v>
      </c>
    </row>
    <row r="279" customFormat="false" ht="15" hidden="false" customHeight="false" outlineLevel="0" collapsed="false">
      <c r="A279" s="3" t="s">
        <v>663</v>
      </c>
      <c r="B279" s="3" t="s">
        <v>671</v>
      </c>
      <c r="C279" s="3" t="s">
        <v>672</v>
      </c>
      <c r="D279" s="4" t="n">
        <v>4624</v>
      </c>
      <c r="E279" s="3" t="s">
        <v>60</v>
      </c>
      <c r="F279" s="3" t="n">
        <v>46.34</v>
      </c>
      <c r="G279" s="3" t="s">
        <v>60</v>
      </c>
      <c r="H279" s="3" t="s">
        <v>60</v>
      </c>
      <c r="I279" s="3" t="n">
        <v>8270850</v>
      </c>
      <c r="J279" s="3" t="n">
        <v>36900</v>
      </c>
      <c r="K279" s="3" t="s">
        <v>61</v>
      </c>
      <c r="L279" s="3" t="s">
        <v>62</v>
      </c>
      <c r="M279" s="3" t="s">
        <v>673</v>
      </c>
      <c r="N279" s="3" t="n">
        <v>0</v>
      </c>
      <c r="O279" s="3" t="s">
        <v>64</v>
      </c>
      <c r="P279" s="3" t="s">
        <v>65</v>
      </c>
    </row>
    <row r="280" customFormat="false" ht="15" hidden="false" customHeight="false" outlineLevel="0" collapsed="false">
      <c r="A280" s="3" t="s">
        <v>663</v>
      </c>
      <c r="B280" s="3" t="s">
        <v>101</v>
      </c>
      <c r="C280" s="3" t="s">
        <v>102</v>
      </c>
      <c r="D280" s="4" t="n">
        <v>2477.6</v>
      </c>
      <c r="E280" s="3" t="s">
        <v>60</v>
      </c>
      <c r="F280" s="3" t="n">
        <v>69.02</v>
      </c>
      <c r="G280" s="3" t="s">
        <v>60</v>
      </c>
      <c r="H280" s="3" t="s">
        <v>60</v>
      </c>
      <c r="I280" s="3" t="n">
        <v>7204500</v>
      </c>
      <c r="J280" s="3" t="n">
        <v>172200</v>
      </c>
      <c r="K280" s="3" t="s">
        <v>61</v>
      </c>
      <c r="L280" s="3" t="s">
        <v>62</v>
      </c>
      <c r="M280" s="3" t="s">
        <v>674</v>
      </c>
      <c r="N280" s="3" t="n">
        <v>2</v>
      </c>
      <c r="O280" s="3" t="s">
        <v>64</v>
      </c>
      <c r="P280" s="3" t="s">
        <v>65</v>
      </c>
    </row>
    <row r="281" customFormat="false" ht="15" hidden="false" customHeight="false" outlineLevel="0" collapsed="false">
      <c r="A281" s="3" t="s">
        <v>663</v>
      </c>
      <c r="B281" s="3" t="s">
        <v>136</v>
      </c>
      <c r="C281" s="3" t="s">
        <v>137</v>
      </c>
      <c r="D281" s="4" t="n">
        <v>162.85</v>
      </c>
      <c r="E281" s="3" t="s">
        <v>60</v>
      </c>
      <c r="F281" s="3" t="n">
        <v>45.36</v>
      </c>
      <c r="G281" s="3" t="s">
        <v>60</v>
      </c>
      <c r="H281" s="3" t="s">
        <v>60</v>
      </c>
      <c r="I281" s="3" t="n">
        <v>84786000</v>
      </c>
      <c r="J281" s="3" t="n">
        <v>1837875</v>
      </c>
      <c r="K281" s="3" t="s">
        <v>61</v>
      </c>
      <c r="L281" s="3" t="s">
        <v>62</v>
      </c>
      <c r="M281" s="3" t="s">
        <v>675</v>
      </c>
      <c r="N281" s="3" t="n">
        <v>7</v>
      </c>
      <c r="O281" s="3" t="s">
        <v>64</v>
      </c>
      <c r="P281" s="3" t="s">
        <v>65</v>
      </c>
    </row>
    <row r="282" customFormat="false" ht="15" hidden="false" customHeight="false" outlineLevel="0" collapsed="false">
      <c r="A282" s="3" t="s">
        <v>663</v>
      </c>
      <c r="B282" s="3" t="s">
        <v>272</v>
      </c>
      <c r="C282" s="3" t="s">
        <v>273</v>
      </c>
      <c r="D282" s="4" t="n">
        <v>348.05</v>
      </c>
      <c r="E282" s="3" t="s">
        <v>60</v>
      </c>
      <c r="F282" s="3" t="n">
        <v>65.22</v>
      </c>
      <c r="G282" s="3" t="s">
        <v>60</v>
      </c>
      <c r="H282" s="3" t="s">
        <v>60</v>
      </c>
      <c r="I282" s="3" t="n">
        <v>83296500</v>
      </c>
      <c r="J282" s="3" t="n">
        <v>481500</v>
      </c>
      <c r="K282" s="3" t="s">
        <v>61</v>
      </c>
      <c r="L282" s="3" t="s">
        <v>62</v>
      </c>
      <c r="M282" s="3" t="s">
        <v>676</v>
      </c>
      <c r="N282" s="3" t="n">
        <v>1</v>
      </c>
      <c r="O282" s="3" t="s">
        <v>69</v>
      </c>
      <c r="P282" s="3" t="s">
        <v>70</v>
      </c>
    </row>
    <row r="283" customFormat="false" ht="15" hidden="false" customHeight="false" outlineLevel="0" collapsed="false">
      <c r="A283" s="3" t="s">
        <v>663</v>
      </c>
      <c r="B283" s="3" t="s">
        <v>529</v>
      </c>
      <c r="C283" s="3" t="s">
        <v>530</v>
      </c>
      <c r="D283" s="4" t="n">
        <v>259.8</v>
      </c>
      <c r="E283" s="3" t="s">
        <v>60</v>
      </c>
      <c r="F283" s="3" t="n">
        <v>69.42</v>
      </c>
      <c r="G283" s="3" t="s">
        <v>60</v>
      </c>
      <c r="H283" s="3" t="s">
        <v>60</v>
      </c>
      <c r="I283" s="3" t="n">
        <v>96972200</v>
      </c>
      <c r="J283" s="3" t="n">
        <v>2388300</v>
      </c>
      <c r="K283" s="3" t="s">
        <v>61</v>
      </c>
      <c r="L283" s="3" t="s">
        <v>62</v>
      </c>
      <c r="M283" s="3" t="s">
        <v>677</v>
      </c>
      <c r="N283" s="3" t="n">
        <v>1</v>
      </c>
      <c r="O283" s="3" t="s">
        <v>69</v>
      </c>
      <c r="P283" s="3" t="s">
        <v>70</v>
      </c>
    </row>
    <row r="284" customFormat="false" ht="15" hidden="false" customHeight="false" outlineLevel="0" collapsed="false">
      <c r="A284" s="3" t="s">
        <v>663</v>
      </c>
      <c r="B284" s="3" t="s">
        <v>504</v>
      </c>
      <c r="C284" s="3" t="s">
        <v>505</v>
      </c>
      <c r="D284" s="4" t="n">
        <v>141.83</v>
      </c>
      <c r="E284" s="3" t="s">
        <v>60</v>
      </c>
      <c r="F284" s="3" t="n">
        <v>50.91</v>
      </c>
      <c r="G284" s="3" t="s">
        <v>60</v>
      </c>
      <c r="H284" s="3" t="s">
        <v>60</v>
      </c>
      <c r="I284" s="3" t="n">
        <v>92458600</v>
      </c>
      <c r="J284" s="3" t="n">
        <v>12474300</v>
      </c>
      <c r="K284" s="3" t="s">
        <v>61</v>
      </c>
      <c r="L284" s="3" t="s">
        <v>62</v>
      </c>
      <c r="M284" s="3" t="s">
        <v>678</v>
      </c>
      <c r="N284" s="3" t="n">
        <v>2</v>
      </c>
      <c r="O284" s="3" t="s">
        <v>69</v>
      </c>
      <c r="P284" s="3" t="s">
        <v>70</v>
      </c>
    </row>
    <row r="285" customFormat="false" ht="15" hidden="false" customHeight="false" outlineLevel="0" collapsed="false">
      <c r="A285" s="3" t="s">
        <v>663</v>
      </c>
      <c r="B285" s="3" t="s">
        <v>608</v>
      </c>
      <c r="C285" s="3" t="s">
        <v>609</v>
      </c>
      <c r="D285" s="4" t="n">
        <v>2053.2</v>
      </c>
      <c r="E285" s="3" t="s">
        <v>60</v>
      </c>
      <c r="F285" s="3" t="n">
        <v>47.18</v>
      </c>
      <c r="G285" s="3" t="s">
        <v>60</v>
      </c>
      <c r="H285" s="3" t="s">
        <v>60</v>
      </c>
      <c r="I285" s="3" t="n">
        <v>9744750</v>
      </c>
      <c r="J285" s="3" t="n">
        <v>125250</v>
      </c>
      <c r="K285" s="3" t="s">
        <v>61</v>
      </c>
      <c r="L285" s="3" t="s">
        <v>62</v>
      </c>
      <c r="M285" s="3" t="s">
        <v>679</v>
      </c>
      <c r="N285" s="3" t="n">
        <v>2</v>
      </c>
      <c r="O285" s="3" t="s">
        <v>64</v>
      </c>
      <c r="P285" s="3" t="s">
        <v>65</v>
      </c>
    </row>
    <row r="286" customFormat="false" ht="15" hidden="false" customHeight="false" outlineLevel="0" collapsed="false">
      <c r="A286" s="3" t="s">
        <v>663</v>
      </c>
      <c r="B286" s="3" t="s">
        <v>680</v>
      </c>
      <c r="C286" s="3" t="s">
        <v>681</v>
      </c>
      <c r="D286" s="4" t="n">
        <v>2280.7</v>
      </c>
      <c r="E286" s="3" t="s">
        <v>60</v>
      </c>
      <c r="F286" s="3" t="n">
        <v>70.91</v>
      </c>
      <c r="G286" s="3" t="s">
        <v>60</v>
      </c>
      <c r="H286" s="3" t="s">
        <v>60</v>
      </c>
      <c r="I286" s="3" t="n">
        <v>3759200</v>
      </c>
      <c r="J286" s="3" t="n">
        <v>318200</v>
      </c>
      <c r="K286" s="3" t="s">
        <v>61</v>
      </c>
      <c r="L286" s="3" t="s">
        <v>62</v>
      </c>
      <c r="M286" s="3" t="s">
        <v>682</v>
      </c>
      <c r="N286" s="3" t="n">
        <v>0</v>
      </c>
      <c r="O286" s="3" t="s">
        <v>64</v>
      </c>
      <c r="P286" s="3" t="s">
        <v>65</v>
      </c>
    </row>
    <row r="287" customFormat="false" ht="15" hidden="false" customHeight="false" outlineLevel="0" collapsed="false">
      <c r="A287" s="3" t="s">
        <v>683</v>
      </c>
      <c r="B287" s="3" t="s">
        <v>437</v>
      </c>
      <c r="C287" s="3" t="s">
        <v>438</v>
      </c>
      <c r="D287" s="4" t="n">
        <v>536.05</v>
      </c>
      <c r="E287" s="3" t="s">
        <v>60</v>
      </c>
      <c r="F287" s="3" t="n">
        <v>63.27</v>
      </c>
      <c r="G287" s="3" t="s">
        <v>60</v>
      </c>
      <c r="H287" s="3" t="s">
        <v>60</v>
      </c>
      <c r="I287" s="3" t="n">
        <v>46229400</v>
      </c>
      <c r="J287" s="3" t="n">
        <v>268800</v>
      </c>
      <c r="K287" s="3" t="s">
        <v>61</v>
      </c>
      <c r="L287" s="3" t="s">
        <v>62</v>
      </c>
      <c r="M287" s="3" t="s">
        <v>684</v>
      </c>
      <c r="N287" s="3" t="n">
        <v>1</v>
      </c>
      <c r="O287" s="3" t="s">
        <v>64</v>
      </c>
      <c r="P287" s="3" t="s">
        <v>65</v>
      </c>
    </row>
    <row r="288" customFormat="false" ht="15" hidden="false" customHeight="false" outlineLevel="0" collapsed="false">
      <c r="A288" s="3" t="s">
        <v>683</v>
      </c>
      <c r="B288" s="3" t="s">
        <v>490</v>
      </c>
      <c r="C288" s="3" t="s">
        <v>491</v>
      </c>
      <c r="D288" s="4" t="n">
        <v>366.95</v>
      </c>
      <c r="E288" s="3" t="s">
        <v>60</v>
      </c>
      <c r="F288" s="3" t="n">
        <v>55.18</v>
      </c>
      <c r="G288" s="3" t="s">
        <v>60</v>
      </c>
      <c r="H288" s="3" t="s">
        <v>60</v>
      </c>
      <c r="I288" s="3" t="n">
        <v>35933150</v>
      </c>
      <c r="J288" s="3" t="n">
        <v>2370000</v>
      </c>
      <c r="K288" s="3" t="s">
        <v>61</v>
      </c>
      <c r="L288" s="3" t="s">
        <v>62</v>
      </c>
      <c r="M288" s="3" t="s">
        <v>685</v>
      </c>
      <c r="N288" s="3" t="n">
        <v>1</v>
      </c>
      <c r="O288" s="3" t="s">
        <v>100</v>
      </c>
      <c r="P288" s="3" t="s">
        <v>70</v>
      </c>
    </row>
    <row r="289" customFormat="false" ht="15" hidden="false" customHeight="false" outlineLevel="0" collapsed="false">
      <c r="A289" s="3" t="s">
        <v>683</v>
      </c>
      <c r="B289" s="3" t="s">
        <v>686</v>
      </c>
      <c r="C289" s="3" t="s">
        <v>687</v>
      </c>
      <c r="D289" s="4" t="n">
        <v>455.75</v>
      </c>
      <c r="E289" s="3" t="s">
        <v>60</v>
      </c>
      <c r="F289" s="3" t="n">
        <v>49.3</v>
      </c>
      <c r="G289" s="3" t="s">
        <v>60</v>
      </c>
      <c r="H289" s="3" t="s">
        <v>60</v>
      </c>
      <c r="I289" s="3" t="n">
        <v>38649150</v>
      </c>
      <c r="J289" s="3" t="n">
        <v>893700</v>
      </c>
      <c r="K289" s="3" t="s">
        <v>61</v>
      </c>
      <c r="L289" s="3" t="s">
        <v>62</v>
      </c>
      <c r="M289" s="3" t="s">
        <v>688</v>
      </c>
      <c r="N289" s="3" t="n">
        <v>0</v>
      </c>
      <c r="O289" s="3" t="s">
        <v>64</v>
      </c>
      <c r="P289" s="3" t="s">
        <v>65</v>
      </c>
    </row>
    <row r="290" customFormat="false" ht="15" hidden="false" customHeight="false" outlineLevel="0" collapsed="false">
      <c r="A290" s="3" t="s">
        <v>683</v>
      </c>
      <c r="B290" s="3" t="s">
        <v>96</v>
      </c>
      <c r="C290" s="3" t="s">
        <v>97</v>
      </c>
      <c r="D290" s="4" t="n">
        <v>411.8</v>
      </c>
      <c r="E290" s="3" t="s">
        <v>60</v>
      </c>
      <c r="F290" s="3" t="n">
        <v>50.65</v>
      </c>
      <c r="G290" s="3" t="s">
        <v>60</v>
      </c>
      <c r="H290" s="3" t="s">
        <v>60</v>
      </c>
      <c r="I290" s="3" t="n">
        <v>26292325</v>
      </c>
      <c r="J290" s="3" t="n">
        <v>1278200</v>
      </c>
      <c r="K290" s="3" t="s">
        <v>61</v>
      </c>
      <c r="L290" s="3" t="s">
        <v>62</v>
      </c>
      <c r="M290" s="3" t="s">
        <v>689</v>
      </c>
      <c r="N290" s="3" t="n">
        <v>4</v>
      </c>
      <c r="O290" s="3" t="s">
        <v>100</v>
      </c>
      <c r="P290" s="3" t="s">
        <v>70</v>
      </c>
    </row>
    <row r="291" customFormat="false" ht="15" hidden="false" customHeight="false" outlineLevel="0" collapsed="false">
      <c r="A291" s="3" t="s">
        <v>683</v>
      </c>
      <c r="B291" s="3" t="s">
        <v>114</v>
      </c>
      <c r="C291" s="3" t="s">
        <v>115</v>
      </c>
      <c r="D291" s="4" t="n">
        <v>84.6</v>
      </c>
      <c r="E291" s="3" t="s">
        <v>60</v>
      </c>
      <c r="F291" s="3" t="n">
        <v>49.11</v>
      </c>
      <c r="G291" s="3" t="s">
        <v>60</v>
      </c>
      <c r="H291" s="3" t="s">
        <v>60</v>
      </c>
      <c r="I291" s="3" t="n">
        <v>332835750</v>
      </c>
      <c r="J291" s="3" t="n">
        <v>384750</v>
      </c>
      <c r="K291" s="3" t="s">
        <v>61</v>
      </c>
      <c r="L291" s="3" t="s">
        <v>62</v>
      </c>
      <c r="M291" s="3" t="s">
        <v>690</v>
      </c>
      <c r="N291" s="3" t="n">
        <v>4</v>
      </c>
      <c r="O291" s="3" t="s">
        <v>64</v>
      </c>
      <c r="P291" s="3" t="s">
        <v>65</v>
      </c>
    </row>
    <row r="292" customFormat="false" ht="15" hidden="false" customHeight="false" outlineLevel="0" collapsed="false">
      <c r="A292" s="3" t="s">
        <v>683</v>
      </c>
      <c r="B292" s="3" t="s">
        <v>272</v>
      </c>
      <c r="C292" s="3" t="s">
        <v>273</v>
      </c>
      <c r="D292" s="4" t="n">
        <v>358.15</v>
      </c>
      <c r="E292" s="3" t="s">
        <v>60</v>
      </c>
      <c r="F292" s="3" t="n">
        <v>51.32</v>
      </c>
      <c r="G292" s="3" t="s">
        <v>60</v>
      </c>
      <c r="H292" s="3" t="s">
        <v>60</v>
      </c>
      <c r="I292" s="3" t="n">
        <v>85288500</v>
      </c>
      <c r="J292" s="3" t="n">
        <v>1992000</v>
      </c>
      <c r="K292" s="3" t="s">
        <v>61</v>
      </c>
      <c r="L292" s="3" t="s">
        <v>62</v>
      </c>
      <c r="M292" s="3" t="s">
        <v>691</v>
      </c>
      <c r="N292" s="3" t="n">
        <v>1</v>
      </c>
      <c r="O292" s="3" t="s">
        <v>100</v>
      </c>
      <c r="P292" s="3" t="s">
        <v>70</v>
      </c>
    </row>
    <row r="293" customFormat="false" ht="15" hidden="false" customHeight="false" outlineLevel="0" collapsed="false">
      <c r="A293" s="3" t="s">
        <v>683</v>
      </c>
      <c r="B293" s="3" t="s">
        <v>529</v>
      </c>
      <c r="C293" s="3" t="s">
        <v>530</v>
      </c>
      <c r="D293" s="4" t="n">
        <v>260.5</v>
      </c>
      <c r="E293" s="3" t="s">
        <v>60</v>
      </c>
      <c r="F293" s="3" t="n">
        <v>74.61</v>
      </c>
      <c r="G293" s="3" t="s">
        <v>60</v>
      </c>
      <c r="H293" s="3" t="s">
        <v>60</v>
      </c>
      <c r="I293" s="3" t="n">
        <v>101961600</v>
      </c>
      <c r="J293" s="3" t="n">
        <v>4989400</v>
      </c>
      <c r="K293" s="3" t="s">
        <v>61</v>
      </c>
      <c r="L293" s="3" t="s">
        <v>62</v>
      </c>
      <c r="M293" s="3" t="s">
        <v>692</v>
      </c>
      <c r="N293" s="3" t="n">
        <v>1</v>
      </c>
      <c r="O293" s="3" t="s">
        <v>100</v>
      </c>
      <c r="P293" s="3" t="s">
        <v>70</v>
      </c>
    </row>
    <row r="294" customFormat="false" ht="15" hidden="false" customHeight="false" outlineLevel="0" collapsed="false">
      <c r="A294" s="3" t="s">
        <v>683</v>
      </c>
      <c r="B294" s="3" t="s">
        <v>504</v>
      </c>
      <c r="C294" s="3" t="s">
        <v>505</v>
      </c>
      <c r="D294" s="4" t="n">
        <v>147.57</v>
      </c>
      <c r="E294" s="3" t="s">
        <v>60</v>
      </c>
      <c r="F294" s="3" t="n">
        <v>48.47</v>
      </c>
      <c r="G294" s="3" t="s">
        <v>60</v>
      </c>
      <c r="H294" s="3" t="s">
        <v>60</v>
      </c>
      <c r="I294" s="3" t="n">
        <v>107285000</v>
      </c>
      <c r="J294" s="3" t="n">
        <v>14826400</v>
      </c>
      <c r="K294" s="3" t="s">
        <v>61</v>
      </c>
      <c r="L294" s="3" t="s">
        <v>62</v>
      </c>
      <c r="M294" s="3" t="s">
        <v>693</v>
      </c>
      <c r="N294" s="3" t="n">
        <v>2</v>
      </c>
      <c r="O294" s="3" t="s">
        <v>100</v>
      </c>
      <c r="P294" s="3" t="s">
        <v>70</v>
      </c>
    </row>
    <row r="295" customFormat="false" ht="15" hidden="false" customHeight="false" outlineLevel="0" collapsed="false">
      <c r="A295" s="3" t="s">
        <v>694</v>
      </c>
      <c r="B295" s="3" t="s">
        <v>328</v>
      </c>
      <c r="C295" s="3" t="s">
        <v>329</v>
      </c>
      <c r="D295" s="4" t="n">
        <v>5860.5</v>
      </c>
      <c r="E295" s="3" t="s">
        <v>60</v>
      </c>
      <c r="F295" s="3" t="n">
        <v>64.49</v>
      </c>
      <c r="G295" s="3" t="s">
        <v>60</v>
      </c>
      <c r="H295" s="3" t="s">
        <v>60</v>
      </c>
      <c r="I295" s="3" t="n">
        <v>3337250</v>
      </c>
      <c r="J295" s="3" t="n">
        <v>68250</v>
      </c>
      <c r="K295" s="3" t="s">
        <v>61</v>
      </c>
      <c r="L295" s="3" t="s">
        <v>62</v>
      </c>
      <c r="M295" s="3" t="s">
        <v>695</v>
      </c>
      <c r="N295" s="3" t="n">
        <v>2</v>
      </c>
      <c r="O295" s="3" t="s">
        <v>64</v>
      </c>
      <c r="P295" s="3" t="s">
        <v>65</v>
      </c>
    </row>
    <row r="296" customFormat="false" ht="15" hidden="false" customHeight="false" outlineLevel="0" collapsed="false">
      <c r="A296" s="3" t="s">
        <v>694</v>
      </c>
      <c r="B296" s="3" t="s">
        <v>565</v>
      </c>
      <c r="C296" s="3" t="s">
        <v>566</v>
      </c>
      <c r="D296" s="4" t="n">
        <v>1285</v>
      </c>
      <c r="E296" s="3" t="s">
        <v>60</v>
      </c>
      <c r="F296" s="3" t="n">
        <v>70.17</v>
      </c>
      <c r="G296" s="3" t="s">
        <v>60</v>
      </c>
      <c r="H296" s="3" t="s">
        <v>60</v>
      </c>
      <c r="I296" s="3" t="n">
        <v>9413000</v>
      </c>
      <c r="J296" s="3" t="n">
        <v>414500</v>
      </c>
      <c r="K296" s="3" t="s">
        <v>61</v>
      </c>
      <c r="L296" s="3" t="s">
        <v>62</v>
      </c>
      <c r="M296" s="3" t="s">
        <v>696</v>
      </c>
      <c r="N296" s="3" t="n">
        <v>1</v>
      </c>
      <c r="O296" s="3" t="s">
        <v>64</v>
      </c>
      <c r="P296" s="3" t="s">
        <v>65</v>
      </c>
    </row>
    <row r="297" customFormat="false" ht="15" hidden="false" customHeight="false" outlineLevel="0" collapsed="false">
      <c r="A297" s="3" t="s">
        <v>694</v>
      </c>
      <c r="B297" s="3" t="s">
        <v>605</v>
      </c>
      <c r="C297" s="3" t="s">
        <v>606</v>
      </c>
      <c r="D297" s="4" t="n">
        <v>444.3</v>
      </c>
      <c r="E297" s="3" t="s">
        <v>60</v>
      </c>
      <c r="F297" s="3" t="n">
        <v>56.98</v>
      </c>
      <c r="G297" s="3" t="s">
        <v>60</v>
      </c>
      <c r="H297" s="3" t="s">
        <v>60</v>
      </c>
      <c r="I297" s="3" t="n">
        <v>93333400</v>
      </c>
      <c r="J297" s="3" t="n">
        <v>35700</v>
      </c>
      <c r="K297" s="3" t="s">
        <v>61</v>
      </c>
      <c r="L297" s="3" t="s">
        <v>62</v>
      </c>
      <c r="M297" s="3" t="s">
        <v>697</v>
      </c>
      <c r="N297" s="3" t="n">
        <v>1</v>
      </c>
      <c r="O297" s="3" t="s">
        <v>64</v>
      </c>
      <c r="P297" s="3" t="s">
        <v>65</v>
      </c>
    </row>
    <row r="298" customFormat="false" ht="15" hidden="false" customHeight="false" outlineLevel="0" collapsed="false">
      <c r="A298" s="3" t="s">
        <v>694</v>
      </c>
      <c r="B298" s="3" t="s">
        <v>501</v>
      </c>
      <c r="C298" s="3" t="s">
        <v>502</v>
      </c>
      <c r="D298" s="4" t="n">
        <v>4021.1</v>
      </c>
      <c r="E298" s="3" t="s">
        <v>60</v>
      </c>
      <c r="F298" s="3" t="n">
        <v>62.97</v>
      </c>
      <c r="G298" s="3" t="s">
        <v>60</v>
      </c>
      <c r="H298" s="3" t="s">
        <v>60</v>
      </c>
      <c r="I298" s="3" t="n">
        <v>1365875</v>
      </c>
      <c r="J298" s="3" t="n">
        <v>107450</v>
      </c>
      <c r="K298" s="3" t="s">
        <v>61</v>
      </c>
      <c r="L298" s="3" t="s">
        <v>62</v>
      </c>
      <c r="M298" s="3" t="s">
        <v>698</v>
      </c>
      <c r="N298" s="3" t="n">
        <v>1</v>
      </c>
      <c r="O298" s="3" t="s">
        <v>64</v>
      </c>
      <c r="P298" s="3" t="s">
        <v>65</v>
      </c>
    </row>
    <row r="299" customFormat="false" ht="15" hidden="false" customHeight="false" outlineLevel="0" collapsed="false">
      <c r="A299" s="3" t="s">
        <v>694</v>
      </c>
      <c r="B299" s="3" t="s">
        <v>554</v>
      </c>
      <c r="C299" s="3" t="s">
        <v>555</v>
      </c>
      <c r="D299" s="4" t="n">
        <v>1387.6</v>
      </c>
      <c r="E299" s="3" t="s">
        <v>60</v>
      </c>
      <c r="F299" s="3" t="n">
        <v>57.04</v>
      </c>
      <c r="G299" s="3" t="s">
        <v>60</v>
      </c>
      <c r="H299" s="3" t="s">
        <v>60</v>
      </c>
      <c r="I299" s="3" t="n">
        <v>2994550</v>
      </c>
      <c r="J299" s="3" t="n">
        <v>112625</v>
      </c>
      <c r="K299" s="3" t="s">
        <v>61</v>
      </c>
      <c r="L299" s="3" t="s">
        <v>62</v>
      </c>
      <c r="M299" s="3" t="s">
        <v>699</v>
      </c>
      <c r="N299" s="3" t="n">
        <v>1</v>
      </c>
      <c r="O299" s="3" t="s">
        <v>64</v>
      </c>
      <c r="P299" s="3" t="s">
        <v>65</v>
      </c>
    </row>
    <row r="300" customFormat="false" ht="15" hidden="false" customHeight="false" outlineLevel="0" collapsed="false">
      <c r="A300" s="3" t="s">
        <v>694</v>
      </c>
      <c r="B300" s="3" t="s">
        <v>700</v>
      </c>
      <c r="C300" s="3" t="s">
        <v>701</v>
      </c>
      <c r="D300" s="4" t="n">
        <v>3677.4</v>
      </c>
      <c r="E300" s="3" t="s">
        <v>60</v>
      </c>
      <c r="F300" s="3" t="n">
        <v>51.36</v>
      </c>
      <c r="G300" s="3" t="s">
        <v>60</v>
      </c>
      <c r="H300" s="3" t="s">
        <v>60</v>
      </c>
      <c r="I300" s="3" t="n">
        <v>8336825</v>
      </c>
      <c r="J300" s="3" t="n">
        <v>57400</v>
      </c>
      <c r="K300" s="3" t="s">
        <v>61</v>
      </c>
      <c r="L300" s="3" t="s">
        <v>62</v>
      </c>
      <c r="M300" s="3" t="s">
        <v>702</v>
      </c>
      <c r="N300" s="3" t="n">
        <v>0</v>
      </c>
      <c r="O300" s="3" t="s">
        <v>64</v>
      </c>
      <c r="P300" s="3" t="s">
        <v>65</v>
      </c>
    </row>
    <row r="301" customFormat="false" ht="15" hidden="false" customHeight="false" outlineLevel="0" collapsed="false">
      <c r="A301" s="3" t="s">
        <v>703</v>
      </c>
      <c r="B301" s="3" t="s">
        <v>136</v>
      </c>
      <c r="C301" s="3" t="s">
        <v>137</v>
      </c>
      <c r="D301" s="4" t="n">
        <v>164.61</v>
      </c>
      <c r="E301" s="3" t="s">
        <v>60</v>
      </c>
      <c r="F301" s="3" t="n">
        <v>48.65</v>
      </c>
      <c r="G301" s="3" t="s">
        <v>60</v>
      </c>
      <c r="H301" s="3" t="s">
        <v>60</v>
      </c>
      <c r="I301" s="3" t="n">
        <v>88778625</v>
      </c>
      <c r="J301" s="3" t="n">
        <v>2978625</v>
      </c>
      <c r="K301" s="3" t="s">
        <v>61</v>
      </c>
      <c r="L301" s="3" t="s">
        <v>62</v>
      </c>
      <c r="M301" s="3" t="s">
        <v>704</v>
      </c>
      <c r="N301" s="3" t="n">
        <v>8</v>
      </c>
      <c r="O301" s="3" t="s">
        <v>299</v>
      </c>
      <c r="P301" s="3" t="s">
        <v>70</v>
      </c>
    </row>
    <row r="302" customFormat="false" ht="15" hidden="false" customHeight="false" outlineLevel="0" collapsed="false">
      <c r="A302" s="3" t="s">
        <v>703</v>
      </c>
      <c r="B302" s="3" t="s">
        <v>608</v>
      </c>
      <c r="C302" s="3" t="s">
        <v>609</v>
      </c>
      <c r="D302" s="4" t="n">
        <v>2001</v>
      </c>
      <c r="E302" s="3" t="s">
        <v>60</v>
      </c>
      <c r="F302" s="3" t="n">
        <v>66.82</v>
      </c>
      <c r="G302" s="3" t="s">
        <v>60</v>
      </c>
      <c r="H302" s="3" t="s">
        <v>60</v>
      </c>
      <c r="I302" s="3" t="n">
        <v>9977250</v>
      </c>
      <c r="J302" s="3" t="n">
        <v>125625</v>
      </c>
      <c r="K302" s="3" t="s">
        <v>61</v>
      </c>
      <c r="L302" s="3" t="s">
        <v>62</v>
      </c>
      <c r="M302" s="3" t="s">
        <v>705</v>
      </c>
      <c r="N302" s="3" t="n">
        <v>3</v>
      </c>
      <c r="O302" s="3" t="s">
        <v>64</v>
      </c>
      <c r="P302" s="3" t="s">
        <v>65</v>
      </c>
    </row>
    <row r="303" customFormat="false" ht="15" hidden="false" customHeight="false" outlineLevel="0" collapsed="false">
      <c r="A303" s="3" t="s">
        <v>703</v>
      </c>
      <c r="B303" s="3" t="s">
        <v>300</v>
      </c>
      <c r="C303" s="3" t="s">
        <v>301</v>
      </c>
      <c r="D303" s="4" t="n">
        <v>1028.7</v>
      </c>
      <c r="E303" s="3" t="s">
        <v>60</v>
      </c>
      <c r="F303" s="3" t="n">
        <v>49.15</v>
      </c>
      <c r="G303" s="3" t="s">
        <v>60</v>
      </c>
      <c r="H303" s="3" t="s">
        <v>60</v>
      </c>
      <c r="I303" s="3" t="n">
        <v>67726500</v>
      </c>
      <c r="J303" s="3" t="n">
        <v>3046500</v>
      </c>
      <c r="K303" s="3" t="s">
        <v>61</v>
      </c>
      <c r="L303" s="3" t="s">
        <v>62</v>
      </c>
      <c r="M303" s="3" t="s">
        <v>706</v>
      </c>
      <c r="N303" s="3" t="n">
        <v>2</v>
      </c>
      <c r="O303" s="3" t="s">
        <v>64</v>
      </c>
      <c r="P303" s="3" t="s">
        <v>65</v>
      </c>
    </row>
    <row r="304" customFormat="false" ht="15" hidden="false" customHeight="false" outlineLevel="0" collapsed="false">
      <c r="A304" s="3" t="s">
        <v>707</v>
      </c>
      <c r="B304" s="3" t="s">
        <v>708</v>
      </c>
      <c r="C304" s="3" t="s">
        <v>709</v>
      </c>
      <c r="D304" s="4" t="n">
        <v>5668.5</v>
      </c>
      <c r="E304" s="3" t="s">
        <v>60</v>
      </c>
      <c r="F304" s="3" t="n">
        <v>58.36</v>
      </c>
      <c r="G304" s="3" t="s">
        <v>60</v>
      </c>
      <c r="H304" s="3" t="s">
        <v>60</v>
      </c>
      <c r="I304" s="3" t="n">
        <v>2198750</v>
      </c>
      <c r="J304" s="3" t="n">
        <v>39125</v>
      </c>
      <c r="K304" s="3" t="s">
        <v>61</v>
      </c>
      <c r="L304" s="3" t="s">
        <v>62</v>
      </c>
      <c r="M304" s="3" t="s">
        <v>710</v>
      </c>
      <c r="N304" s="3" t="n">
        <v>0</v>
      </c>
      <c r="O304" s="3" t="s">
        <v>64</v>
      </c>
      <c r="P304" s="3" t="s">
        <v>65</v>
      </c>
    </row>
    <row r="305" customFormat="false" ht="15" hidden="false" customHeight="false" outlineLevel="0" collapsed="false">
      <c r="A305" s="3" t="s">
        <v>707</v>
      </c>
      <c r="B305" s="3" t="s">
        <v>664</v>
      </c>
      <c r="C305" s="3" t="s">
        <v>665</v>
      </c>
      <c r="D305" s="4" t="n">
        <v>1539</v>
      </c>
      <c r="E305" s="3" t="s">
        <v>60</v>
      </c>
      <c r="F305" s="3" t="n">
        <v>52.71</v>
      </c>
      <c r="G305" s="3" t="s">
        <v>60</v>
      </c>
      <c r="H305" s="3" t="s">
        <v>60</v>
      </c>
      <c r="I305" s="3" t="n">
        <v>6845500</v>
      </c>
      <c r="J305" s="3" t="n">
        <v>551000</v>
      </c>
      <c r="K305" s="3" t="s">
        <v>61</v>
      </c>
      <c r="L305" s="3" t="s">
        <v>62</v>
      </c>
      <c r="M305" s="3" t="s">
        <v>711</v>
      </c>
      <c r="N305" s="3" t="n">
        <v>1</v>
      </c>
      <c r="O305" s="3" t="s">
        <v>64</v>
      </c>
      <c r="P305" s="3" t="s">
        <v>65</v>
      </c>
    </row>
    <row r="306" customFormat="false" ht="15" hidden="false" customHeight="false" outlineLevel="0" collapsed="false">
      <c r="A306" s="3" t="s">
        <v>707</v>
      </c>
      <c r="B306" s="3" t="s">
        <v>199</v>
      </c>
      <c r="C306" s="3" t="s">
        <v>200</v>
      </c>
      <c r="D306" s="4" t="n">
        <v>372.3</v>
      </c>
      <c r="E306" s="3" t="s">
        <v>60</v>
      </c>
      <c r="F306" s="3" t="n">
        <v>52.22</v>
      </c>
      <c r="G306" s="3" t="s">
        <v>60</v>
      </c>
      <c r="H306" s="3" t="s">
        <v>60</v>
      </c>
      <c r="I306" s="3" t="n">
        <v>40300000</v>
      </c>
      <c r="J306" s="3" t="n">
        <v>1140000</v>
      </c>
      <c r="K306" s="3" t="s">
        <v>61</v>
      </c>
      <c r="L306" s="3" t="s">
        <v>62</v>
      </c>
      <c r="M306" s="3" t="s">
        <v>712</v>
      </c>
      <c r="N306" s="3" t="n">
        <v>5</v>
      </c>
      <c r="O306" s="3" t="s">
        <v>64</v>
      </c>
      <c r="P306" s="3" t="s">
        <v>65</v>
      </c>
    </row>
    <row r="307" customFormat="false" ht="15" hidden="false" customHeight="false" outlineLevel="0" collapsed="false">
      <c r="A307" s="3" t="s">
        <v>707</v>
      </c>
      <c r="B307" s="3" t="s">
        <v>490</v>
      </c>
      <c r="C307" s="3" t="s">
        <v>491</v>
      </c>
      <c r="D307" s="4" t="n">
        <v>373.45</v>
      </c>
      <c r="E307" s="3" t="s">
        <v>60</v>
      </c>
      <c r="F307" s="3" t="n">
        <v>50.63</v>
      </c>
      <c r="G307" s="3" t="s">
        <v>60</v>
      </c>
      <c r="H307" s="3" t="s">
        <v>60</v>
      </c>
      <c r="I307" s="3" t="n">
        <v>36940400</v>
      </c>
      <c r="J307" s="3" t="n">
        <v>2695875</v>
      </c>
      <c r="K307" s="3" t="s">
        <v>61</v>
      </c>
      <c r="L307" s="3" t="s">
        <v>62</v>
      </c>
      <c r="M307" s="3" t="s">
        <v>713</v>
      </c>
      <c r="N307" s="3" t="n">
        <v>2</v>
      </c>
      <c r="O307" s="3" t="s">
        <v>64</v>
      </c>
      <c r="P307" s="3" t="s">
        <v>65</v>
      </c>
    </row>
    <row r="308" customFormat="false" ht="15" hidden="false" customHeight="false" outlineLevel="0" collapsed="false">
      <c r="A308" s="3" t="s">
        <v>707</v>
      </c>
      <c r="B308" s="3" t="s">
        <v>130</v>
      </c>
      <c r="C308" s="3" t="s">
        <v>131</v>
      </c>
      <c r="D308" s="4" t="n">
        <v>728.45</v>
      </c>
      <c r="E308" s="3" t="s">
        <v>60</v>
      </c>
      <c r="F308" s="3" t="n">
        <v>49.47</v>
      </c>
      <c r="G308" s="3" t="s">
        <v>60</v>
      </c>
      <c r="H308" s="3" t="s">
        <v>60</v>
      </c>
      <c r="I308" s="3" t="n">
        <v>6521250</v>
      </c>
      <c r="J308" s="3" t="n">
        <v>42000</v>
      </c>
      <c r="K308" s="3" t="s">
        <v>61</v>
      </c>
      <c r="L308" s="3" t="s">
        <v>62</v>
      </c>
      <c r="M308" s="3" t="s">
        <v>714</v>
      </c>
      <c r="N308" s="3" t="n">
        <v>1</v>
      </c>
      <c r="O308" s="3" t="s">
        <v>64</v>
      </c>
      <c r="P308" s="3" t="s">
        <v>65</v>
      </c>
    </row>
    <row r="309" customFormat="false" ht="15" hidden="false" customHeight="false" outlineLevel="0" collapsed="false">
      <c r="A309" s="3" t="s">
        <v>707</v>
      </c>
      <c r="B309" s="3" t="s">
        <v>686</v>
      </c>
      <c r="C309" s="3" t="s">
        <v>687</v>
      </c>
      <c r="D309" s="4" t="n">
        <v>429.4</v>
      </c>
      <c r="E309" s="3" t="s">
        <v>60</v>
      </c>
      <c r="F309" s="3" t="n">
        <v>51.99</v>
      </c>
      <c r="G309" s="3" t="s">
        <v>60</v>
      </c>
      <c r="H309" s="3" t="s">
        <v>60</v>
      </c>
      <c r="I309" s="3" t="n">
        <v>42232050</v>
      </c>
      <c r="J309" s="3" t="n">
        <v>2520450</v>
      </c>
      <c r="K309" s="3" t="s">
        <v>61</v>
      </c>
      <c r="L309" s="3" t="s">
        <v>62</v>
      </c>
      <c r="M309" s="3" t="s">
        <v>715</v>
      </c>
      <c r="N309" s="3" t="n">
        <v>1</v>
      </c>
      <c r="O309" s="3" t="s">
        <v>64</v>
      </c>
      <c r="P309" s="3" t="s">
        <v>65</v>
      </c>
    </row>
    <row r="310" customFormat="false" ht="15" hidden="false" customHeight="false" outlineLevel="0" collapsed="false">
      <c r="A310" s="3" t="s">
        <v>707</v>
      </c>
      <c r="B310" s="3" t="s">
        <v>357</v>
      </c>
      <c r="C310" s="3" t="s">
        <v>358</v>
      </c>
      <c r="D310" s="4" t="n">
        <v>527.9</v>
      </c>
      <c r="E310" s="3" t="s">
        <v>60</v>
      </c>
      <c r="F310" s="3" t="n">
        <v>52.47</v>
      </c>
      <c r="G310" s="3" t="s">
        <v>60</v>
      </c>
      <c r="H310" s="3" t="s">
        <v>60</v>
      </c>
      <c r="I310" s="3" t="n">
        <v>31540000</v>
      </c>
      <c r="J310" s="3" t="n">
        <v>30000</v>
      </c>
      <c r="K310" s="3" t="s">
        <v>61</v>
      </c>
      <c r="L310" s="3" t="s">
        <v>62</v>
      </c>
      <c r="M310" s="3" t="s">
        <v>716</v>
      </c>
      <c r="N310" s="3" t="n">
        <v>2</v>
      </c>
      <c r="O310" s="3" t="s">
        <v>64</v>
      </c>
      <c r="P310" s="3" t="s">
        <v>65</v>
      </c>
    </row>
    <row r="311" customFormat="false" ht="15" hidden="false" customHeight="false" outlineLevel="0" collapsed="false">
      <c r="A311" s="3" t="s">
        <v>707</v>
      </c>
      <c r="B311" s="3" t="s">
        <v>399</v>
      </c>
      <c r="C311" s="3" t="s">
        <v>400</v>
      </c>
      <c r="D311" s="4" t="n">
        <v>720.15</v>
      </c>
      <c r="E311" s="3" t="s">
        <v>60</v>
      </c>
      <c r="F311" s="3" t="n">
        <v>58.57</v>
      </c>
      <c r="G311" s="3" t="s">
        <v>60</v>
      </c>
      <c r="H311" s="3" t="s">
        <v>60</v>
      </c>
      <c r="I311" s="3" t="n">
        <v>32664500</v>
      </c>
      <c r="J311" s="3" t="n">
        <v>1994300</v>
      </c>
      <c r="K311" s="3" t="s">
        <v>61</v>
      </c>
      <c r="L311" s="3" t="s">
        <v>62</v>
      </c>
      <c r="M311" s="3" t="s">
        <v>717</v>
      </c>
      <c r="N311" s="3" t="n">
        <v>2</v>
      </c>
      <c r="O311" s="3" t="s">
        <v>69</v>
      </c>
      <c r="P311" s="3" t="s">
        <v>70</v>
      </c>
    </row>
    <row r="312" customFormat="false" ht="15" hidden="false" customHeight="false" outlineLevel="0" collapsed="false">
      <c r="A312" s="3" t="s">
        <v>707</v>
      </c>
      <c r="B312" s="3" t="s">
        <v>74</v>
      </c>
      <c r="C312" s="3" t="s">
        <v>75</v>
      </c>
      <c r="D312" s="4" t="n">
        <v>1861.5</v>
      </c>
      <c r="E312" s="3" t="s">
        <v>60</v>
      </c>
      <c r="F312" s="3" t="n">
        <v>62.17</v>
      </c>
      <c r="G312" s="3" t="s">
        <v>60</v>
      </c>
      <c r="H312" s="3" t="s">
        <v>60</v>
      </c>
      <c r="I312" s="3" t="n">
        <v>5425225</v>
      </c>
      <c r="J312" s="3" t="n">
        <v>120250</v>
      </c>
      <c r="K312" s="3" t="s">
        <v>61</v>
      </c>
      <c r="L312" s="3" t="s">
        <v>62</v>
      </c>
      <c r="M312" s="3" t="s">
        <v>718</v>
      </c>
      <c r="N312" s="3" t="n">
        <v>1</v>
      </c>
      <c r="O312" s="3" t="s">
        <v>64</v>
      </c>
      <c r="P312" s="3" t="s">
        <v>65</v>
      </c>
    </row>
    <row r="313" customFormat="false" ht="15" hidden="false" customHeight="false" outlineLevel="0" collapsed="false">
      <c r="A313" s="3" t="s">
        <v>707</v>
      </c>
      <c r="B313" s="3" t="s">
        <v>136</v>
      </c>
      <c r="C313" s="3" t="s">
        <v>137</v>
      </c>
      <c r="D313" s="4" t="n">
        <v>167.58</v>
      </c>
      <c r="E313" s="3" t="s">
        <v>60</v>
      </c>
      <c r="F313" s="3" t="n">
        <v>45.77</v>
      </c>
      <c r="G313" s="3" t="s">
        <v>60</v>
      </c>
      <c r="H313" s="3" t="s">
        <v>60</v>
      </c>
      <c r="I313" s="3" t="n">
        <v>89680500</v>
      </c>
      <c r="J313" s="3" t="n">
        <v>901875</v>
      </c>
      <c r="K313" s="3" t="s">
        <v>61</v>
      </c>
      <c r="L313" s="3" t="s">
        <v>315</v>
      </c>
      <c r="M313" s="3" t="s">
        <v>719</v>
      </c>
      <c r="N313" s="3" t="n">
        <v>8</v>
      </c>
      <c r="O313" s="3" t="s">
        <v>317</v>
      </c>
      <c r="P313" s="3" t="s">
        <v>70</v>
      </c>
    </row>
    <row r="314" customFormat="false" ht="15" hidden="false" customHeight="false" outlineLevel="0" collapsed="false">
      <c r="A314" s="3" t="s">
        <v>707</v>
      </c>
      <c r="B314" s="3" t="s">
        <v>139</v>
      </c>
      <c r="C314" s="3" t="s">
        <v>140</v>
      </c>
      <c r="D314" s="4" t="n">
        <v>2162.6</v>
      </c>
      <c r="E314" s="3" t="s">
        <v>60</v>
      </c>
      <c r="F314" s="3" t="n">
        <v>52.51</v>
      </c>
      <c r="G314" s="3" t="s">
        <v>60</v>
      </c>
      <c r="H314" s="3" t="s">
        <v>60</v>
      </c>
      <c r="I314" s="3" t="n">
        <v>2247750</v>
      </c>
      <c r="J314" s="3" t="n">
        <v>181800</v>
      </c>
      <c r="K314" s="3" t="s">
        <v>61</v>
      </c>
      <c r="L314" s="3" t="s">
        <v>62</v>
      </c>
      <c r="M314" s="3" t="s">
        <v>720</v>
      </c>
      <c r="N314" s="3" t="n">
        <v>3</v>
      </c>
      <c r="O314" s="3" t="s">
        <v>64</v>
      </c>
      <c r="P314" s="3" t="s">
        <v>65</v>
      </c>
    </row>
    <row r="315" customFormat="false" ht="15" hidden="false" customHeight="false" outlineLevel="0" collapsed="false">
      <c r="A315" s="3" t="s">
        <v>707</v>
      </c>
      <c r="B315" s="3" t="s">
        <v>541</v>
      </c>
      <c r="C315" s="3" t="s">
        <v>542</v>
      </c>
      <c r="D315" s="4" t="n">
        <v>3624.2</v>
      </c>
      <c r="E315" s="3" t="s">
        <v>60</v>
      </c>
      <c r="F315" s="3" t="n">
        <v>55.55</v>
      </c>
      <c r="G315" s="3" t="s">
        <v>60</v>
      </c>
      <c r="H315" s="3" t="s">
        <v>60</v>
      </c>
      <c r="I315" s="3" t="n">
        <v>4104925</v>
      </c>
      <c r="J315" s="3" t="n">
        <v>438350</v>
      </c>
      <c r="K315" s="3" t="s">
        <v>61</v>
      </c>
      <c r="L315" s="3" t="s">
        <v>62</v>
      </c>
      <c r="M315" s="3" t="s">
        <v>721</v>
      </c>
      <c r="N315" s="3" t="n">
        <v>1</v>
      </c>
      <c r="O315" s="3" t="s">
        <v>64</v>
      </c>
      <c r="P315" s="3" t="s">
        <v>65</v>
      </c>
    </row>
    <row r="316" customFormat="false" ht="15" hidden="false" customHeight="false" outlineLevel="0" collapsed="false">
      <c r="A316" s="3" t="s">
        <v>707</v>
      </c>
      <c r="B316" s="3" t="s">
        <v>633</v>
      </c>
      <c r="C316" s="3" t="s">
        <v>634</v>
      </c>
      <c r="D316" s="4" t="n">
        <v>33740</v>
      </c>
      <c r="E316" s="3" t="s">
        <v>60</v>
      </c>
      <c r="F316" s="3" t="n">
        <v>53.41</v>
      </c>
      <c r="G316" s="3" t="s">
        <v>60</v>
      </c>
      <c r="H316" s="3" t="s">
        <v>60</v>
      </c>
      <c r="I316" s="3" t="n">
        <v>266490</v>
      </c>
      <c r="J316" s="3" t="n">
        <v>5280</v>
      </c>
      <c r="K316" s="3" t="s">
        <v>61</v>
      </c>
      <c r="L316" s="3" t="s">
        <v>62</v>
      </c>
      <c r="M316" s="3" t="s">
        <v>722</v>
      </c>
      <c r="N316" s="3" t="n">
        <v>1</v>
      </c>
      <c r="O316" s="3" t="s">
        <v>64</v>
      </c>
      <c r="P316" s="3" t="s">
        <v>65</v>
      </c>
    </row>
    <row r="317" customFormat="false" ht="15" hidden="false" customHeight="false" outlineLevel="0" collapsed="false">
      <c r="A317" s="3" t="s">
        <v>707</v>
      </c>
      <c r="B317" s="3" t="s">
        <v>120</v>
      </c>
      <c r="C317" s="3" t="s">
        <v>121</v>
      </c>
      <c r="D317" s="4" t="n">
        <v>392.6</v>
      </c>
      <c r="E317" s="3" t="s">
        <v>60</v>
      </c>
      <c r="F317" s="3" t="n">
        <v>54.72</v>
      </c>
      <c r="G317" s="3" t="s">
        <v>60</v>
      </c>
      <c r="H317" s="3" t="s">
        <v>60</v>
      </c>
      <c r="I317" s="3" t="n">
        <v>55745300</v>
      </c>
      <c r="J317" s="3" t="n">
        <v>1658800</v>
      </c>
      <c r="K317" s="3" t="s">
        <v>61</v>
      </c>
      <c r="L317" s="3" t="s">
        <v>62</v>
      </c>
      <c r="M317" s="3" t="s">
        <v>723</v>
      </c>
      <c r="N317" s="3" t="n">
        <v>2</v>
      </c>
      <c r="O317" s="3" t="s">
        <v>69</v>
      </c>
      <c r="P317" s="3" t="s">
        <v>70</v>
      </c>
    </row>
    <row r="318" customFormat="false" ht="15" hidden="false" customHeight="false" outlineLevel="0" collapsed="false">
      <c r="A318" s="3" t="s">
        <v>707</v>
      </c>
      <c r="B318" s="3" t="s">
        <v>384</v>
      </c>
      <c r="C318" s="3" t="s">
        <v>385</v>
      </c>
      <c r="D318" s="4" t="n">
        <v>3211.7</v>
      </c>
      <c r="E318" s="3" t="s">
        <v>60</v>
      </c>
      <c r="F318" s="3" t="n">
        <v>46.4</v>
      </c>
      <c r="G318" s="3" t="s">
        <v>60</v>
      </c>
      <c r="H318" s="3" t="s">
        <v>60</v>
      </c>
      <c r="I318" s="3" t="n">
        <v>2364250</v>
      </c>
      <c r="J318" s="3" t="n">
        <v>34475</v>
      </c>
      <c r="K318" s="3" t="s">
        <v>61</v>
      </c>
      <c r="L318" s="3" t="s">
        <v>62</v>
      </c>
      <c r="M318" s="3" t="s">
        <v>724</v>
      </c>
      <c r="N318" s="3" t="n">
        <v>1</v>
      </c>
      <c r="O318" s="3" t="s">
        <v>69</v>
      </c>
      <c r="P318" s="3" t="s">
        <v>70</v>
      </c>
    </row>
    <row r="319" customFormat="false" ht="15" hidden="false" customHeight="false" outlineLevel="0" collapsed="false">
      <c r="A319" s="3" t="s">
        <v>707</v>
      </c>
      <c r="B319" s="3" t="s">
        <v>453</v>
      </c>
      <c r="C319" s="3" t="s">
        <v>454</v>
      </c>
      <c r="D319" s="4" t="n">
        <v>530.2</v>
      </c>
      <c r="E319" s="3" t="s">
        <v>60</v>
      </c>
      <c r="F319" s="3" t="n">
        <v>56.52</v>
      </c>
      <c r="G319" s="3" t="s">
        <v>60</v>
      </c>
      <c r="H319" s="3" t="s">
        <v>60</v>
      </c>
      <c r="I319" s="3" t="n">
        <v>12334525</v>
      </c>
      <c r="J319" s="3" t="n">
        <v>372400</v>
      </c>
      <c r="K319" s="3" t="s">
        <v>61</v>
      </c>
      <c r="L319" s="3" t="s">
        <v>62</v>
      </c>
      <c r="M319" s="3" t="s">
        <v>725</v>
      </c>
      <c r="N319" s="3" t="n">
        <v>2</v>
      </c>
      <c r="O319" s="3" t="s">
        <v>64</v>
      </c>
      <c r="P319" s="3" t="s">
        <v>65</v>
      </c>
    </row>
    <row r="320" customFormat="false" ht="15" hidden="false" customHeight="false" outlineLevel="0" collapsed="false">
      <c r="A320" s="3" t="s">
        <v>707</v>
      </c>
      <c r="B320" s="3" t="s">
        <v>83</v>
      </c>
      <c r="C320" s="3" t="s">
        <v>84</v>
      </c>
      <c r="D320" s="4" t="n">
        <v>2912.2</v>
      </c>
      <c r="E320" s="3" t="s">
        <v>60</v>
      </c>
      <c r="F320" s="3" t="n">
        <v>47.69</v>
      </c>
      <c r="G320" s="3" t="s">
        <v>60</v>
      </c>
      <c r="H320" s="3" t="s">
        <v>60</v>
      </c>
      <c r="I320" s="3" t="n">
        <v>3409600</v>
      </c>
      <c r="J320" s="3" t="n">
        <v>13400</v>
      </c>
      <c r="K320" s="3" t="s">
        <v>61</v>
      </c>
      <c r="L320" s="3" t="s">
        <v>62</v>
      </c>
      <c r="M320" s="3" t="s">
        <v>726</v>
      </c>
      <c r="N320" s="3" t="n">
        <v>3</v>
      </c>
      <c r="O320" s="3" t="s">
        <v>64</v>
      </c>
      <c r="P320" s="3" t="s">
        <v>65</v>
      </c>
    </row>
    <row r="321" customFormat="false" ht="15" hidden="false" customHeight="false" outlineLevel="0" collapsed="false">
      <c r="A321" s="3" t="s">
        <v>707</v>
      </c>
      <c r="B321" s="3" t="s">
        <v>623</v>
      </c>
      <c r="C321" s="3" t="s">
        <v>624</v>
      </c>
      <c r="D321" s="4" t="n">
        <v>1702.1</v>
      </c>
      <c r="E321" s="3" t="s">
        <v>60</v>
      </c>
      <c r="F321" s="3" t="n">
        <v>67.85</v>
      </c>
      <c r="G321" s="3" t="s">
        <v>60</v>
      </c>
      <c r="H321" s="3" t="s">
        <v>60</v>
      </c>
      <c r="I321" s="3" t="n">
        <v>22684550</v>
      </c>
      <c r="J321" s="3" t="n">
        <v>325850</v>
      </c>
      <c r="K321" s="3" t="s">
        <v>61</v>
      </c>
      <c r="L321" s="3" t="s">
        <v>62</v>
      </c>
      <c r="M321" s="3" t="s">
        <v>727</v>
      </c>
      <c r="N321" s="3" t="n">
        <v>1</v>
      </c>
      <c r="O321" s="3" t="s">
        <v>64</v>
      </c>
      <c r="P321" s="3" t="s">
        <v>65</v>
      </c>
    </row>
    <row r="322" customFormat="false" ht="15" hidden="false" customHeight="false" outlineLevel="0" collapsed="false">
      <c r="A322" s="3" t="s">
        <v>728</v>
      </c>
      <c r="B322" s="3" t="s">
        <v>289</v>
      </c>
      <c r="C322" s="3" t="s">
        <v>290</v>
      </c>
      <c r="D322" s="4" t="n">
        <v>200.92</v>
      </c>
      <c r="E322" s="3" t="s">
        <v>60</v>
      </c>
      <c r="F322" s="3" t="n">
        <v>51.64</v>
      </c>
      <c r="G322" s="3" t="s">
        <v>60</v>
      </c>
      <c r="H322" s="3" t="s">
        <v>60</v>
      </c>
      <c r="I322" s="3" t="n">
        <v>152050000</v>
      </c>
      <c r="J322" s="3" t="n">
        <v>1575000</v>
      </c>
      <c r="K322" s="3" t="s">
        <v>61</v>
      </c>
      <c r="L322" s="3" t="s">
        <v>62</v>
      </c>
      <c r="M322" s="3" t="s">
        <v>729</v>
      </c>
      <c r="N322" s="3" t="n">
        <v>1</v>
      </c>
      <c r="O322" s="3" t="s">
        <v>64</v>
      </c>
      <c r="P322" s="3" t="s">
        <v>65</v>
      </c>
    </row>
    <row r="323" customFormat="false" ht="15" hidden="false" customHeight="false" outlineLevel="0" collapsed="false">
      <c r="A323" s="3" t="s">
        <v>728</v>
      </c>
      <c r="B323" s="3" t="s">
        <v>516</v>
      </c>
      <c r="C323" s="3" t="s">
        <v>517</v>
      </c>
      <c r="D323" s="4" t="n">
        <v>1880.2</v>
      </c>
      <c r="E323" s="3" t="s">
        <v>60</v>
      </c>
      <c r="F323" s="3" t="n">
        <v>51.83</v>
      </c>
      <c r="G323" s="3" t="s">
        <v>60</v>
      </c>
      <c r="H323" s="3" t="s">
        <v>60</v>
      </c>
      <c r="I323" s="3" t="n">
        <v>2273700</v>
      </c>
      <c r="J323" s="3" t="n">
        <v>12025</v>
      </c>
      <c r="K323" s="3" t="s">
        <v>61</v>
      </c>
      <c r="L323" s="3" t="s">
        <v>62</v>
      </c>
      <c r="M323" s="3" t="s">
        <v>730</v>
      </c>
      <c r="N323" s="3" t="n">
        <v>1</v>
      </c>
      <c r="O323" s="3" t="s">
        <v>64</v>
      </c>
      <c r="P323" s="3" t="s">
        <v>65</v>
      </c>
    </row>
    <row r="324" customFormat="false" ht="15" hidden="false" customHeight="false" outlineLevel="0" collapsed="false">
      <c r="A324" s="3" t="s">
        <v>728</v>
      </c>
      <c r="B324" s="3" t="s">
        <v>260</v>
      </c>
      <c r="C324" s="3" t="s">
        <v>261</v>
      </c>
      <c r="D324" s="4" t="n">
        <v>98.08</v>
      </c>
      <c r="E324" s="3" t="s">
        <v>60</v>
      </c>
      <c r="F324" s="3" t="n">
        <v>45.66</v>
      </c>
      <c r="G324" s="3" t="s">
        <v>60</v>
      </c>
      <c r="H324" s="3" t="s">
        <v>60</v>
      </c>
      <c r="I324" s="3" t="n">
        <v>154663650</v>
      </c>
      <c r="J324" s="3" t="n">
        <v>1499625</v>
      </c>
      <c r="K324" s="3" t="s">
        <v>61</v>
      </c>
      <c r="L324" s="3" t="s">
        <v>62</v>
      </c>
      <c r="M324" s="3" t="s">
        <v>731</v>
      </c>
      <c r="N324" s="3" t="n">
        <v>3</v>
      </c>
      <c r="O324" s="3" t="s">
        <v>64</v>
      </c>
      <c r="P324" s="3" t="s">
        <v>65</v>
      </c>
    </row>
    <row r="325" customFormat="false" ht="15" hidden="false" customHeight="false" outlineLevel="0" collapsed="false">
      <c r="A325" s="3" t="s">
        <v>728</v>
      </c>
      <c r="B325" s="3" t="s">
        <v>101</v>
      </c>
      <c r="C325" s="3" t="s">
        <v>102</v>
      </c>
      <c r="D325" s="4" t="n">
        <v>2725</v>
      </c>
      <c r="E325" s="3" t="s">
        <v>60</v>
      </c>
      <c r="F325" s="3" t="n">
        <v>78.8</v>
      </c>
      <c r="G325" s="3" t="s">
        <v>60</v>
      </c>
      <c r="H325" s="3" t="s">
        <v>60</v>
      </c>
      <c r="I325" s="3" t="n">
        <v>6871200</v>
      </c>
      <c r="J325" s="3" t="n">
        <v>534600</v>
      </c>
      <c r="K325" s="3" t="s">
        <v>61</v>
      </c>
      <c r="L325" s="3" t="s">
        <v>62</v>
      </c>
      <c r="M325" s="3" t="s">
        <v>732</v>
      </c>
      <c r="N325" s="3" t="n">
        <v>3</v>
      </c>
      <c r="O325" s="3" t="s">
        <v>64</v>
      </c>
      <c r="P325" s="3" t="s">
        <v>65</v>
      </c>
    </row>
    <row r="326" customFormat="false" ht="15" hidden="false" customHeight="false" outlineLevel="0" collapsed="false">
      <c r="A326" s="3" t="s">
        <v>728</v>
      </c>
      <c r="B326" s="3" t="s">
        <v>399</v>
      </c>
      <c r="C326" s="3" t="s">
        <v>400</v>
      </c>
      <c r="D326" s="4" t="n">
        <v>722.5</v>
      </c>
      <c r="E326" s="3" t="s">
        <v>60</v>
      </c>
      <c r="F326" s="3" t="n">
        <v>60.19</v>
      </c>
      <c r="G326" s="3" t="s">
        <v>60</v>
      </c>
      <c r="H326" s="3" t="s">
        <v>60</v>
      </c>
      <c r="I326" s="3" t="n">
        <v>33808500</v>
      </c>
      <c r="J326" s="3" t="n">
        <v>1144000</v>
      </c>
      <c r="K326" s="3" t="s">
        <v>61</v>
      </c>
      <c r="L326" s="3" t="s">
        <v>62</v>
      </c>
      <c r="M326" s="3" t="s">
        <v>733</v>
      </c>
      <c r="N326" s="3" t="n">
        <v>2</v>
      </c>
      <c r="O326" s="3" t="s">
        <v>100</v>
      </c>
      <c r="P326" s="3" t="s">
        <v>70</v>
      </c>
    </row>
    <row r="327" customFormat="false" ht="15" hidden="false" customHeight="false" outlineLevel="0" collapsed="false">
      <c r="A327" s="3" t="s">
        <v>728</v>
      </c>
      <c r="B327" s="3" t="s">
        <v>136</v>
      </c>
      <c r="C327" s="3" t="s">
        <v>137</v>
      </c>
      <c r="D327" s="4" t="n">
        <v>172.78</v>
      </c>
      <c r="E327" s="3" t="s">
        <v>60</v>
      </c>
      <c r="F327" s="3" t="n">
        <v>50.14</v>
      </c>
      <c r="G327" s="3" t="s">
        <v>60</v>
      </c>
      <c r="H327" s="3" t="s">
        <v>60</v>
      </c>
      <c r="I327" s="3" t="n">
        <v>96252000</v>
      </c>
      <c r="J327" s="3" t="n">
        <v>6571500</v>
      </c>
      <c r="K327" s="3" t="s">
        <v>61</v>
      </c>
      <c r="L327" s="3" t="s">
        <v>62</v>
      </c>
      <c r="M327" s="3" t="s">
        <v>734</v>
      </c>
      <c r="N327" s="3" t="n">
        <v>8</v>
      </c>
      <c r="O327" s="3" t="s">
        <v>324</v>
      </c>
      <c r="P327" s="3" t="s">
        <v>70</v>
      </c>
    </row>
    <row r="328" customFormat="false" ht="15" hidden="false" customHeight="false" outlineLevel="0" collapsed="false">
      <c r="A328" s="3" t="s">
        <v>728</v>
      </c>
      <c r="B328" s="3" t="s">
        <v>108</v>
      </c>
      <c r="C328" s="3" t="s">
        <v>109</v>
      </c>
      <c r="D328" s="4" t="n">
        <v>1167.3</v>
      </c>
      <c r="E328" s="3" t="s">
        <v>60</v>
      </c>
      <c r="F328" s="3" t="n">
        <v>49.86</v>
      </c>
      <c r="G328" s="3" t="s">
        <v>60</v>
      </c>
      <c r="H328" s="3" t="s">
        <v>60</v>
      </c>
      <c r="I328" s="3" t="n">
        <v>11012500</v>
      </c>
      <c r="J328" s="3" t="n">
        <v>363125</v>
      </c>
      <c r="K328" s="3" t="s">
        <v>61</v>
      </c>
      <c r="L328" s="3" t="s">
        <v>62</v>
      </c>
      <c r="M328" s="3" t="s">
        <v>735</v>
      </c>
      <c r="N328" s="3" t="n">
        <v>1</v>
      </c>
      <c r="O328" s="3" t="s">
        <v>64</v>
      </c>
      <c r="P328" s="3" t="s">
        <v>65</v>
      </c>
    </row>
    <row r="329" customFormat="false" ht="15" hidden="false" customHeight="false" outlineLevel="0" collapsed="false">
      <c r="A329" s="3" t="s">
        <v>728</v>
      </c>
      <c r="B329" s="3" t="s">
        <v>272</v>
      </c>
      <c r="C329" s="3" t="s">
        <v>273</v>
      </c>
      <c r="D329" s="4" t="n">
        <v>367.25</v>
      </c>
      <c r="E329" s="3" t="s">
        <v>60</v>
      </c>
      <c r="F329" s="3" t="n">
        <v>62.55</v>
      </c>
      <c r="G329" s="3" t="s">
        <v>60</v>
      </c>
      <c r="H329" s="3" t="s">
        <v>60</v>
      </c>
      <c r="I329" s="3" t="n">
        <v>79791000</v>
      </c>
      <c r="J329" s="3" t="n">
        <v>2856000</v>
      </c>
      <c r="K329" s="3" t="s">
        <v>61</v>
      </c>
      <c r="L329" s="3" t="s">
        <v>62</v>
      </c>
      <c r="M329" s="3" t="s">
        <v>736</v>
      </c>
      <c r="N329" s="3" t="n">
        <v>2</v>
      </c>
      <c r="O329" s="3" t="s">
        <v>64</v>
      </c>
      <c r="P329" s="3" t="s">
        <v>65</v>
      </c>
    </row>
    <row r="330" customFormat="false" ht="15" hidden="false" customHeight="false" outlineLevel="0" collapsed="false">
      <c r="A330" s="3" t="s">
        <v>728</v>
      </c>
      <c r="B330" s="3" t="s">
        <v>120</v>
      </c>
      <c r="C330" s="3" t="s">
        <v>121</v>
      </c>
      <c r="D330" s="4" t="n">
        <v>414.6</v>
      </c>
      <c r="E330" s="3" t="s">
        <v>60</v>
      </c>
      <c r="F330" s="3" t="n">
        <v>49.22</v>
      </c>
      <c r="G330" s="3" t="s">
        <v>60</v>
      </c>
      <c r="H330" s="3" t="s">
        <v>60</v>
      </c>
      <c r="I330" s="3" t="n">
        <v>58446700</v>
      </c>
      <c r="J330" s="3" t="n">
        <v>2701400</v>
      </c>
      <c r="K330" s="3" t="s">
        <v>61</v>
      </c>
      <c r="L330" s="3" t="s">
        <v>62</v>
      </c>
      <c r="M330" s="3" t="s">
        <v>737</v>
      </c>
      <c r="N330" s="3" t="n">
        <v>2</v>
      </c>
      <c r="O330" s="3" t="s">
        <v>100</v>
      </c>
      <c r="P330" s="3" t="s">
        <v>70</v>
      </c>
    </row>
    <row r="331" customFormat="false" ht="15" hidden="false" customHeight="false" outlineLevel="0" collapsed="false">
      <c r="A331" s="3" t="s">
        <v>728</v>
      </c>
      <c r="B331" s="3" t="s">
        <v>164</v>
      </c>
      <c r="C331" s="3" t="s">
        <v>165</v>
      </c>
      <c r="D331" s="4" t="n">
        <v>1460.3</v>
      </c>
      <c r="E331" s="3" t="s">
        <v>60</v>
      </c>
      <c r="F331" s="3" t="n">
        <v>50.64</v>
      </c>
      <c r="G331" s="3" t="s">
        <v>60</v>
      </c>
      <c r="H331" s="3" t="s">
        <v>60</v>
      </c>
      <c r="I331" s="3" t="n">
        <v>8460500</v>
      </c>
      <c r="J331" s="3" t="n">
        <v>271000</v>
      </c>
      <c r="K331" s="3" t="s">
        <v>61</v>
      </c>
      <c r="L331" s="3" t="s">
        <v>62</v>
      </c>
      <c r="M331" s="3" t="s">
        <v>738</v>
      </c>
      <c r="N331" s="3" t="n">
        <v>3</v>
      </c>
      <c r="O331" s="3" t="s">
        <v>64</v>
      </c>
      <c r="P331" s="3" t="s">
        <v>65</v>
      </c>
    </row>
    <row r="332" customFormat="false" ht="15" hidden="false" customHeight="false" outlineLevel="0" collapsed="false">
      <c r="A332" s="3" t="s">
        <v>728</v>
      </c>
      <c r="B332" s="3" t="s">
        <v>384</v>
      </c>
      <c r="C332" s="3" t="s">
        <v>385</v>
      </c>
      <c r="D332" s="4" t="n">
        <v>3290.5</v>
      </c>
      <c r="E332" s="3" t="s">
        <v>60</v>
      </c>
      <c r="F332" s="3" t="n">
        <v>46.64</v>
      </c>
      <c r="G332" s="3" t="s">
        <v>60</v>
      </c>
      <c r="H332" s="3" t="s">
        <v>60</v>
      </c>
      <c r="I332" s="3" t="n">
        <v>2407650</v>
      </c>
      <c r="J332" s="3" t="n">
        <v>43400</v>
      </c>
      <c r="K332" s="3" t="s">
        <v>61</v>
      </c>
      <c r="L332" s="3" t="s">
        <v>62</v>
      </c>
      <c r="M332" s="3" t="s">
        <v>739</v>
      </c>
      <c r="N332" s="3" t="n">
        <v>1</v>
      </c>
      <c r="O332" s="3" t="s">
        <v>100</v>
      </c>
      <c r="P332" s="3" t="s">
        <v>70</v>
      </c>
    </row>
    <row r="333" customFormat="false" ht="15" hidden="false" customHeight="false" outlineLevel="0" collapsed="false">
      <c r="A333" s="3" t="s">
        <v>728</v>
      </c>
      <c r="B333" s="3" t="s">
        <v>740</v>
      </c>
      <c r="C333" s="3" t="s">
        <v>741</v>
      </c>
      <c r="D333" s="4" t="n">
        <v>3741</v>
      </c>
      <c r="E333" s="3" t="s">
        <v>60</v>
      </c>
      <c r="F333" s="3" t="n">
        <v>53.72</v>
      </c>
      <c r="G333" s="3" t="s">
        <v>60</v>
      </c>
      <c r="H333" s="3" t="s">
        <v>60</v>
      </c>
      <c r="I333" s="3" t="n">
        <v>1790250</v>
      </c>
      <c r="J333" s="3" t="n">
        <v>1750</v>
      </c>
      <c r="K333" s="3" t="s">
        <v>61</v>
      </c>
      <c r="L333" s="3" t="s">
        <v>62</v>
      </c>
      <c r="M333" s="3" t="s">
        <v>742</v>
      </c>
      <c r="N333" s="3" t="n">
        <v>0</v>
      </c>
      <c r="O333" s="3" t="s">
        <v>64</v>
      </c>
      <c r="P333" s="3" t="s">
        <v>65</v>
      </c>
    </row>
    <row r="334" customFormat="false" ht="15" hidden="false" customHeight="false" outlineLevel="0" collapsed="false">
      <c r="A334" s="3" t="s">
        <v>728</v>
      </c>
      <c r="B334" s="3" t="s">
        <v>554</v>
      </c>
      <c r="C334" s="3" t="s">
        <v>555</v>
      </c>
      <c r="D334" s="4" t="n">
        <v>1407.5</v>
      </c>
      <c r="E334" s="3" t="s">
        <v>60</v>
      </c>
      <c r="F334" s="3" t="n">
        <v>58.39</v>
      </c>
      <c r="G334" s="3" t="s">
        <v>60</v>
      </c>
      <c r="H334" s="3" t="s">
        <v>60</v>
      </c>
      <c r="I334" s="3" t="n">
        <v>3060000</v>
      </c>
      <c r="J334" s="3" t="n">
        <v>88825</v>
      </c>
      <c r="K334" s="3" t="s">
        <v>61</v>
      </c>
      <c r="L334" s="3" t="s">
        <v>62</v>
      </c>
      <c r="M334" s="3" t="s">
        <v>743</v>
      </c>
      <c r="N334" s="3" t="n">
        <v>2</v>
      </c>
      <c r="O334" s="3" t="s">
        <v>299</v>
      </c>
      <c r="P334" s="3" t="s">
        <v>70</v>
      </c>
    </row>
    <row r="335" customFormat="false" ht="15" hidden="false" customHeight="false" outlineLevel="0" collapsed="false">
      <c r="A335" s="3" t="s">
        <v>744</v>
      </c>
      <c r="B335" s="3" t="s">
        <v>612</v>
      </c>
      <c r="C335" s="3" t="s">
        <v>613</v>
      </c>
      <c r="D335" s="4" t="n">
        <v>3934.9</v>
      </c>
      <c r="E335" s="3" t="s">
        <v>60</v>
      </c>
      <c r="F335" s="3" t="n">
        <v>47.41</v>
      </c>
      <c r="G335" s="3" t="s">
        <v>60</v>
      </c>
      <c r="H335" s="3" t="s">
        <v>60</v>
      </c>
      <c r="I335" s="3" t="n">
        <v>5010750</v>
      </c>
      <c r="J335" s="3" t="n">
        <v>34200</v>
      </c>
      <c r="K335" s="3" t="s">
        <v>61</v>
      </c>
      <c r="L335" s="3" t="s">
        <v>62</v>
      </c>
      <c r="M335" s="3" t="s">
        <v>745</v>
      </c>
      <c r="N335" s="3" t="n">
        <v>1</v>
      </c>
      <c r="O335" s="3" t="s">
        <v>64</v>
      </c>
      <c r="P335" s="3" t="s">
        <v>65</v>
      </c>
    </row>
    <row r="336" customFormat="false" ht="15" hidden="false" customHeight="false" outlineLevel="0" collapsed="false">
      <c r="A336" s="3" t="s">
        <v>744</v>
      </c>
      <c r="B336" s="3" t="s">
        <v>554</v>
      </c>
      <c r="C336" s="3" t="s">
        <v>555</v>
      </c>
      <c r="D336" s="4" t="n">
        <v>1417.6</v>
      </c>
      <c r="E336" s="3" t="s">
        <v>60</v>
      </c>
      <c r="F336" s="3" t="n">
        <v>61.33</v>
      </c>
      <c r="G336" s="3" t="s">
        <v>60</v>
      </c>
      <c r="H336" s="3" t="s">
        <v>60</v>
      </c>
      <c r="I336" s="3" t="n">
        <v>3280150</v>
      </c>
      <c r="J336" s="3" t="n">
        <v>220150</v>
      </c>
      <c r="K336" s="3" t="s">
        <v>61</v>
      </c>
      <c r="L336" s="3" t="s">
        <v>315</v>
      </c>
      <c r="M336" s="3" t="s">
        <v>746</v>
      </c>
      <c r="N336" s="3" t="n">
        <v>2</v>
      </c>
      <c r="O336" s="3" t="s">
        <v>317</v>
      </c>
      <c r="P336" s="3" t="s">
        <v>70</v>
      </c>
    </row>
    <row r="337" customFormat="false" ht="15" hidden="false" customHeight="false" outlineLevel="0" collapsed="false">
      <c r="A337" s="3" t="s">
        <v>747</v>
      </c>
      <c r="B337" s="3" t="s">
        <v>585</v>
      </c>
      <c r="C337" s="3" t="s">
        <v>586</v>
      </c>
      <c r="D337" s="4" t="n">
        <v>7152.5</v>
      </c>
      <c r="E337" s="3" t="s">
        <v>60</v>
      </c>
      <c r="F337" s="3" t="n">
        <v>67.32</v>
      </c>
      <c r="G337" s="3" t="s">
        <v>60</v>
      </c>
      <c r="H337" s="3" t="s">
        <v>60</v>
      </c>
      <c r="I337" s="3" t="n">
        <v>3558500</v>
      </c>
      <c r="J337" s="3" t="n">
        <v>134625</v>
      </c>
      <c r="K337" s="3" t="s">
        <v>61</v>
      </c>
      <c r="L337" s="3" t="s">
        <v>62</v>
      </c>
      <c r="M337" s="3" t="s">
        <v>748</v>
      </c>
      <c r="N337" s="3" t="n">
        <v>1</v>
      </c>
      <c r="O337" s="3" t="s">
        <v>64</v>
      </c>
      <c r="P337" s="3" t="s">
        <v>65</v>
      </c>
    </row>
    <row r="338" customFormat="false" ht="15" hidden="false" customHeight="false" outlineLevel="0" collapsed="false">
      <c r="A338" s="3" t="s">
        <v>747</v>
      </c>
      <c r="B338" s="3" t="s">
        <v>554</v>
      </c>
      <c r="C338" s="3" t="s">
        <v>555</v>
      </c>
      <c r="D338" s="4" t="n">
        <v>1429</v>
      </c>
      <c r="E338" s="3" t="s">
        <v>60</v>
      </c>
      <c r="F338" s="3" t="n">
        <v>61.06</v>
      </c>
      <c r="G338" s="3" t="s">
        <v>60</v>
      </c>
      <c r="H338" s="3" t="s">
        <v>60</v>
      </c>
      <c r="I338" s="3" t="n">
        <v>3289075</v>
      </c>
      <c r="J338" s="3" t="n">
        <v>8925</v>
      </c>
      <c r="K338" s="3" t="s">
        <v>61</v>
      </c>
      <c r="L338" s="3" t="s">
        <v>62</v>
      </c>
      <c r="M338" s="3" t="s">
        <v>749</v>
      </c>
      <c r="N338" s="3" t="n">
        <v>2</v>
      </c>
      <c r="O338" s="3" t="s">
        <v>324</v>
      </c>
      <c r="P338" s="3" t="s">
        <v>70</v>
      </c>
    </row>
    <row r="339" customFormat="false" ht="15" hidden="false" customHeight="false" outlineLevel="0" collapsed="false">
      <c r="A339" s="3" t="s">
        <v>750</v>
      </c>
      <c r="B339" s="3" t="s">
        <v>333</v>
      </c>
      <c r="C339" s="3" t="s">
        <v>334</v>
      </c>
      <c r="D339" s="4" t="n">
        <v>5750.5</v>
      </c>
      <c r="E339" s="3" t="s">
        <v>60</v>
      </c>
      <c r="F339" s="3" t="n">
        <v>71.55</v>
      </c>
      <c r="G339" s="3" t="s">
        <v>60</v>
      </c>
      <c r="H339" s="3" t="s">
        <v>60</v>
      </c>
      <c r="I339" s="3" t="n">
        <v>1267875</v>
      </c>
      <c r="J339" s="3" t="n">
        <v>23500</v>
      </c>
      <c r="K339" s="3" t="s">
        <v>61</v>
      </c>
      <c r="L339" s="3" t="s">
        <v>62</v>
      </c>
      <c r="M339" s="3" t="s">
        <v>751</v>
      </c>
      <c r="N339" s="3" t="n">
        <v>3</v>
      </c>
      <c r="O339" s="3" t="s">
        <v>64</v>
      </c>
      <c r="P339" s="3" t="s">
        <v>65</v>
      </c>
    </row>
    <row r="340" customFormat="false" ht="15" hidden="false" customHeight="false" outlineLevel="0" collapsed="false">
      <c r="A340" s="3" t="s">
        <v>750</v>
      </c>
      <c r="B340" s="3" t="s">
        <v>516</v>
      </c>
      <c r="C340" s="3" t="s">
        <v>517</v>
      </c>
      <c r="D340" s="4" t="n">
        <v>1937</v>
      </c>
      <c r="E340" s="3" t="s">
        <v>60</v>
      </c>
      <c r="F340" s="3" t="n">
        <v>64.19</v>
      </c>
      <c r="G340" s="3" t="s">
        <v>60</v>
      </c>
      <c r="H340" s="3" t="s">
        <v>60</v>
      </c>
      <c r="I340" s="3" t="n">
        <v>2508025</v>
      </c>
      <c r="J340" s="3" t="n">
        <v>101400</v>
      </c>
      <c r="K340" s="3" t="s">
        <v>61</v>
      </c>
      <c r="L340" s="3" t="s">
        <v>62</v>
      </c>
      <c r="M340" s="3" t="s">
        <v>752</v>
      </c>
      <c r="N340" s="3" t="n">
        <v>2</v>
      </c>
      <c r="O340" s="3" t="s">
        <v>64</v>
      </c>
      <c r="P340" s="3" t="s">
        <v>65</v>
      </c>
    </row>
    <row r="341" customFormat="false" ht="15" hidden="false" customHeight="false" outlineLevel="0" collapsed="false">
      <c r="A341" s="3" t="s">
        <v>750</v>
      </c>
      <c r="B341" s="3" t="s">
        <v>260</v>
      </c>
      <c r="C341" s="3" t="s">
        <v>261</v>
      </c>
      <c r="D341" s="4" t="n">
        <v>97.98</v>
      </c>
      <c r="E341" s="3" t="s">
        <v>60</v>
      </c>
      <c r="F341" s="3" t="n">
        <v>69.12</v>
      </c>
      <c r="G341" s="3" t="s">
        <v>60</v>
      </c>
      <c r="H341" s="3" t="s">
        <v>60</v>
      </c>
      <c r="I341" s="3" t="n">
        <v>148637250</v>
      </c>
      <c r="J341" s="3" t="n">
        <v>1339200</v>
      </c>
      <c r="K341" s="3" t="s">
        <v>61</v>
      </c>
      <c r="L341" s="3" t="s">
        <v>62</v>
      </c>
      <c r="M341" s="3" t="s">
        <v>753</v>
      </c>
      <c r="N341" s="3" t="n">
        <v>4</v>
      </c>
      <c r="O341" s="3" t="s">
        <v>64</v>
      </c>
      <c r="P341" s="3" t="s">
        <v>65</v>
      </c>
    </row>
    <row r="342" customFormat="false" ht="15" hidden="false" customHeight="false" outlineLevel="0" collapsed="false">
      <c r="A342" s="3" t="s">
        <v>750</v>
      </c>
      <c r="B342" s="3" t="s">
        <v>399</v>
      </c>
      <c r="C342" s="3" t="s">
        <v>400</v>
      </c>
      <c r="D342" s="4" t="n">
        <v>707.9</v>
      </c>
      <c r="E342" s="3" t="s">
        <v>60</v>
      </c>
      <c r="F342" s="3" t="n">
        <v>73.77</v>
      </c>
      <c r="G342" s="3" t="s">
        <v>60</v>
      </c>
      <c r="H342" s="3" t="s">
        <v>60</v>
      </c>
      <c r="I342" s="3" t="n">
        <v>37218500</v>
      </c>
      <c r="J342" s="3" t="n">
        <v>1545500</v>
      </c>
      <c r="K342" s="3" t="s">
        <v>61</v>
      </c>
      <c r="L342" s="3" t="s">
        <v>62</v>
      </c>
      <c r="M342" s="3" t="s">
        <v>754</v>
      </c>
      <c r="N342" s="3" t="n">
        <v>3</v>
      </c>
      <c r="O342" s="3" t="s">
        <v>64</v>
      </c>
      <c r="P342" s="3" t="s">
        <v>65</v>
      </c>
    </row>
    <row r="343" customFormat="false" ht="15" hidden="false" customHeight="false" outlineLevel="0" collapsed="false">
      <c r="A343" s="3" t="s">
        <v>750</v>
      </c>
      <c r="B343" s="3" t="s">
        <v>509</v>
      </c>
      <c r="C343" s="3" t="s">
        <v>510</v>
      </c>
      <c r="D343" s="4" t="n">
        <v>927.9</v>
      </c>
      <c r="E343" s="3" t="s">
        <v>60</v>
      </c>
      <c r="F343" s="3" t="n">
        <v>65.72</v>
      </c>
      <c r="G343" s="3" t="s">
        <v>60</v>
      </c>
      <c r="H343" s="3" t="s">
        <v>60</v>
      </c>
      <c r="I343" s="3" t="n">
        <v>34024200</v>
      </c>
      <c r="J343" s="3" t="n">
        <v>1317400</v>
      </c>
      <c r="K343" s="3" t="s">
        <v>61</v>
      </c>
      <c r="L343" s="3" t="s">
        <v>62</v>
      </c>
      <c r="M343" s="3" t="s">
        <v>755</v>
      </c>
      <c r="N343" s="3" t="n">
        <v>1</v>
      </c>
      <c r="O343" s="3" t="s">
        <v>64</v>
      </c>
      <c r="P343" s="3" t="s">
        <v>65</v>
      </c>
    </row>
    <row r="344" customFormat="false" ht="15" hidden="false" customHeight="false" outlineLevel="0" collapsed="false">
      <c r="A344" s="3" t="s">
        <v>750</v>
      </c>
      <c r="B344" s="3" t="s">
        <v>403</v>
      </c>
      <c r="C344" s="3" t="s">
        <v>404</v>
      </c>
      <c r="D344" s="4" t="n">
        <v>523.65</v>
      </c>
      <c r="E344" s="3" t="s">
        <v>60</v>
      </c>
      <c r="F344" s="3" t="n">
        <v>74.3</v>
      </c>
      <c r="G344" s="3" t="s">
        <v>60</v>
      </c>
      <c r="H344" s="3" t="s">
        <v>60</v>
      </c>
      <c r="I344" s="3" t="n">
        <v>32788000</v>
      </c>
      <c r="J344" s="3" t="n">
        <v>1568000</v>
      </c>
      <c r="K344" s="3" t="s">
        <v>61</v>
      </c>
      <c r="L344" s="3" t="s">
        <v>62</v>
      </c>
      <c r="M344" s="3" t="s">
        <v>756</v>
      </c>
      <c r="N344" s="3" t="n">
        <v>1</v>
      </c>
      <c r="O344" s="3" t="s">
        <v>64</v>
      </c>
      <c r="P344" s="3" t="s">
        <v>65</v>
      </c>
    </row>
    <row r="345" customFormat="false" ht="15" hidden="false" customHeight="false" outlineLevel="0" collapsed="false">
      <c r="A345" s="3" t="s">
        <v>750</v>
      </c>
      <c r="B345" s="3" t="s">
        <v>80</v>
      </c>
      <c r="C345" s="3" t="s">
        <v>81</v>
      </c>
      <c r="D345" s="4" t="n">
        <v>1753.2</v>
      </c>
      <c r="E345" s="3" t="s">
        <v>60</v>
      </c>
      <c r="F345" s="3" t="n">
        <v>56.73</v>
      </c>
      <c r="G345" s="3" t="s">
        <v>60</v>
      </c>
      <c r="H345" s="3" t="s">
        <v>60</v>
      </c>
      <c r="I345" s="3" t="n">
        <v>9030000</v>
      </c>
      <c r="J345" s="3" t="n">
        <v>174400</v>
      </c>
      <c r="K345" s="3" t="s">
        <v>61</v>
      </c>
      <c r="L345" s="3" t="s">
        <v>62</v>
      </c>
      <c r="M345" s="3" t="s">
        <v>757</v>
      </c>
      <c r="N345" s="3" t="n">
        <v>3</v>
      </c>
      <c r="O345" s="3" t="s">
        <v>64</v>
      </c>
      <c r="P345" s="3" t="s">
        <v>65</v>
      </c>
    </row>
    <row r="346" customFormat="false" ht="15" hidden="false" customHeight="false" outlineLevel="0" collapsed="false">
      <c r="A346" s="3" t="s">
        <v>750</v>
      </c>
      <c r="B346" s="3" t="s">
        <v>148</v>
      </c>
      <c r="C346" s="3" t="s">
        <v>149</v>
      </c>
      <c r="D346" s="4" t="n">
        <v>3997.2</v>
      </c>
      <c r="E346" s="3" t="s">
        <v>60</v>
      </c>
      <c r="F346" s="3" t="n">
        <v>72.29</v>
      </c>
      <c r="G346" s="3" t="s">
        <v>60</v>
      </c>
      <c r="H346" s="3" t="s">
        <v>60</v>
      </c>
      <c r="I346" s="3" t="n">
        <v>2731750</v>
      </c>
      <c r="J346" s="3" t="n">
        <v>110500</v>
      </c>
      <c r="K346" s="3" t="s">
        <v>61</v>
      </c>
      <c r="L346" s="3" t="s">
        <v>62</v>
      </c>
      <c r="M346" s="3" t="s">
        <v>758</v>
      </c>
      <c r="N346" s="3" t="n">
        <v>3</v>
      </c>
      <c r="O346" s="3" t="s">
        <v>64</v>
      </c>
      <c r="P346" s="3" t="s">
        <v>65</v>
      </c>
    </row>
    <row r="347" customFormat="false" ht="15" hidden="false" customHeight="false" outlineLevel="0" collapsed="false">
      <c r="A347" s="3" t="s">
        <v>750</v>
      </c>
      <c r="B347" s="3" t="s">
        <v>156</v>
      </c>
      <c r="C347" s="3" t="s">
        <v>157</v>
      </c>
      <c r="D347" s="4" t="n">
        <v>1204</v>
      </c>
      <c r="E347" s="3" t="s">
        <v>60</v>
      </c>
      <c r="F347" s="3" t="n">
        <v>55.89</v>
      </c>
      <c r="G347" s="3" t="s">
        <v>60</v>
      </c>
      <c r="H347" s="3" t="s">
        <v>60</v>
      </c>
      <c r="I347" s="3" t="n">
        <v>6222700</v>
      </c>
      <c r="J347" s="3" t="n">
        <v>322300</v>
      </c>
      <c r="K347" s="3" t="s">
        <v>61</v>
      </c>
      <c r="L347" s="3" t="s">
        <v>62</v>
      </c>
      <c r="M347" s="3" t="s">
        <v>759</v>
      </c>
      <c r="N347" s="3" t="n">
        <v>3</v>
      </c>
      <c r="O347" s="3" t="s">
        <v>64</v>
      </c>
      <c r="P347" s="3" t="s">
        <v>65</v>
      </c>
    </row>
    <row r="348" customFormat="false" ht="15" hidden="false" customHeight="false" outlineLevel="0" collapsed="false">
      <c r="A348" s="3" t="s">
        <v>760</v>
      </c>
      <c r="B348" s="3" t="s">
        <v>96</v>
      </c>
      <c r="C348" s="3" t="s">
        <v>97</v>
      </c>
      <c r="D348" s="4" t="n">
        <v>435.95</v>
      </c>
      <c r="E348" s="3" t="s">
        <v>60</v>
      </c>
      <c r="F348" s="3" t="n">
        <v>51.52</v>
      </c>
      <c r="G348" s="3" t="s">
        <v>60</v>
      </c>
      <c r="H348" s="3" t="s">
        <v>60</v>
      </c>
      <c r="I348" s="3" t="n">
        <v>23177750</v>
      </c>
      <c r="J348" s="3" t="n">
        <v>1292725</v>
      </c>
      <c r="K348" s="3" t="s">
        <v>61</v>
      </c>
      <c r="L348" s="3" t="s">
        <v>62</v>
      </c>
      <c r="M348" s="3" t="s">
        <v>761</v>
      </c>
      <c r="N348" s="3" t="n">
        <v>5</v>
      </c>
      <c r="O348" s="3" t="s">
        <v>64</v>
      </c>
      <c r="P348" s="3" t="s">
        <v>65</v>
      </c>
    </row>
    <row r="349" customFormat="false" ht="15" hidden="false" customHeight="false" outlineLevel="0" collapsed="false">
      <c r="A349" s="3" t="s">
        <v>760</v>
      </c>
      <c r="B349" s="3" t="s">
        <v>762</v>
      </c>
      <c r="C349" s="3" t="s">
        <v>763</v>
      </c>
      <c r="D349" s="4" t="n">
        <v>1021.5</v>
      </c>
      <c r="E349" s="3" t="s">
        <v>60</v>
      </c>
      <c r="F349" s="3" t="n">
        <v>71.17</v>
      </c>
      <c r="G349" s="3" t="s">
        <v>60</v>
      </c>
      <c r="H349" s="3" t="s">
        <v>60</v>
      </c>
      <c r="I349" s="3" t="n">
        <v>15078525</v>
      </c>
      <c r="J349" s="3" t="n">
        <v>236775</v>
      </c>
      <c r="K349" s="3" t="s">
        <v>61</v>
      </c>
      <c r="L349" s="3" t="s">
        <v>62</v>
      </c>
      <c r="M349" s="3" t="s">
        <v>764</v>
      </c>
      <c r="N349" s="3" t="n">
        <v>0</v>
      </c>
      <c r="O349" s="3" t="s">
        <v>64</v>
      </c>
      <c r="P349" s="3" t="s">
        <v>65</v>
      </c>
    </row>
    <row r="350" customFormat="false" ht="15" hidden="false" customHeight="false" outlineLevel="0" collapsed="false">
      <c r="A350" s="3" t="s">
        <v>760</v>
      </c>
      <c r="B350" s="3" t="s">
        <v>765</v>
      </c>
      <c r="C350" s="3" t="s">
        <v>766</v>
      </c>
      <c r="D350" s="4" t="n">
        <v>280.69</v>
      </c>
      <c r="E350" s="3" t="s">
        <v>60</v>
      </c>
      <c r="F350" s="3" t="n">
        <v>56.32</v>
      </c>
      <c r="G350" s="3" t="s">
        <v>60</v>
      </c>
      <c r="H350" s="3" t="s">
        <v>60</v>
      </c>
      <c r="I350" s="3" t="n">
        <v>41884375</v>
      </c>
      <c r="J350" s="3" t="n">
        <v>1321875</v>
      </c>
      <c r="K350" s="3" t="s">
        <v>61</v>
      </c>
      <c r="L350" s="3" t="s">
        <v>62</v>
      </c>
      <c r="M350" s="3" t="s">
        <v>767</v>
      </c>
      <c r="N350" s="3" t="n">
        <v>0</v>
      </c>
      <c r="O350" s="3" t="s">
        <v>64</v>
      </c>
      <c r="P350" s="3" t="s">
        <v>65</v>
      </c>
    </row>
    <row r="351" customFormat="false" ht="15" hidden="false" customHeight="false" outlineLevel="0" collapsed="false">
      <c r="A351" s="3" t="s">
        <v>760</v>
      </c>
      <c r="B351" s="3" t="s">
        <v>768</v>
      </c>
      <c r="C351" s="3" t="s">
        <v>769</v>
      </c>
      <c r="D351" s="4" t="n">
        <v>163.42</v>
      </c>
      <c r="E351" s="3" t="s">
        <v>60</v>
      </c>
      <c r="F351" s="3" t="n">
        <v>45.81</v>
      </c>
      <c r="G351" s="3" t="s">
        <v>60</v>
      </c>
      <c r="H351" s="3" t="s">
        <v>60</v>
      </c>
      <c r="I351" s="3" t="n">
        <v>20002500</v>
      </c>
      <c r="J351" s="3" t="n">
        <v>700875</v>
      </c>
      <c r="K351" s="3" t="s">
        <v>61</v>
      </c>
      <c r="L351" s="3" t="s">
        <v>62</v>
      </c>
      <c r="M351" s="3" t="s">
        <v>770</v>
      </c>
      <c r="N351" s="3" t="n">
        <v>0</v>
      </c>
      <c r="O351" s="3" t="s">
        <v>64</v>
      </c>
      <c r="P351" s="3" t="s">
        <v>65</v>
      </c>
    </row>
    <row r="352" customFormat="false" ht="15" hidden="false" customHeight="false" outlineLevel="0" collapsed="false">
      <c r="A352" s="3" t="s">
        <v>771</v>
      </c>
      <c r="B352" s="3" t="s">
        <v>328</v>
      </c>
      <c r="C352" s="3" t="s">
        <v>329</v>
      </c>
      <c r="D352" s="4" t="n">
        <v>6019</v>
      </c>
      <c r="E352" s="3" t="s">
        <v>60</v>
      </c>
      <c r="F352" s="3" t="n">
        <v>47.38</v>
      </c>
      <c r="G352" s="3" t="s">
        <v>60</v>
      </c>
      <c r="H352" s="3" t="s">
        <v>60</v>
      </c>
      <c r="I352" s="3" t="n">
        <v>3581750</v>
      </c>
      <c r="J352" s="3" t="n">
        <v>63000</v>
      </c>
      <c r="K352" s="3" t="s">
        <v>61</v>
      </c>
      <c r="L352" s="3" t="s">
        <v>62</v>
      </c>
      <c r="M352" s="3" t="s">
        <v>772</v>
      </c>
      <c r="N352" s="3" t="n">
        <v>3</v>
      </c>
      <c r="O352" s="3" t="s">
        <v>64</v>
      </c>
      <c r="P352" s="3" t="s">
        <v>65</v>
      </c>
    </row>
    <row r="353" customFormat="false" ht="15" hidden="false" customHeight="false" outlineLevel="0" collapsed="false">
      <c r="A353" s="3" t="s">
        <v>771</v>
      </c>
      <c r="B353" s="3" t="s">
        <v>195</v>
      </c>
      <c r="C353" s="3" t="s">
        <v>196</v>
      </c>
      <c r="D353" s="4" t="n">
        <v>290.5</v>
      </c>
      <c r="E353" s="3" t="s">
        <v>60</v>
      </c>
      <c r="F353" s="3" t="n">
        <v>51.53</v>
      </c>
      <c r="G353" s="3" t="s">
        <v>60</v>
      </c>
      <c r="H353" s="3" t="s">
        <v>60</v>
      </c>
      <c r="I353" s="3" t="n">
        <v>57100000</v>
      </c>
      <c r="J353" s="3" t="n">
        <v>5125000</v>
      </c>
      <c r="K353" s="3" t="s">
        <v>61</v>
      </c>
      <c r="L353" s="3" t="s">
        <v>62</v>
      </c>
      <c r="M353" s="3" t="s">
        <v>773</v>
      </c>
      <c r="N353" s="3" t="n">
        <v>2</v>
      </c>
      <c r="O353" s="3" t="s">
        <v>64</v>
      </c>
      <c r="P353" s="3" t="s">
        <v>65</v>
      </c>
    </row>
    <row r="354" customFormat="false" ht="15" hidden="false" customHeight="false" outlineLevel="0" collapsed="false">
      <c r="A354" s="3" t="s">
        <v>771</v>
      </c>
      <c r="B354" s="3" t="s">
        <v>605</v>
      </c>
      <c r="C354" s="3" t="s">
        <v>606</v>
      </c>
      <c r="D354" s="4" t="n">
        <v>467.05</v>
      </c>
      <c r="E354" s="3" t="s">
        <v>60</v>
      </c>
      <c r="F354" s="3" t="n">
        <v>53.66</v>
      </c>
      <c r="G354" s="3" t="s">
        <v>60</v>
      </c>
      <c r="H354" s="3" t="s">
        <v>60</v>
      </c>
      <c r="I354" s="3" t="n">
        <v>83439400</v>
      </c>
      <c r="J354" s="3" t="n">
        <v>183600</v>
      </c>
      <c r="K354" s="3" t="s">
        <v>61</v>
      </c>
      <c r="L354" s="3" t="s">
        <v>62</v>
      </c>
      <c r="M354" s="3" t="s">
        <v>774</v>
      </c>
      <c r="N354" s="3" t="n">
        <v>2</v>
      </c>
      <c r="O354" s="3" t="s">
        <v>64</v>
      </c>
      <c r="P354" s="3" t="s">
        <v>65</v>
      </c>
    </row>
    <row r="355" customFormat="false" ht="15" hidden="false" customHeight="false" outlineLevel="0" collapsed="false">
      <c r="A355" s="3" t="s">
        <v>771</v>
      </c>
      <c r="B355" s="3" t="s">
        <v>300</v>
      </c>
      <c r="C355" s="3" t="s">
        <v>301</v>
      </c>
      <c r="D355" s="4" t="n">
        <v>1182.9</v>
      </c>
      <c r="E355" s="3" t="s">
        <v>60</v>
      </c>
      <c r="F355" s="3" t="n">
        <v>60.02</v>
      </c>
      <c r="G355" s="3" t="s">
        <v>60</v>
      </c>
      <c r="H355" s="3" t="s">
        <v>60</v>
      </c>
      <c r="I355" s="3" t="n">
        <v>56680500</v>
      </c>
      <c r="J355" s="3" t="n">
        <v>849750</v>
      </c>
      <c r="K355" s="3" t="s">
        <v>61</v>
      </c>
      <c r="L355" s="3" t="s">
        <v>62</v>
      </c>
      <c r="M355" s="3" t="s">
        <v>775</v>
      </c>
      <c r="N355" s="3" t="n">
        <v>3</v>
      </c>
      <c r="O355" s="3" t="s">
        <v>299</v>
      </c>
      <c r="P355" s="3" t="s">
        <v>70</v>
      </c>
    </row>
    <row r="356" customFormat="false" ht="15" hidden="false" customHeight="false" outlineLevel="0" collapsed="false">
      <c r="A356" s="3" t="s">
        <v>771</v>
      </c>
      <c r="B356" s="3" t="s">
        <v>372</v>
      </c>
      <c r="C356" s="3" t="s">
        <v>373</v>
      </c>
      <c r="D356" s="4" t="n">
        <v>455.1</v>
      </c>
      <c r="E356" s="3" t="s">
        <v>60</v>
      </c>
      <c r="F356" s="3" t="n">
        <v>69.02</v>
      </c>
      <c r="G356" s="3" t="s">
        <v>60</v>
      </c>
      <c r="H356" s="3" t="s">
        <v>60</v>
      </c>
      <c r="I356" s="3" t="n">
        <v>10007000</v>
      </c>
      <c r="J356" s="3" t="n">
        <v>821000</v>
      </c>
      <c r="K356" s="3" t="s">
        <v>61</v>
      </c>
      <c r="L356" s="3" t="s">
        <v>62</v>
      </c>
      <c r="M356" s="3" t="s">
        <v>776</v>
      </c>
      <c r="N356" s="3" t="n">
        <v>2</v>
      </c>
      <c r="O356" s="3" t="s">
        <v>64</v>
      </c>
      <c r="P356" s="3" t="s">
        <v>65</v>
      </c>
    </row>
    <row r="357" customFormat="false" ht="15" hidden="false" customHeight="false" outlineLevel="0" collapsed="false">
      <c r="A357" s="3" t="s">
        <v>777</v>
      </c>
      <c r="B357" s="3" t="s">
        <v>516</v>
      </c>
      <c r="C357" s="3" t="s">
        <v>517</v>
      </c>
      <c r="D357" s="4" t="n">
        <v>1974</v>
      </c>
      <c r="E357" s="3" t="s">
        <v>60</v>
      </c>
      <c r="F357" s="3" t="n">
        <v>63.77</v>
      </c>
      <c r="G357" s="3" t="s">
        <v>60</v>
      </c>
      <c r="H357" s="3" t="s">
        <v>60</v>
      </c>
      <c r="I357" s="3" t="n">
        <v>2710175</v>
      </c>
      <c r="J357" s="3" t="n">
        <v>25350</v>
      </c>
      <c r="K357" s="3" t="s">
        <v>61</v>
      </c>
      <c r="L357" s="3" t="s">
        <v>62</v>
      </c>
      <c r="M357" s="3" t="s">
        <v>778</v>
      </c>
      <c r="N357" s="3" t="n">
        <v>3</v>
      </c>
      <c r="O357" s="3" t="s">
        <v>64</v>
      </c>
      <c r="P357" s="3" t="s">
        <v>65</v>
      </c>
    </row>
    <row r="358" customFormat="false" ht="15" hidden="false" customHeight="false" outlineLevel="0" collapsed="false">
      <c r="A358" s="3" t="s">
        <v>777</v>
      </c>
      <c r="B358" s="3" t="s">
        <v>300</v>
      </c>
      <c r="C358" s="3" t="s">
        <v>301</v>
      </c>
      <c r="D358" s="4" t="n">
        <v>1192.4</v>
      </c>
      <c r="E358" s="3" t="s">
        <v>60</v>
      </c>
      <c r="F358" s="3" t="n">
        <v>60.09</v>
      </c>
      <c r="G358" s="3" t="s">
        <v>60</v>
      </c>
      <c r="H358" s="3" t="s">
        <v>60</v>
      </c>
      <c r="I358" s="3" t="n">
        <v>57996000</v>
      </c>
      <c r="J358" s="3" t="n">
        <v>1315500</v>
      </c>
      <c r="K358" s="3" t="s">
        <v>61</v>
      </c>
      <c r="L358" s="3" t="s">
        <v>315</v>
      </c>
      <c r="M358" s="3" t="s">
        <v>779</v>
      </c>
      <c r="N358" s="3" t="n">
        <v>3</v>
      </c>
      <c r="O358" s="3" t="s">
        <v>317</v>
      </c>
      <c r="P358" s="3" t="s">
        <v>70</v>
      </c>
    </row>
    <row r="359" customFormat="false" ht="15" hidden="false" customHeight="false" outlineLevel="0" collapsed="false">
      <c r="A359" s="3" t="s">
        <v>780</v>
      </c>
      <c r="B359" s="3" t="s">
        <v>80</v>
      </c>
      <c r="C359" s="3" t="s">
        <v>81</v>
      </c>
      <c r="D359" s="4" t="n">
        <v>1824.9</v>
      </c>
      <c r="E359" s="3" t="s">
        <v>60</v>
      </c>
      <c r="F359" s="3" t="n">
        <v>45.95</v>
      </c>
      <c r="G359" s="3" t="s">
        <v>60</v>
      </c>
      <c r="H359" s="3" t="s">
        <v>60</v>
      </c>
      <c r="I359" s="3" t="n">
        <v>9431200</v>
      </c>
      <c r="J359" s="3" t="n">
        <v>168000</v>
      </c>
      <c r="K359" s="3" t="s">
        <v>61</v>
      </c>
      <c r="L359" s="3" t="s">
        <v>62</v>
      </c>
      <c r="M359" s="3" t="s">
        <v>781</v>
      </c>
      <c r="N359" s="3" t="n">
        <v>4</v>
      </c>
      <c r="O359" s="3" t="s">
        <v>64</v>
      </c>
      <c r="P359" s="3" t="s">
        <v>65</v>
      </c>
    </row>
    <row r="360" customFormat="false" ht="15" hidden="false" customHeight="false" outlineLevel="0" collapsed="false">
      <c r="A360" s="3" t="s">
        <v>780</v>
      </c>
      <c r="B360" s="3" t="s">
        <v>300</v>
      </c>
      <c r="C360" s="3" t="s">
        <v>301</v>
      </c>
      <c r="D360" s="4" t="n">
        <v>1198.6</v>
      </c>
      <c r="E360" s="3" t="s">
        <v>60</v>
      </c>
      <c r="F360" s="3" t="n">
        <v>63.19</v>
      </c>
      <c r="G360" s="3" t="s">
        <v>60</v>
      </c>
      <c r="H360" s="3" t="s">
        <v>60</v>
      </c>
      <c r="I360" s="3" t="n">
        <v>58392750</v>
      </c>
      <c r="J360" s="3" t="n">
        <v>396750</v>
      </c>
      <c r="K360" s="3" t="s">
        <v>61</v>
      </c>
      <c r="L360" s="3" t="s">
        <v>62</v>
      </c>
      <c r="M360" s="3" t="s">
        <v>782</v>
      </c>
      <c r="N360" s="3" t="n">
        <v>3</v>
      </c>
      <c r="O360" s="3" t="s">
        <v>324</v>
      </c>
      <c r="P360" s="3" t="s">
        <v>70</v>
      </c>
    </row>
    <row r="361" customFormat="false" ht="15" hidden="false" customHeight="false" outlineLevel="0" collapsed="false">
      <c r="A361" s="3" t="s">
        <v>783</v>
      </c>
      <c r="B361" s="3" t="s">
        <v>182</v>
      </c>
      <c r="C361" s="3" t="s">
        <v>183</v>
      </c>
      <c r="D361" s="4" t="n">
        <v>1639.8</v>
      </c>
      <c r="E361" s="3" t="s">
        <v>60</v>
      </c>
      <c r="F361" s="3" t="n">
        <v>46.18</v>
      </c>
      <c r="G361" s="3" t="s">
        <v>60</v>
      </c>
      <c r="H361" s="3" t="s">
        <v>60</v>
      </c>
      <c r="I361" s="3" t="n">
        <v>8045675</v>
      </c>
      <c r="J361" s="3" t="n">
        <v>3400</v>
      </c>
      <c r="K361" s="3" t="s">
        <v>61</v>
      </c>
      <c r="L361" s="3" t="s">
        <v>62</v>
      </c>
      <c r="M361" s="3" t="s">
        <v>784</v>
      </c>
      <c r="N361" s="3" t="n">
        <v>2</v>
      </c>
      <c r="O361" s="3" t="s">
        <v>64</v>
      </c>
      <c r="P361" s="3" t="s">
        <v>65</v>
      </c>
    </row>
    <row r="362" customFormat="false" ht="15" hidden="false" customHeight="false" outlineLevel="0" collapsed="false">
      <c r="A362" s="3" t="s">
        <v>783</v>
      </c>
      <c r="B362" s="3" t="s">
        <v>284</v>
      </c>
      <c r="C362" s="3" t="s">
        <v>285</v>
      </c>
      <c r="D362" s="4" t="n">
        <v>2030.5</v>
      </c>
      <c r="E362" s="3" t="s">
        <v>60</v>
      </c>
      <c r="F362" s="3" t="n">
        <v>49.33</v>
      </c>
      <c r="G362" s="3" t="s">
        <v>60</v>
      </c>
      <c r="H362" s="3" t="s">
        <v>60</v>
      </c>
      <c r="I362" s="3" t="n">
        <v>11187375</v>
      </c>
      <c r="J362" s="3" t="n">
        <v>16500</v>
      </c>
      <c r="K362" s="3" t="s">
        <v>61</v>
      </c>
      <c r="L362" s="3" t="s">
        <v>62</v>
      </c>
      <c r="M362" s="3" t="s">
        <v>785</v>
      </c>
      <c r="N362" s="3" t="n">
        <v>2</v>
      </c>
      <c r="O362" s="3" t="s">
        <v>64</v>
      </c>
      <c r="P362" s="3" t="s">
        <v>65</v>
      </c>
    </row>
    <row r="363" customFormat="false" ht="15" hidden="false" customHeight="false" outlineLevel="0" collapsed="false">
      <c r="A363" s="3" t="s">
        <v>786</v>
      </c>
      <c r="B363" s="3" t="s">
        <v>509</v>
      </c>
      <c r="C363" s="3" t="s">
        <v>510</v>
      </c>
      <c r="D363" s="4" t="n">
        <v>943.8</v>
      </c>
      <c r="E363" s="3" t="s">
        <v>60</v>
      </c>
      <c r="F363" s="3" t="n">
        <v>66.59</v>
      </c>
      <c r="G363" s="3" t="s">
        <v>60</v>
      </c>
      <c r="H363" s="3" t="s">
        <v>60</v>
      </c>
      <c r="I363" s="3" t="n">
        <v>33138700</v>
      </c>
      <c r="J363" s="3" t="n">
        <v>173600</v>
      </c>
      <c r="K363" s="3" t="s">
        <v>61</v>
      </c>
      <c r="L363" s="3" t="s">
        <v>62</v>
      </c>
      <c r="M363" s="3" t="s">
        <v>787</v>
      </c>
      <c r="N363" s="3" t="n">
        <v>2</v>
      </c>
      <c r="O363" s="3" t="s">
        <v>64</v>
      </c>
      <c r="P363" s="3" t="s">
        <v>65</v>
      </c>
    </row>
    <row r="364" customFormat="false" ht="15" hidden="false" customHeight="false" outlineLevel="0" collapsed="false">
      <c r="A364" s="3" t="s">
        <v>788</v>
      </c>
      <c r="B364" s="3" t="s">
        <v>272</v>
      </c>
      <c r="C364" s="3" t="s">
        <v>273</v>
      </c>
      <c r="D364" s="4" t="n">
        <v>375.45</v>
      </c>
      <c r="E364" s="3" t="s">
        <v>60</v>
      </c>
      <c r="F364" s="3" t="n">
        <v>71.24</v>
      </c>
      <c r="G364" s="3" t="s">
        <v>60</v>
      </c>
      <c r="H364" s="3" t="s">
        <v>60</v>
      </c>
      <c r="I364" s="3" t="n">
        <v>45288000</v>
      </c>
      <c r="J364" s="3" t="n">
        <v>288000</v>
      </c>
      <c r="K364" s="3" t="s">
        <v>61</v>
      </c>
      <c r="L364" s="3" t="s">
        <v>62</v>
      </c>
      <c r="M364" s="3" t="s">
        <v>789</v>
      </c>
      <c r="N364" s="3" t="n">
        <v>3</v>
      </c>
      <c r="O364" s="3" t="s">
        <v>69</v>
      </c>
      <c r="P364" s="3" t="s">
        <v>70</v>
      </c>
    </row>
    <row r="365" customFormat="false" ht="15" hidden="false" customHeight="false" outlineLevel="0" collapsed="false">
      <c r="A365" s="3" t="s">
        <v>790</v>
      </c>
      <c r="B365" s="3" t="s">
        <v>272</v>
      </c>
      <c r="C365" s="3" t="s">
        <v>273</v>
      </c>
      <c r="D365" s="4" t="n">
        <v>382.75</v>
      </c>
      <c r="E365" s="3" t="s">
        <v>60</v>
      </c>
      <c r="F365" s="3" t="n">
        <v>60.09</v>
      </c>
      <c r="G365" s="3" t="s">
        <v>60</v>
      </c>
      <c r="H365" s="3" t="s">
        <v>60</v>
      </c>
      <c r="I365" s="3" t="n">
        <v>51340500</v>
      </c>
      <c r="J365" s="3" t="n">
        <v>6052500</v>
      </c>
      <c r="K365" s="3" t="s">
        <v>61</v>
      </c>
      <c r="L365" s="3" t="s">
        <v>62</v>
      </c>
      <c r="M365" s="3" t="s">
        <v>791</v>
      </c>
      <c r="N365" s="3" t="n">
        <v>3</v>
      </c>
      <c r="O365" s="3" t="s">
        <v>100</v>
      </c>
      <c r="P365" s="3" t="s">
        <v>70</v>
      </c>
    </row>
    <row r="366" customFormat="false" ht="15" hidden="false" customHeight="false" outlineLevel="0" collapsed="false">
      <c r="A366" s="3" t="s">
        <v>792</v>
      </c>
      <c r="B366" s="3" t="s">
        <v>199</v>
      </c>
      <c r="C366" s="3" t="s">
        <v>200</v>
      </c>
      <c r="D366" s="4" t="n">
        <v>395.85</v>
      </c>
      <c r="E366" s="3" t="s">
        <v>60</v>
      </c>
      <c r="F366" s="3" t="n">
        <v>45.75</v>
      </c>
      <c r="G366" s="3" t="s">
        <v>60</v>
      </c>
      <c r="H366" s="3" t="s">
        <v>60</v>
      </c>
      <c r="I366" s="3" t="n">
        <v>39000000</v>
      </c>
      <c r="J366" s="3" t="n">
        <v>685000</v>
      </c>
      <c r="K366" s="3" t="s">
        <v>61</v>
      </c>
      <c r="L366" s="3" t="s">
        <v>62</v>
      </c>
      <c r="M366" s="3" t="s">
        <v>793</v>
      </c>
      <c r="N366" s="3" t="n">
        <v>6</v>
      </c>
      <c r="O366" s="3" t="s">
        <v>64</v>
      </c>
      <c r="P366" s="3" t="s">
        <v>65</v>
      </c>
    </row>
    <row r="367" customFormat="false" ht="15" hidden="false" customHeight="false" outlineLevel="0" collapsed="false">
      <c r="A367" s="3" t="s">
        <v>792</v>
      </c>
      <c r="B367" s="3" t="s">
        <v>794</v>
      </c>
      <c r="C367" s="3" t="s">
        <v>795</v>
      </c>
      <c r="D367" s="4" t="n">
        <v>2270.4</v>
      </c>
      <c r="E367" s="3" t="s">
        <v>60</v>
      </c>
      <c r="F367" s="3" t="n">
        <v>63.36</v>
      </c>
      <c r="G367" s="3" t="s">
        <v>60</v>
      </c>
      <c r="H367" s="3" t="s">
        <v>60</v>
      </c>
      <c r="I367" s="3" t="n">
        <v>5683500</v>
      </c>
      <c r="J367" s="3" t="n">
        <v>101250</v>
      </c>
      <c r="K367" s="3" t="s">
        <v>61</v>
      </c>
      <c r="L367" s="3" t="s">
        <v>62</v>
      </c>
      <c r="M367" s="3" t="s">
        <v>796</v>
      </c>
      <c r="N367" s="3" t="n">
        <v>0</v>
      </c>
      <c r="O367" s="3" t="s">
        <v>64</v>
      </c>
      <c r="P367" s="3" t="s">
        <v>65</v>
      </c>
    </row>
    <row r="368" customFormat="false" ht="15" hidden="false" customHeight="false" outlineLevel="0" collapsed="false">
      <c r="A368" s="3" t="s">
        <v>792</v>
      </c>
      <c r="B368" s="3" t="s">
        <v>797</v>
      </c>
      <c r="C368" s="3" t="s">
        <v>798</v>
      </c>
      <c r="D368" s="4" t="n">
        <v>337.35</v>
      </c>
      <c r="E368" s="3" t="s">
        <v>60</v>
      </c>
      <c r="F368" s="3" t="n">
        <v>53.85</v>
      </c>
      <c r="G368" s="3" t="s">
        <v>60</v>
      </c>
      <c r="H368" s="3" t="s">
        <v>60</v>
      </c>
      <c r="I368" s="3" t="n">
        <v>28796400</v>
      </c>
      <c r="J368" s="3" t="n">
        <v>961200</v>
      </c>
      <c r="K368" s="3" t="s">
        <v>61</v>
      </c>
      <c r="L368" s="3" t="s">
        <v>62</v>
      </c>
      <c r="M368" s="3" t="s">
        <v>799</v>
      </c>
      <c r="N368" s="3" t="n">
        <v>0</v>
      </c>
      <c r="O368" s="3" t="s">
        <v>64</v>
      </c>
      <c r="P368" s="3" t="s">
        <v>65</v>
      </c>
    </row>
    <row r="369" customFormat="false" ht="15" hidden="false" customHeight="false" outlineLevel="0" collapsed="false">
      <c r="A369" s="3" t="s">
        <v>792</v>
      </c>
      <c r="B369" s="3" t="s">
        <v>565</v>
      </c>
      <c r="C369" s="3" t="s">
        <v>566</v>
      </c>
      <c r="D369" s="4" t="n">
        <v>1417.6</v>
      </c>
      <c r="E369" s="3" t="s">
        <v>60</v>
      </c>
      <c r="F369" s="3" t="n">
        <v>60.56</v>
      </c>
      <c r="G369" s="3" t="s">
        <v>60</v>
      </c>
      <c r="H369" s="3" t="s">
        <v>60</v>
      </c>
      <c r="I369" s="3" t="n">
        <v>9742000</v>
      </c>
      <c r="J369" s="3" t="n">
        <v>32500</v>
      </c>
      <c r="K369" s="3" t="s">
        <v>61</v>
      </c>
      <c r="L369" s="3" t="s">
        <v>62</v>
      </c>
      <c r="M369" s="3" t="s">
        <v>800</v>
      </c>
      <c r="N369" s="3" t="n">
        <v>2</v>
      </c>
      <c r="O369" s="3" t="s">
        <v>64</v>
      </c>
      <c r="P369" s="3" t="s">
        <v>65</v>
      </c>
    </row>
    <row r="370" customFormat="false" ht="15" hidden="false" customHeight="false" outlineLevel="0" collapsed="false">
      <c r="A370" s="3" t="s">
        <v>792</v>
      </c>
      <c r="B370" s="3" t="s">
        <v>136</v>
      </c>
      <c r="C370" s="3" t="s">
        <v>137</v>
      </c>
      <c r="D370" s="4" t="n">
        <v>183.03</v>
      </c>
      <c r="E370" s="3" t="s">
        <v>60</v>
      </c>
      <c r="F370" s="3" t="n">
        <v>58.53</v>
      </c>
      <c r="G370" s="3" t="s">
        <v>60</v>
      </c>
      <c r="H370" s="3" t="s">
        <v>60</v>
      </c>
      <c r="I370" s="3" t="n">
        <v>85146750</v>
      </c>
      <c r="J370" s="3" t="n">
        <v>575250</v>
      </c>
      <c r="K370" s="3" t="s">
        <v>61</v>
      </c>
      <c r="L370" s="3" t="s">
        <v>62</v>
      </c>
      <c r="M370" s="3" t="s">
        <v>801</v>
      </c>
      <c r="N370" s="3" t="n">
        <v>9</v>
      </c>
      <c r="O370" s="3" t="s">
        <v>64</v>
      </c>
      <c r="P370" s="3" t="s">
        <v>65</v>
      </c>
    </row>
    <row r="371" customFormat="false" ht="15" hidden="false" customHeight="false" outlineLevel="0" collapsed="false">
      <c r="A371" s="3" t="s">
        <v>792</v>
      </c>
      <c r="B371" s="3" t="s">
        <v>175</v>
      </c>
      <c r="C371" s="3" t="s">
        <v>176</v>
      </c>
      <c r="D371" s="4" t="n">
        <v>1275</v>
      </c>
      <c r="E371" s="3" t="s">
        <v>60</v>
      </c>
      <c r="F371" s="3" t="n">
        <v>47.93</v>
      </c>
      <c r="G371" s="3" t="s">
        <v>60</v>
      </c>
      <c r="H371" s="3" t="s">
        <v>60</v>
      </c>
      <c r="I371" s="3" t="n">
        <v>52123500</v>
      </c>
      <c r="J371" s="3" t="n">
        <v>252450</v>
      </c>
      <c r="K371" s="3" t="s">
        <v>61</v>
      </c>
      <c r="L371" s="3" t="s">
        <v>62</v>
      </c>
      <c r="M371" s="3" t="s">
        <v>802</v>
      </c>
      <c r="N371" s="3" t="n">
        <v>4</v>
      </c>
      <c r="O371" s="3" t="s">
        <v>64</v>
      </c>
      <c r="P371" s="3" t="s">
        <v>65</v>
      </c>
    </row>
    <row r="372" customFormat="false" ht="15" hidden="false" customHeight="false" outlineLevel="0" collapsed="false">
      <c r="A372" s="3" t="s">
        <v>792</v>
      </c>
      <c r="B372" s="3" t="s">
        <v>296</v>
      </c>
      <c r="C372" s="3" t="s">
        <v>297</v>
      </c>
      <c r="D372" s="4" t="n">
        <v>2292.2</v>
      </c>
      <c r="E372" s="3" t="s">
        <v>60</v>
      </c>
      <c r="F372" s="3" t="n">
        <v>57.79</v>
      </c>
      <c r="G372" s="3" t="s">
        <v>60</v>
      </c>
      <c r="H372" s="3" t="s">
        <v>60</v>
      </c>
      <c r="I372" s="3" t="n">
        <v>7571800</v>
      </c>
      <c r="J372" s="3" t="n">
        <v>137700</v>
      </c>
      <c r="K372" s="3" t="s">
        <v>61</v>
      </c>
      <c r="L372" s="3" t="s">
        <v>62</v>
      </c>
      <c r="M372" s="3" t="s">
        <v>803</v>
      </c>
      <c r="N372" s="3" t="n">
        <v>2</v>
      </c>
      <c r="O372" s="3" t="s">
        <v>64</v>
      </c>
      <c r="P372" s="3" t="s">
        <v>65</v>
      </c>
    </row>
    <row r="373" customFormat="false" ht="15" hidden="false" customHeight="false" outlineLevel="0" collapsed="false">
      <c r="A373" s="3" t="s">
        <v>792</v>
      </c>
      <c r="B373" s="3" t="s">
        <v>139</v>
      </c>
      <c r="C373" s="3" t="s">
        <v>140</v>
      </c>
      <c r="D373" s="4" t="n">
        <v>2155.7</v>
      </c>
      <c r="E373" s="3" t="s">
        <v>60</v>
      </c>
      <c r="F373" s="3" t="n">
        <v>53.09</v>
      </c>
      <c r="G373" s="3" t="s">
        <v>60</v>
      </c>
      <c r="H373" s="3" t="s">
        <v>60</v>
      </c>
      <c r="I373" s="3" t="n">
        <v>2305350</v>
      </c>
      <c r="J373" s="3" t="n">
        <v>74025</v>
      </c>
      <c r="K373" s="3" t="s">
        <v>61</v>
      </c>
      <c r="L373" s="3" t="s">
        <v>62</v>
      </c>
      <c r="M373" s="3" t="s">
        <v>804</v>
      </c>
      <c r="N373" s="3" t="n">
        <v>4</v>
      </c>
      <c r="O373" s="3" t="s">
        <v>64</v>
      </c>
      <c r="P373" s="3" t="s">
        <v>65</v>
      </c>
    </row>
    <row r="374" customFormat="false" ht="15" hidden="false" customHeight="false" outlineLevel="0" collapsed="false">
      <c r="A374" s="3" t="s">
        <v>792</v>
      </c>
      <c r="B374" s="3" t="s">
        <v>117</v>
      </c>
      <c r="C374" s="3" t="s">
        <v>118</v>
      </c>
      <c r="D374" s="4" t="n">
        <v>313.9</v>
      </c>
      <c r="E374" s="3" t="s">
        <v>60</v>
      </c>
      <c r="F374" s="3" t="n">
        <v>61.63</v>
      </c>
      <c r="G374" s="3" t="s">
        <v>60</v>
      </c>
      <c r="H374" s="3" t="s">
        <v>60</v>
      </c>
      <c r="I374" s="3" t="n">
        <v>36658600</v>
      </c>
      <c r="J374" s="3" t="n">
        <v>43700</v>
      </c>
      <c r="K374" s="3" t="s">
        <v>61</v>
      </c>
      <c r="L374" s="3" t="s">
        <v>62</v>
      </c>
      <c r="M374" s="3" t="s">
        <v>805</v>
      </c>
      <c r="N374" s="3" t="n">
        <v>2</v>
      </c>
      <c r="O374" s="3" t="s">
        <v>64</v>
      </c>
      <c r="P374" s="3" t="s">
        <v>65</v>
      </c>
    </row>
    <row r="375" customFormat="false" ht="15" hidden="false" customHeight="false" outlineLevel="0" collapsed="false">
      <c r="A375" s="3" t="s">
        <v>792</v>
      </c>
      <c r="B375" s="3" t="s">
        <v>406</v>
      </c>
      <c r="C375" s="3" t="s">
        <v>407</v>
      </c>
      <c r="D375" s="4" t="n">
        <v>164.93</v>
      </c>
      <c r="E375" s="3" t="s">
        <v>60</v>
      </c>
      <c r="F375" s="3" t="n">
        <v>47.07</v>
      </c>
      <c r="G375" s="3" t="s">
        <v>60</v>
      </c>
      <c r="H375" s="3" t="s">
        <v>60</v>
      </c>
      <c r="I375" s="3" t="n">
        <v>183426900</v>
      </c>
      <c r="J375" s="3" t="n">
        <v>25906400</v>
      </c>
      <c r="K375" s="3" t="s">
        <v>61</v>
      </c>
      <c r="L375" s="3" t="s">
        <v>62</v>
      </c>
      <c r="M375" s="3" t="s">
        <v>806</v>
      </c>
      <c r="N375" s="3" t="n">
        <v>1</v>
      </c>
      <c r="O375" s="3" t="s">
        <v>64</v>
      </c>
      <c r="P375" s="3" t="s">
        <v>65</v>
      </c>
    </row>
    <row r="376" customFormat="false" ht="15" hidden="false" customHeight="false" outlineLevel="0" collapsed="false">
      <c r="A376" s="3" t="s">
        <v>792</v>
      </c>
      <c r="B376" s="3" t="s">
        <v>740</v>
      </c>
      <c r="C376" s="3" t="s">
        <v>741</v>
      </c>
      <c r="D376" s="4" t="n">
        <v>4052.6</v>
      </c>
      <c r="E376" s="3" t="s">
        <v>60</v>
      </c>
      <c r="F376" s="3" t="n">
        <v>61.29</v>
      </c>
      <c r="G376" s="3" t="s">
        <v>60</v>
      </c>
      <c r="H376" s="3" t="s">
        <v>60</v>
      </c>
      <c r="I376" s="3" t="n">
        <v>1556625</v>
      </c>
      <c r="J376" s="3" t="n">
        <v>12600</v>
      </c>
      <c r="K376" s="3" t="s">
        <v>61</v>
      </c>
      <c r="L376" s="3" t="s">
        <v>62</v>
      </c>
      <c r="M376" s="3" t="s">
        <v>807</v>
      </c>
      <c r="N376" s="3" t="n">
        <v>1</v>
      </c>
      <c r="O376" s="3" t="s">
        <v>64</v>
      </c>
      <c r="P376" s="3" t="s">
        <v>65</v>
      </c>
    </row>
    <row r="377" customFormat="false" ht="15" hidden="false" customHeight="false" outlineLevel="0" collapsed="false">
      <c r="A377" s="3" t="s">
        <v>808</v>
      </c>
      <c r="B377" s="3" t="s">
        <v>809</v>
      </c>
      <c r="C377" s="3" t="s">
        <v>810</v>
      </c>
      <c r="D377" s="4" t="n">
        <v>726.75</v>
      </c>
      <c r="E377" s="3" t="s">
        <v>60</v>
      </c>
      <c r="F377" s="3" t="n">
        <v>59.78</v>
      </c>
      <c r="G377" s="3" t="s">
        <v>60</v>
      </c>
      <c r="H377" s="3" t="s">
        <v>60</v>
      </c>
      <c r="I377" s="3" t="n">
        <v>15732650</v>
      </c>
      <c r="J377" s="3" t="n">
        <v>963900</v>
      </c>
      <c r="K377" s="3" t="s">
        <v>61</v>
      </c>
      <c r="L377" s="3" t="s">
        <v>62</v>
      </c>
      <c r="M377" s="3" t="s">
        <v>811</v>
      </c>
      <c r="N377" s="3" t="n">
        <v>0</v>
      </c>
      <c r="O377" s="3" t="s">
        <v>64</v>
      </c>
      <c r="P377" s="3" t="s">
        <v>65</v>
      </c>
    </row>
    <row r="378" customFormat="false" ht="15" hidden="false" customHeight="false" outlineLevel="0" collapsed="false">
      <c r="A378" s="3" t="s">
        <v>808</v>
      </c>
      <c r="B378" s="3" t="s">
        <v>216</v>
      </c>
      <c r="C378" s="3" t="s">
        <v>217</v>
      </c>
      <c r="D378" s="4" t="n">
        <v>1358.1</v>
      </c>
      <c r="E378" s="3" t="s">
        <v>60</v>
      </c>
      <c r="F378" s="3" t="n">
        <v>55.72</v>
      </c>
      <c r="G378" s="3" t="s">
        <v>60</v>
      </c>
      <c r="H378" s="3" t="s">
        <v>60</v>
      </c>
      <c r="I378" s="3" t="n">
        <v>13090125</v>
      </c>
      <c r="J378" s="3" t="n">
        <v>25875</v>
      </c>
      <c r="K378" s="3" t="s">
        <v>61</v>
      </c>
      <c r="L378" s="3" t="s">
        <v>62</v>
      </c>
      <c r="M378" s="3" t="s">
        <v>812</v>
      </c>
      <c r="N378" s="3" t="n">
        <v>3</v>
      </c>
      <c r="O378" s="3" t="s">
        <v>64</v>
      </c>
      <c r="P378" s="3" t="s">
        <v>65</v>
      </c>
    </row>
    <row r="379" customFormat="false" ht="15" hidden="false" customHeight="false" outlineLevel="0" collapsed="false">
      <c r="A379" s="3" t="s">
        <v>808</v>
      </c>
      <c r="B379" s="3" t="s">
        <v>602</v>
      </c>
      <c r="C379" s="3" t="s">
        <v>603</v>
      </c>
      <c r="D379" s="4" t="n">
        <v>1404.9</v>
      </c>
      <c r="E379" s="3" t="s">
        <v>60</v>
      </c>
      <c r="F379" s="3" t="n">
        <v>55.15</v>
      </c>
      <c r="G379" s="3" t="s">
        <v>60</v>
      </c>
      <c r="H379" s="3" t="s">
        <v>60</v>
      </c>
      <c r="I379" s="3" t="n">
        <v>103927600</v>
      </c>
      <c r="J379" s="3" t="n">
        <v>2522800</v>
      </c>
      <c r="K379" s="3" t="s">
        <v>61</v>
      </c>
      <c r="L379" s="3" t="s">
        <v>62</v>
      </c>
      <c r="M379" s="3" t="s">
        <v>813</v>
      </c>
      <c r="N379" s="3" t="n">
        <v>2</v>
      </c>
      <c r="O379" s="3" t="s">
        <v>64</v>
      </c>
      <c r="P379" s="3" t="s">
        <v>65</v>
      </c>
    </row>
    <row r="380" customFormat="false" ht="15" hidden="false" customHeight="false" outlineLevel="0" collapsed="false">
      <c r="A380" s="3" t="s">
        <v>808</v>
      </c>
      <c r="B380" s="3" t="s">
        <v>814</v>
      </c>
      <c r="C380" s="3" t="s">
        <v>815</v>
      </c>
      <c r="D380" s="4" t="n">
        <v>391.55</v>
      </c>
      <c r="E380" s="3" t="s">
        <v>60</v>
      </c>
      <c r="F380" s="3" t="n">
        <v>49.75</v>
      </c>
      <c r="G380" s="3" t="s">
        <v>60</v>
      </c>
      <c r="H380" s="3" t="s">
        <v>60</v>
      </c>
      <c r="I380" s="3" t="n">
        <v>67884000</v>
      </c>
      <c r="J380" s="3" t="n">
        <v>60000</v>
      </c>
      <c r="K380" s="3" t="s">
        <v>61</v>
      </c>
      <c r="L380" s="3" t="s">
        <v>62</v>
      </c>
      <c r="M380" s="3" t="s">
        <v>816</v>
      </c>
      <c r="N380" s="3" t="n">
        <v>0</v>
      </c>
      <c r="O380" s="3" t="s">
        <v>64</v>
      </c>
      <c r="P380" s="3" t="s">
        <v>65</v>
      </c>
    </row>
    <row r="381" customFormat="false" ht="15" hidden="false" customHeight="false" outlineLevel="0" collapsed="false">
      <c r="A381" s="3" t="s">
        <v>808</v>
      </c>
      <c r="B381" s="3" t="s">
        <v>660</v>
      </c>
      <c r="C381" s="3" t="s">
        <v>661</v>
      </c>
      <c r="D381" s="4" t="n">
        <v>201.54</v>
      </c>
      <c r="E381" s="3" t="s">
        <v>60</v>
      </c>
      <c r="F381" s="3" t="n">
        <v>52.43</v>
      </c>
      <c r="G381" s="3" t="s">
        <v>60</v>
      </c>
      <c r="H381" s="3" t="s">
        <v>60</v>
      </c>
      <c r="I381" s="3" t="n">
        <v>65171400</v>
      </c>
      <c r="J381" s="3" t="n">
        <v>6318900</v>
      </c>
      <c r="K381" s="3" t="s">
        <v>61</v>
      </c>
      <c r="L381" s="3" t="s">
        <v>62</v>
      </c>
      <c r="M381" s="3" t="s">
        <v>817</v>
      </c>
      <c r="N381" s="3" t="n">
        <v>1</v>
      </c>
      <c r="O381" s="3" t="s">
        <v>64</v>
      </c>
      <c r="P381" s="3" t="s">
        <v>65</v>
      </c>
    </row>
    <row r="382" customFormat="false" ht="15" hidden="false" customHeight="false" outlineLevel="0" collapsed="false">
      <c r="A382" s="3" t="s">
        <v>818</v>
      </c>
      <c r="B382" s="3" t="s">
        <v>136</v>
      </c>
      <c r="C382" s="3" t="s">
        <v>137</v>
      </c>
      <c r="D382" s="4" t="n">
        <v>187.47</v>
      </c>
      <c r="E382" s="3" t="s">
        <v>60</v>
      </c>
      <c r="F382" s="3" t="n">
        <v>57.8</v>
      </c>
      <c r="G382" s="3" t="s">
        <v>60</v>
      </c>
      <c r="H382" s="3" t="s">
        <v>60</v>
      </c>
      <c r="I382" s="3" t="n">
        <v>87394125</v>
      </c>
      <c r="J382" s="3" t="n">
        <v>14625</v>
      </c>
      <c r="K382" s="3" t="s">
        <v>61</v>
      </c>
      <c r="L382" s="3" t="s">
        <v>62</v>
      </c>
      <c r="M382" s="3" t="s">
        <v>819</v>
      </c>
      <c r="N382" s="3" t="n">
        <v>10</v>
      </c>
      <c r="O382" s="3" t="s">
        <v>64</v>
      </c>
      <c r="P382" s="3" t="s">
        <v>65</v>
      </c>
    </row>
    <row r="383" customFormat="false" ht="15" hidden="false" customHeight="false" outlineLevel="0" collapsed="false">
      <c r="A383" s="3" t="s">
        <v>818</v>
      </c>
      <c r="B383" s="3" t="s">
        <v>820</v>
      </c>
      <c r="C383" s="3" t="s">
        <v>821</v>
      </c>
      <c r="D383" s="4" t="n">
        <v>519.9</v>
      </c>
      <c r="E383" s="3" t="s">
        <v>60</v>
      </c>
      <c r="F383" s="3" t="n">
        <v>71.42</v>
      </c>
      <c r="G383" s="3" t="s">
        <v>60</v>
      </c>
      <c r="H383" s="3" t="s">
        <v>60</v>
      </c>
      <c r="I383" s="3" t="n">
        <v>28206250</v>
      </c>
      <c r="J383" s="3" t="n">
        <v>4213750</v>
      </c>
      <c r="K383" s="3" t="s">
        <v>61</v>
      </c>
      <c r="L383" s="3" t="s">
        <v>62</v>
      </c>
      <c r="M383" s="3" t="s">
        <v>822</v>
      </c>
      <c r="N383" s="3" t="n">
        <v>0</v>
      </c>
      <c r="O383" s="3" t="s">
        <v>64</v>
      </c>
      <c r="P383" s="3" t="s">
        <v>65</v>
      </c>
    </row>
    <row r="384" customFormat="false" ht="15" hidden="false" customHeight="false" outlineLevel="0" collapsed="false">
      <c r="A384" s="3" t="s">
        <v>818</v>
      </c>
      <c r="B384" s="3" t="s">
        <v>680</v>
      </c>
      <c r="C384" s="3" t="s">
        <v>681</v>
      </c>
      <c r="D384" s="4" t="n">
        <v>2753.4</v>
      </c>
      <c r="E384" s="3" t="s">
        <v>60</v>
      </c>
      <c r="F384" s="3" t="n">
        <v>66.6</v>
      </c>
      <c r="G384" s="3" t="s">
        <v>60</v>
      </c>
      <c r="H384" s="3" t="s">
        <v>60</v>
      </c>
      <c r="I384" s="3" t="n">
        <v>2808200</v>
      </c>
      <c r="J384" s="3" t="n">
        <v>105200</v>
      </c>
      <c r="K384" s="3" t="s">
        <v>61</v>
      </c>
      <c r="L384" s="3" t="s">
        <v>62</v>
      </c>
      <c r="M384" s="3" t="s">
        <v>823</v>
      </c>
      <c r="N384" s="3" t="n">
        <v>1</v>
      </c>
      <c r="O384" s="3" t="s">
        <v>69</v>
      </c>
      <c r="P384" s="3" t="s">
        <v>70</v>
      </c>
    </row>
    <row r="385" customFormat="false" ht="15" hidden="false" customHeight="false" outlineLevel="0" collapsed="false">
      <c r="A385" s="3" t="s">
        <v>824</v>
      </c>
      <c r="B385" s="3" t="s">
        <v>623</v>
      </c>
      <c r="C385" s="3" t="s">
        <v>624</v>
      </c>
      <c r="D385" s="4" t="n">
        <v>1752.5</v>
      </c>
      <c r="E385" s="3" t="s">
        <v>60</v>
      </c>
      <c r="F385" s="3" t="n">
        <v>56.49</v>
      </c>
      <c r="G385" s="3" t="s">
        <v>60</v>
      </c>
      <c r="H385" s="3" t="s">
        <v>60</v>
      </c>
      <c r="I385" s="3" t="n">
        <v>22209600</v>
      </c>
      <c r="J385" s="3" t="n">
        <v>357350</v>
      </c>
      <c r="K385" s="3" t="s">
        <v>61</v>
      </c>
      <c r="L385" s="3" t="s">
        <v>62</v>
      </c>
      <c r="M385" s="3" t="s">
        <v>825</v>
      </c>
      <c r="N385" s="3" t="n">
        <v>2</v>
      </c>
      <c r="O385" s="3" t="s">
        <v>64</v>
      </c>
      <c r="P385" s="3" t="s">
        <v>65</v>
      </c>
    </row>
    <row r="386" customFormat="false" ht="15" hidden="false" customHeight="false" outlineLevel="0" collapsed="false">
      <c r="A386" s="3" t="s">
        <v>824</v>
      </c>
      <c r="B386" s="3" t="s">
        <v>680</v>
      </c>
      <c r="C386" s="3" t="s">
        <v>681</v>
      </c>
      <c r="D386" s="4" t="n">
        <v>2837.6</v>
      </c>
      <c r="E386" s="3" t="s">
        <v>60</v>
      </c>
      <c r="F386" s="3" t="n">
        <v>70.39</v>
      </c>
      <c r="G386" s="3" t="s">
        <v>60</v>
      </c>
      <c r="H386" s="3" t="s">
        <v>60</v>
      </c>
      <c r="I386" s="3" t="n">
        <v>2991400</v>
      </c>
      <c r="J386" s="3" t="n">
        <v>183200</v>
      </c>
      <c r="K386" s="3" t="s">
        <v>61</v>
      </c>
      <c r="L386" s="3" t="s">
        <v>62</v>
      </c>
      <c r="M386" s="3" t="s">
        <v>826</v>
      </c>
      <c r="N386" s="3" t="n">
        <v>1</v>
      </c>
      <c r="O386" s="3" t="s">
        <v>100</v>
      </c>
      <c r="P386" s="3" t="s">
        <v>70</v>
      </c>
    </row>
    <row r="387" customFormat="false" ht="15" hidden="false" customHeight="false" outlineLevel="0" collapsed="false">
      <c r="A387" s="3" t="s">
        <v>827</v>
      </c>
      <c r="B387" s="3" t="s">
        <v>623</v>
      </c>
      <c r="C387" s="3" t="s">
        <v>624</v>
      </c>
      <c r="D387" s="4" t="n">
        <v>1784.5</v>
      </c>
      <c r="E387" s="3" t="s">
        <v>60</v>
      </c>
      <c r="F387" s="3" t="n">
        <v>61.04</v>
      </c>
      <c r="G387" s="3" t="s">
        <v>60</v>
      </c>
      <c r="H387" s="3" t="s">
        <v>60</v>
      </c>
      <c r="I387" s="3" t="n">
        <v>21740950</v>
      </c>
      <c r="J387" s="3" t="n">
        <v>228200</v>
      </c>
      <c r="K387" s="3" t="s">
        <v>61</v>
      </c>
      <c r="L387" s="3" t="s">
        <v>62</v>
      </c>
      <c r="M387" s="3" t="s">
        <v>828</v>
      </c>
      <c r="N387" s="3" t="n">
        <v>3</v>
      </c>
      <c r="O387" s="3" t="s">
        <v>64</v>
      </c>
      <c r="P387" s="3" t="s">
        <v>65</v>
      </c>
    </row>
    <row r="388" customFormat="false" ht="15" hidden="false" customHeight="false" outlineLevel="0" collapsed="false">
      <c r="A388" s="3" t="s">
        <v>829</v>
      </c>
      <c r="B388" s="3" t="s">
        <v>182</v>
      </c>
      <c r="C388" s="3" t="s">
        <v>183</v>
      </c>
      <c r="D388" s="4" t="n">
        <v>1689.2</v>
      </c>
      <c r="E388" s="3" t="s">
        <v>60</v>
      </c>
      <c r="F388" s="3" t="n">
        <v>49.14</v>
      </c>
      <c r="G388" s="3" t="s">
        <v>60</v>
      </c>
      <c r="H388" s="3" t="s">
        <v>60</v>
      </c>
      <c r="I388" s="3" t="n">
        <v>9071625</v>
      </c>
      <c r="J388" s="3" t="n">
        <v>409275</v>
      </c>
      <c r="K388" s="3" t="s">
        <v>61</v>
      </c>
      <c r="L388" s="3" t="s">
        <v>62</v>
      </c>
      <c r="M388" s="3" t="s">
        <v>830</v>
      </c>
      <c r="N388" s="3" t="n">
        <v>3</v>
      </c>
      <c r="O388" s="3" t="s">
        <v>64</v>
      </c>
      <c r="P388" s="3" t="s">
        <v>65</v>
      </c>
    </row>
    <row r="389" customFormat="false" ht="15" hidden="false" customHeight="false" outlineLevel="0" collapsed="false">
      <c r="A389" s="3" t="s">
        <v>829</v>
      </c>
      <c r="B389" s="3" t="s">
        <v>272</v>
      </c>
      <c r="C389" s="3" t="s">
        <v>273</v>
      </c>
      <c r="D389" s="4" t="n">
        <v>380.6</v>
      </c>
      <c r="E389" s="3" t="s">
        <v>60</v>
      </c>
      <c r="F389" s="3" t="n">
        <v>59.12</v>
      </c>
      <c r="G389" s="3" t="s">
        <v>60</v>
      </c>
      <c r="H389" s="3" t="s">
        <v>60</v>
      </c>
      <c r="I389" s="3" t="n">
        <v>101952000</v>
      </c>
      <c r="J389" s="3" t="n">
        <v>3523500</v>
      </c>
      <c r="K389" s="3" t="s">
        <v>61</v>
      </c>
      <c r="L389" s="3" t="s">
        <v>62</v>
      </c>
      <c r="M389" s="3" t="s">
        <v>831</v>
      </c>
      <c r="N389" s="3" t="n">
        <v>4</v>
      </c>
      <c r="O389" s="3" t="s">
        <v>64</v>
      </c>
      <c r="P389" s="3" t="s">
        <v>65</v>
      </c>
    </row>
    <row r="390" customFormat="false" ht="15" hidden="false" customHeight="false" outlineLevel="0" collapsed="false">
      <c r="A390" s="3" t="s">
        <v>832</v>
      </c>
      <c r="B390" s="3" t="s">
        <v>623</v>
      </c>
      <c r="C390" s="3" t="s">
        <v>624</v>
      </c>
      <c r="D390" s="4" t="n">
        <v>1807.4</v>
      </c>
      <c r="E390" s="3" t="s">
        <v>60</v>
      </c>
      <c r="F390" s="3" t="n">
        <v>60.78</v>
      </c>
      <c r="G390" s="3" t="s">
        <v>60</v>
      </c>
      <c r="H390" s="3" t="s">
        <v>60</v>
      </c>
      <c r="I390" s="3" t="n">
        <v>21579250</v>
      </c>
      <c r="J390" s="3" t="n">
        <v>97650</v>
      </c>
      <c r="K390" s="3" t="s">
        <v>61</v>
      </c>
      <c r="L390" s="3" t="s">
        <v>62</v>
      </c>
      <c r="M390" s="3" t="s">
        <v>833</v>
      </c>
      <c r="N390" s="3" t="n">
        <v>4</v>
      </c>
      <c r="O390" s="3" t="s">
        <v>69</v>
      </c>
      <c r="P390" s="3" t="s">
        <v>70</v>
      </c>
    </row>
    <row r="391" customFormat="false" ht="15" hidden="false" customHeight="false" outlineLevel="0" collapsed="false">
      <c r="A391" s="3" t="s">
        <v>834</v>
      </c>
      <c r="B391" s="3" t="s">
        <v>93</v>
      </c>
      <c r="C391" s="3" t="s">
        <v>94</v>
      </c>
      <c r="D391" s="4" t="n">
        <v>1849</v>
      </c>
      <c r="E391" s="3" t="s">
        <v>60</v>
      </c>
      <c r="F391" s="3" t="n">
        <v>58.93</v>
      </c>
      <c r="G391" s="3" t="s">
        <v>60</v>
      </c>
      <c r="H391" s="3" t="s">
        <v>60</v>
      </c>
      <c r="I391" s="3" t="n">
        <v>2231450</v>
      </c>
      <c r="J391" s="3" t="n">
        <v>123500</v>
      </c>
      <c r="K391" s="3" t="s">
        <v>61</v>
      </c>
      <c r="L391" s="3" t="s">
        <v>62</v>
      </c>
      <c r="M391" s="3" t="s">
        <v>835</v>
      </c>
      <c r="N391" s="3" t="n">
        <v>2</v>
      </c>
      <c r="O391" s="3" t="s">
        <v>64</v>
      </c>
      <c r="P391" s="3" t="s">
        <v>65</v>
      </c>
    </row>
    <row r="392" customFormat="false" ht="15" hidden="false" customHeight="false" outlineLevel="0" collapsed="false">
      <c r="A392" s="3" t="s">
        <v>834</v>
      </c>
      <c r="B392" s="3" t="s">
        <v>296</v>
      </c>
      <c r="C392" s="3" t="s">
        <v>297</v>
      </c>
      <c r="D392" s="4" t="n">
        <v>2337.4</v>
      </c>
      <c r="E392" s="3" t="s">
        <v>60</v>
      </c>
      <c r="F392" s="3" t="n">
        <v>63.33</v>
      </c>
      <c r="G392" s="3" t="s">
        <v>60</v>
      </c>
      <c r="H392" s="3" t="s">
        <v>60</v>
      </c>
      <c r="I392" s="3" t="n">
        <v>6831875</v>
      </c>
      <c r="J392" s="3" t="n">
        <v>119425</v>
      </c>
      <c r="K392" s="3" t="s">
        <v>61</v>
      </c>
      <c r="L392" s="3" t="s">
        <v>62</v>
      </c>
      <c r="M392" s="3" t="s">
        <v>836</v>
      </c>
      <c r="N392" s="3" t="n">
        <v>3</v>
      </c>
      <c r="O392" s="3" t="s">
        <v>64</v>
      </c>
      <c r="P392" s="3" t="s">
        <v>65</v>
      </c>
    </row>
    <row r="393" customFormat="false" ht="15" hidden="false" customHeight="false" outlineLevel="0" collapsed="false">
      <c r="A393" s="3" t="s">
        <v>834</v>
      </c>
      <c r="B393" s="3" t="s">
        <v>544</v>
      </c>
      <c r="C393" s="3" t="s">
        <v>545</v>
      </c>
      <c r="D393" s="4" t="n">
        <v>1241.2</v>
      </c>
      <c r="E393" s="3" t="s">
        <v>60</v>
      </c>
      <c r="F393" s="3" t="n">
        <v>57.73</v>
      </c>
      <c r="G393" s="3" t="s">
        <v>60</v>
      </c>
      <c r="H393" s="3" t="s">
        <v>60</v>
      </c>
      <c r="I393" s="3" t="n">
        <v>16022500</v>
      </c>
      <c r="J393" s="3" t="n">
        <v>222500</v>
      </c>
      <c r="K393" s="3" t="s">
        <v>61</v>
      </c>
      <c r="L393" s="3" t="s">
        <v>62</v>
      </c>
      <c r="M393" s="3" t="s">
        <v>837</v>
      </c>
      <c r="N393" s="3" t="n">
        <v>1</v>
      </c>
      <c r="O393" s="3" t="s">
        <v>64</v>
      </c>
      <c r="P393" s="3" t="s">
        <v>65</v>
      </c>
    </row>
    <row r="394" customFormat="false" ht="15" hidden="false" customHeight="false" outlineLevel="0" collapsed="false">
      <c r="A394" s="3" t="s">
        <v>834</v>
      </c>
      <c r="B394" s="3" t="s">
        <v>623</v>
      </c>
      <c r="C394" s="3" t="s">
        <v>624</v>
      </c>
      <c r="D394" s="4" t="n">
        <v>1812.8</v>
      </c>
      <c r="E394" s="3" t="s">
        <v>60</v>
      </c>
      <c r="F394" s="3" t="n">
        <v>60.49</v>
      </c>
      <c r="G394" s="3" t="s">
        <v>60</v>
      </c>
      <c r="H394" s="3" t="s">
        <v>60</v>
      </c>
      <c r="I394" s="3" t="n">
        <v>22338050</v>
      </c>
      <c r="J394" s="3" t="n">
        <v>758800</v>
      </c>
      <c r="K394" s="3" t="s">
        <v>61</v>
      </c>
      <c r="L394" s="3" t="s">
        <v>62</v>
      </c>
      <c r="M394" s="3" t="s">
        <v>838</v>
      </c>
      <c r="N394" s="3" t="n">
        <v>4</v>
      </c>
      <c r="O394" s="3" t="s">
        <v>100</v>
      </c>
      <c r="P394" s="3" t="s">
        <v>70</v>
      </c>
    </row>
    <row r="395" customFormat="false" ht="15" hidden="false" customHeight="false" outlineLevel="0" collapsed="false">
      <c r="A395" s="3" t="s">
        <v>839</v>
      </c>
      <c r="B395" s="3" t="s">
        <v>740</v>
      </c>
      <c r="C395" s="3" t="s">
        <v>741</v>
      </c>
      <c r="D395" s="4" t="n">
        <v>4038</v>
      </c>
      <c r="E395" s="3" t="s">
        <v>60</v>
      </c>
      <c r="F395" s="3" t="n">
        <v>57.76</v>
      </c>
      <c r="G395" s="3" t="s">
        <v>60</v>
      </c>
      <c r="H395" s="3" t="s">
        <v>60</v>
      </c>
      <c r="I395" s="3" t="n">
        <v>1704500</v>
      </c>
      <c r="J395" s="3" t="n">
        <v>150150</v>
      </c>
      <c r="K395" s="3" t="s">
        <v>61</v>
      </c>
      <c r="L395" s="3" t="s">
        <v>62</v>
      </c>
      <c r="M395" s="3" t="s">
        <v>840</v>
      </c>
      <c r="N395" s="3" t="n">
        <v>2</v>
      </c>
      <c r="O395" s="3" t="s">
        <v>64</v>
      </c>
      <c r="P395" s="3" t="s">
        <v>65</v>
      </c>
    </row>
    <row r="396" customFormat="false" ht="15" hidden="false" customHeight="false" outlineLevel="0" collapsed="false">
      <c r="A396" s="3" t="s">
        <v>839</v>
      </c>
      <c r="B396" s="3" t="s">
        <v>223</v>
      </c>
      <c r="C396" s="3" t="s">
        <v>224</v>
      </c>
      <c r="D396" s="4" t="n">
        <v>202.23</v>
      </c>
      <c r="E396" s="3" t="s">
        <v>60</v>
      </c>
      <c r="F396" s="3" t="n">
        <v>56.62</v>
      </c>
      <c r="G396" s="3" t="s">
        <v>60</v>
      </c>
      <c r="H396" s="3" t="s">
        <v>60</v>
      </c>
      <c r="I396" s="3" t="n">
        <v>153294000</v>
      </c>
      <c r="J396" s="3" t="n">
        <v>4575000</v>
      </c>
      <c r="K396" s="3" t="s">
        <v>61</v>
      </c>
      <c r="L396" s="3" t="s">
        <v>62</v>
      </c>
      <c r="M396" s="3" t="s">
        <v>841</v>
      </c>
      <c r="N396" s="3" t="n">
        <v>1</v>
      </c>
      <c r="O396" s="3" t="s">
        <v>64</v>
      </c>
      <c r="P396" s="3" t="s">
        <v>65</v>
      </c>
    </row>
    <row r="397" customFormat="false" ht="15" hidden="false" customHeight="false" outlineLevel="0" collapsed="false">
      <c r="A397" s="3" t="s">
        <v>842</v>
      </c>
      <c r="B397" s="3" t="s">
        <v>272</v>
      </c>
      <c r="C397" s="3" t="s">
        <v>273</v>
      </c>
      <c r="D397" s="4" t="n">
        <v>390.55</v>
      </c>
      <c r="E397" s="3" t="s">
        <v>60</v>
      </c>
      <c r="F397" s="3" t="n">
        <v>58.93</v>
      </c>
      <c r="G397" s="3" t="s">
        <v>60</v>
      </c>
      <c r="H397" s="3" t="s">
        <v>60</v>
      </c>
      <c r="I397" s="3" t="n">
        <v>104949000</v>
      </c>
      <c r="J397" s="3" t="n">
        <v>6142500</v>
      </c>
      <c r="K397" s="3" t="s">
        <v>61</v>
      </c>
      <c r="L397" s="3" t="s">
        <v>62</v>
      </c>
      <c r="M397" s="3" t="s">
        <v>843</v>
      </c>
      <c r="N397" s="3" t="n">
        <v>5</v>
      </c>
      <c r="O397" s="3" t="s">
        <v>64</v>
      </c>
      <c r="P397" s="3" t="s">
        <v>65</v>
      </c>
    </row>
    <row r="398" customFormat="false" ht="15" hidden="false" customHeight="false" outlineLevel="0" collapsed="false">
      <c r="A398" s="3" t="s">
        <v>844</v>
      </c>
      <c r="B398" s="3" t="s">
        <v>845</v>
      </c>
      <c r="C398" s="3" t="s">
        <v>846</v>
      </c>
      <c r="D398" s="4" t="n">
        <v>75.27</v>
      </c>
      <c r="E398" s="3" t="s">
        <v>60</v>
      </c>
      <c r="F398" s="3" t="n">
        <v>49.63</v>
      </c>
      <c r="G398" s="3" t="s">
        <v>60</v>
      </c>
      <c r="H398" s="3" t="s">
        <v>60</v>
      </c>
      <c r="I398" s="3" t="n">
        <v>74604800</v>
      </c>
      <c r="J398" s="3" t="n">
        <v>1817600</v>
      </c>
      <c r="K398" s="3" t="s">
        <v>61</v>
      </c>
      <c r="L398" s="3" t="s">
        <v>62</v>
      </c>
      <c r="M398" s="3" t="s">
        <v>847</v>
      </c>
      <c r="N398" s="3" t="n">
        <v>0</v>
      </c>
      <c r="O398" s="3" t="s">
        <v>64</v>
      </c>
      <c r="P398" s="3" t="s">
        <v>65</v>
      </c>
    </row>
    <row r="399" customFormat="false" ht="15" hidden="false" customHeight="false" outlineLevel="0" collapsed="false">
      <c r="A399" s="3" t="s">
        <v>848</v>
      </c>
      <c r="B399" s="3" t="s">
        <v>574</v>
      </c>
      <c r="C399" s="3" t="s">
        <v>575</v>
      </c>
      <c r="D399" s="4" t="n">
        <v>337.7</v>
      </c>
      <c r="E399" s="3" t="s">
        <v>60</v>
      </c>
      <c r="F399" s="3" t="n">
        <v>57.07</v>
      </c>
      <c r="G399" s="3" t="s">
        <v>60</v>
      </c>
      <c r="H399" s="3" t="s">
        <v>60</v>
      </c>
      <c r="I399" s="3" t="n">
        <v>70921200</v>
      </c>
      <c r="J399" s="3" t="n">
        <v>1605800</v>
      </c>
      <c r="K399" s="3" t="s">
        <v>61</v>
      </c>
      <c r="L399" s="3" t="s">
        <v>62</v>
      </c>
      <c r="M399" s="3" t="s">
        <v>849</v>
      </c>
      <c r="N399" s="3" t="n">
        <v>1</v>
      </c>
      <c r="O399" s="3" t="s">
        <v>69</v>
      </c>
      <c r="P399" s="3" t="s">
        <v>70</v>
      </c>
    </row>
    <row r="400" customFormat="false" ht="15" hidden="false" customHeight="false" outlineLevel="0" collapsed="false">
      <c r="A400" s="3" t="s">
        <v>848</v>
      </c>
      <c r="B400" s="3" t="s">
        <v>608</v>
      </c>
      <c r="C400" s="3" t="s">
        <v>609</v>
      </c>
      <c r="D400" s="4" t="n">
        <v>1932.1</v>
      </c>
      <c r="E400" s="3" t="s">
        <v>60</v>
      </c>
      <c r="F400" s="3" t="n">
        <v>62.67</v>
      </c>
      <c r="G400" s="3" t="s">
        <v>60</v>
      </c>
      <c r="H400" s="3" t="s">
        <v>60</v>
      </c>
      <c r="I400" s="3" t="n">
        <v>9024375</v>
      </c>
      <c r="J400" s="3" t="n">
        <v>156000</v>
      </c>
      <c r="K400" s="3" t="s">
        <v>61</v>
      </c>
      <c r="L400" s="3" t="s">
        <v>62</v>
      </c>
      <c r="M400" s="3" t="s">
        <v>850</v>
      </c>
      <c r="N400" s="3" t="n">
        <v>4</v>
      </c>
      <c r="O400" s="3" t="s">
        <v>64</v>
      </c>
      <c r="P400" s="3" t="s">
        <v>65</v>
      </c>
    </row>
    <row r="401" customFormat="false" ht="15" hidden="false" customHeight="false" outlineLevel="0" collapsed="false">
      <c r="A401" s="3" t="s">
        <v>848</v>
      </c>
      <c r="B401" s="3" t="s">
        <v>453</v>
      </c>
      <c r="C401" s="3" t="s">
        <v>454</v>
      </c>
      <c r="D401" s="4" t="n">
        <v>502.1</v>
      </c>
      <c r="E401" s="3" t="s">
        <v>60</v>
      </c>
      <c r="F401" s="3" t="n">
        <v>58.18</v>
      </c>
      <c r="G401" s="3" t="s">
        <v>60</v>
      </c>
      <c r="H401" s="3" t="s">
        <v>60</v>
      </c>
      <c r="I401" s="3" t="n">
        <v>11745300</v>
      </c>
      <c r="J401" s="3" t="n">
        <v>82075</v>
      </c>
      <c r="K401" s="3" t="s">
        <v>61</v>
      </c>
      <c r="L401" s="3" t="s">
        <v>62</v>
      </c>
      <c r="M401" s="3" t="s">
        <v>851</v>
      </c>
      <c r="N401" s="3" t="n">
        <v>3</v>
      </c>
      <c r="O401" s="3" t="s">
        <v>64</v>
      </c>
      <c r="P401" s="3" t="s">
        <v>65</v>
      </c>
    </row>
    <row r="402" customFormat="false" ht="15" hidden="false" customHeight="false" outlineLevel="0" collapsed="false">
      <c r="A402" s="3" t="s">
        <v>852</v>
      </c>
      <c r="B402" s="3" t="s">
        <v>664</v>
      </c>
      <c r="C402" s="3" t="s">
        <v>665</v>
      </c>
      <c r="D402" s="4" t="n">
        <v>1804.4</v>
      </c>
      <c r="E402" s="3" t="s">
        <v>60</v>
      </c>
      <c r="F402" s="3" t="n">
        <v>46.23</v>
      </c>
      <c r="G402" s="3" t="s">
        <v>60</v>
      </c>
      <c r="H402" s="3" t="s">
        <v>60</v>
      </c>
      <c r="I402" s="3" t="n">
        <v>7191500</v>
      </c>
      <c r="J402" s="3" t="n">
        <v>182000</v>
      </c>
      <c r="K402" s="3" t="s">
        <v>61</v>
      </c>
      <c r="L402" s="3" t="s">
        <v>62</v>
      </c>
      <c r="M402" s="3" t="s">
        <v>853</v>
      </c>
      <c r="N402" s="3" t="n">
        <v>2</v>
      </c>
      <c r="O402" s="3" t="s">
        <v>64</v>
      </c>
      <c r="P402" s="3" t="s">
        <v>65</v>
      </c>
    </row>
    <row r="403" customFormat="false" ht="15" hidden="false" customHeight="false" outlineLevel="0" collapsed="false">
      <c r="A403" s="3" t="s">
        <v>852</v>
      </c>
      <c r="B403" s="3" t="s">
        <v>96</v>
      </c>
      <c r="C403" s="3" t="s">
        <v>97</v>
      </c>
      <c r="D403" s="4" t="n">
        <v>422.55</v>
      </c>
      <c r="E403" s="3" t="s">
        <v>60</v>
      </c>
      <c r="F403" s="3" t="n">
        <v>47.87</v>
      </c>
      <c r="G403" s="3" t="s">
        <v>60</v>
      </c>
      <c r="H403" s="3" t="s">
        <v>60</v>
      </c>
      <c r="I403" s="3" t="n">
        <v>26333825</v>
      </c>
      <c r="J403" s="3" t="n">
        <v>1284425</v>
      </c>
      <c r="K403" s="3" t="s">
        <v>61</v>
      </c>
      <c r="L403" s="3" t="s">
        <v>62</v>
      </c>
      <c r="M403" s="3" t="s">
        <v>854</v>
      </c>
      <c r="N403" s="3" t="n">
        <v>6</v>
      </c>
      <c r="O403" s="3" t="s">
        <v>64</v>
      </c>
      <c r="P403" s="3" t="s">
        <v>65</v>
      </c>
    </row>
    <row r="404" customFormat="false" ht="15" hidden="false" customHeight="false" outlineLevel="0" collapsed="false">
      <c r="A404" s="3" t="s">
        <v>852</v>
      </c>
      <c r="B404" s="3" t="s">
        <v>152</v>
      </c>
      <c r="C404" s="3" t="s">
        <v>153</v>
      </c>
      <c r="D404" s="4" t="n">
        <v>854.15</v>
      </c>
      <c r="E404" s="3" t="s">
        <v>60</v>
      </c>
      <c r="F404" s="3" t="n">
        <v>66.7</v>
      </c>
      <c r="G404" s="3" t="s">
        <v>60</v>
      </c>
      <c r="H404" s="3" t="s">
        <v>60</v>
      </c>
      <c r="I404" s="3" t="n">
        <v>11681550</v>
      </c>
      <c r="J404" s="3" t="n">
        <v>1743300</v>
      </c>
      <c r="K404" s="3" t="s">
        <v>61</v>
      </c>
      <c r="L404" s="3" t="s">
        <v>62</v>
      </c>
      <c r="M404" s="3" t="s">
        <v>855</v>
      </c>
      <c r="N404" s="3" t="n">
        <v>3</v>
      </c>
      <c r="O404" s="3" t="s">
        <v>64</v>
      </c>
      <c r="P404" s="3" t="s">
        <v>65</v>
      </c>
    </row>
    <row r="405" customFormat="false" ht="15" hidden="false" customHeight="false" outlineLevel="0" collapsed="false">
      <c r="A405" s="3" t="s">
        <v>852</v>
      </c>
      <c r="B405" s="3" t="s">
        <v>414</v>
      </c>
      <c r="C405" s="3" t="s">
        <v>415</v>
      </c>
      <c r="D405" s="4" t="n">
        <v>1178.6</v>
      </c>
      <c r="E405" s="3" t="s">
        <v>60</v>
      </c>
      <c r="F405" s="3" t="n">
        <v>56.88</v>
      </c>
      <c r="G405" s="3" t="s">
        <v>60</v>
      </c>
      <c r="H405" s="3" t="s">
        <v>60</v>
      </c>
      <c r="I405" s="3" t="n">
        <v>1926500</v>
      </c>
      <c r="J405" s="3" t="n">
        <v>18500</v>
      </c>
      <c r="K405" s="3" t="s">
        <v>61</v>
      </c>
      <c r="L405" s="3" t="s">
        <v>62</v>
      </c>
      <c r="M405" s="3" t="s">
        <v>856</v>
      </c>
      <c r="N405" s="3" t="n">
        <v>1</v>
      </c>
      <c r="O405" s="3" t="s">
        <v>64</v>
      </c>
      <c r="P405" s="3" t="s">
        <v>65</v>
      </c>
    </row>
    <row r="406" customFormat="false" ht="15" hidden="false" customHeight="false" outlineLevel="0" collapsed="false">
      <c r="A406" s="3" t="s">
        <v>852</v>
      </c>
      <c r="B406" s="3" t="s">
        <v>237</v>
      </c>
      <c r="C406" s="3" t="s">
        <v>238</v>
      </c>
      <c r="D406" s="4" t="n">
        <v>1627.3</v>
      </c>
      <c r="E406" s="3" t="s">
        <v>60</v>
      </c>
      <c r="F406" s="3" t="n">
        <v>64.67</v>
      </c>
      <c r="G406" s="3" t="s">
        <v>60</v>
      </c>
      <c r="H406" s="3" t="s">
        <v>60</v>
      </c>
      <c r="I406" s="3" t="n">
        <v>3865400</v>
      </c>
      <c r="J406" s="3" t="n">
        <v>3850</v>
      </c>
      <c r="K406" s="3" t="s">
        <v>61</v>
      </c>
      <c r="L406" s="3" t="s">
        <v>62</v>
      </c>
      <c r="M406" s="3" t="s">
        <v>857</v>
      </c>
      <c r="N406" s="3" t="n">
        <v>3</v>
      </c>
      <c r="O406" s="3" t="s">
        <v>64</v>
      </c>
      <c r="P406" s="3" t="s">
        <v>65</v>
      </c>
    </row>
    <row r="407" customFormat="false" ht="15" hidden="false" customHeight="false" outlineLevel="0" collapsed="false">
      <c r="A407" s="3" t="s">
        <v>852</v>
      </c>
      <c r="B407" s="3" t="s">
        <v>441</v>
      </c>
      <c r="C407" s="3" t="s">
        <v>442</v>
      </c>
      <c r="D407" s="4" t="n">
        <v>807.65</v>
      </c>
      <c r="E407" s="3" t="s">
        <v>60</v>
      </c>
      <c r="F407" s="3" t="n">
        <v>55.98</v>
      </c>
      <c r="G407" s="3" t="s">
        <v>60</v>
      </c>
      <c r="H407" s="3" t="s">
        <v>60</v>
      </c>
      <c r="I407" s="3" t="n">
        <v>13164450</v>
      </c>
      <c r="J407" s="3" t="n">
        <v>226200</v>
      </c>
      <c r="K407" s="3" t="s">
        <v>61</v>
      </c>
      <c r="L407" s="3" t="s">
        <v>62</v>
      </c>
      <c r="M407" s="3" t="s">
        <v>858</v>
      </c>
      <c r="N407" s="3" t="n">
        <v>1</v>
      </c>
      <c r="O407" s="3" t="s">
        <v>64</v>
      </c>
      <c r="P407" s="3" t="s">
        <v>65</v>
      </c>
    </row>
    <row r="408" customFormat="false" ht="15" hidden="false" customHeight="false" outlineLevel="0" collapsed="false">
      <c r="A408" s="3" t="s">
        <v>852</v>
      </c>
      <c r="B408" s="3" t="s">
        <v>859</v>
      </c>
      <c r="C408" s="3" t="s">
        <v>860</v>
      </c>
      <c r="D408" s="4" t="n">
        <v>7374.5</v>
      </c>
      <c r="E408" s="3" t="s">
        <v>60</v>
      </c>
      <c r="F408" s="3" t="n">
        <v>64.49</v>
      </c>
      <c r="G408" s="3" t="s">
        <v>60</v>
      </c>
      <c r="H408" s="3" t="s">
        <v>60</v>
      </c>
      <c r="I408" s="3" t="n">
        <v>1994750</v>
      </c>
      <c r="J408" s="3" t="n">
        <v>9000</v>
      </c>
      <c r="K408" s="3" t="s">
        <v>61</v>
      </c>
      <c r="L408" s="3" t="s">
        <v>62</v>
      </c>
      <c r="M408" s="3" t="s">
        <v>861</v>
      </c>
      <c r="N408" s="3" t="n">
        <v>0</v>
      </c>
      <c r="O408" s="3" t="s">
        <v>64</v>
      </c>
      <c r="P408" s="3" t="s">
        <v>65</v>
      </c>
    </row>
    <row r="409" customFormat="false" ht="15" hidden="false" customHeight="false" outlineLevel="0" collapsed="false">
      <c r="A409" s="3" t="s">
        <v>852</v>
      </c>
      <c r="B409" s="3" t="s">
        <v>574</v>
      </c>
      <c r="C409" s="3" t="s">
        <v>575</v>
      </c>
      <c r="D409" s="4" t="n">
        <v>348.05</v>
      </c>
      <c r="E409" s="3" t="s">
        <v>60</v>
      </c>
      <c r="F409" s="3" t="n">
        <v>48.36</v>
      </c>
      <c r="G409" s="3" t="s">
        <v>60</v>
      </c>
      <c r="H409" s="3" t="s">
        <v>60</v>
      </c>
      <c r="I409" s="3" t="n">
        <v>71265600</v>
      </c>
      <c r="J409" s="3" t="n">
        <v>344400</v>
      </c>
      <c r="K409" s="3" t="s">
        <v>61</v>
      </c>
      <c r="L409" s="3" t="s">
        <v>62</v>
      </c>
      <c r="M409" s="3" t="s">
        <v>862</v>
      </c>
      <c r="N409" s="3" t="n">
        <v>1</v>
      </c>
      <c r="O409" s="3" t="s">
        <v>100</v>
      </c>
      <c r="P409" s="3" t="s">
        <v>70</v>
      </c>
    </row>
    <row r="410" customFormat="false" ht="15" hidden="false" customHeight="false" outlineLevel="0" collapsed="false">
      <c r="A410" s="3" t="s">
        <v>863</v>
      </c>
      <c r="B410" s="3" t="s">
        <v>686</v>
      </c>
      <c r="C410" s="3" t="s">
        <v>687</v>
      </c>
      <c r="D410" s="4" t="n">
        <v>468.15</v>
      </c>
      <c r="E410" s="3" t="s">
        <v>60</v>
      </c>
      <c r="F410" s="3" t="n">
        <v>58.88</v>
      </c>
      <c r="G410" s="3" t="s">
        <v>60</v>
      </c>
      <c r="H410" s="3" t="s">
        <v>60</v>
      </c>
      <c r="I410" s="3" t="n">
        <v>47374200</v>
      </c>
      <c r="J410" s="3" t="n">
        <v>552150</v>
      </c>
      <c r="K410" s="3" t="s">
        <v>61</v>
      </c>
      <c r="L410" s="3" t="s">
        <v>62</v>
      </c>
      <c r="M410" s="3" t="s">
        <v>864</v>
      </c>
      <c r="N410" s="3" t="n">
        <v>2</v>
      </c>
      <c r="O410" s="3" t="s">
        <v>64</v>
      </c>
      <c r="P410" s="3" t="s">
        <v>65</v>
      </c>
    </row>
    <row r="411" customFormat="false" ht="15" hidden="false" customHeight="false" outlineLevel="0" collapsed="false">
      <c r="A411" s="3" t="s">
        <v>863</v>
      </c>
      <c r="B411" s="3" t="s">
        <v>96</v>
      </c>
      <c r="C411" s="3" t="s">
        <v>97</v>
      </c>
      <c r="D411" s="4" t="n">
        <v>422.85</v>
      </c>
      <c r="E411" s="3" t="s">
        <v>60</v>
      </c>
      <c r="F411" s="3" t="n">
        <v>56.97</v>
      </c>
      <c r="G411" s="3" t="s">
        <v>60</v>
      </c>
      <c r="H411" s="3" t="s">
        <v>60</v>
      </c>
      <c r="I411" s="3" t="n">
        <v>26300625</v>
      </c>
      <c r="J411" s="3" t="n">
        <v>174300</v>
      </c>
      <c r="K411" s="3" t="s">
        <v>61</v>
      </c>
      <c r="L411" s="3" t="s">
        <v>62</v>
      </c>
      <c r="M411" s="3" t="s">
        <v>865</v>
      </c>
      <c r="N411" s="3" t="n">
        <v>7</v>
      </c>
      <c r="O411" s="3" t="s">
        <v>64</v>
      </c>
      <c r="P411" s="3" t="s">
        <v>65</v>
      </c>
    </row>
    <row r="412" customFormat="false" ht="15" hidden="false" customHeight="false" outlineLevel="0" collapsed="false">
      <c r="A412" s="3" t="s">
        <v>863</v>
      </c>
      <c r="B412" s="3" t="s">
        <v>562</v>
      </c>
      <c r="C412" s="3" t="s">
        <v>563</v>
      </c>
      <c r="D412" s="4" t="n">
        <v>2616.3</v>
      </c>
      <c r="E412" s="3" t="s">
        <v>60</v>
      </c>
      <c r="F412" s="3" t="n">
        <v>64.78</v>
      </c>
      <c r="G412" s="3" t="s">
        <v>60</v>
      </c>
      <c r="H412" s="3" t="s">
        <v>60</v>
      </c>
      <c r="I412" s="3" t="n">
        <v>14866750</v>
      </c>
      <c r="J412" s="3" t="n">
        <v>229750</v>
      </c>
      <c r="K412" s="3" t="s">
        <v>61</v>
      </c>
      <c r="L412" s="3" t="s">
        <v>62</v>
      </c>
      <c r="M412" s="3" t="s">
        <v>866</v>
      </c>
      <c r="N412" s="3" t="n">
        <v>2</v>
      </c>
      <c r="O412" s="3" t="s">
        <v>64</v>
      </c>
      <c r="P412" s="3" t="s">
        <v>65</v>
      </c>
    </row>
    <row r="413" customFormat="false" ht="15" hidden="false" customHeight="false" outlineLevel="0" collapsed="false">
      <c r="A413" s="3" t="s">
        <v>863</v>
      </c>
      <c r="B413" s="3" t="s">
        <v>591</v>
      </c>
      <c r="C413" s="3" t="s">
        <v>592</v>
      </c>
      <c r="D413" s="4" t="n">
        <v>1333.7</v>
      </c>
      <c r="E413" s="3" t="s">
        <v>60</v>
      </c>
      <c r="F413" s="3" t="n">
        <v>63.67</v>
      </c>
      <c r="G413" s="3" t="s">
        <v>60</v>
      </c>
      <c r="H413" s="3" t="s">
        <v>60</v>
      </c>
      <c r="I413" s="3" t="n">
        <v>31584350</v>
      </c>
      <c r="J413" s="3" t="n">
        <v>481950</v>
      </c>
      <c r="K413" s="3" t="s">
        <v>61</v>
      </c>
      <c r="L413" s="3" t="s">
        <v>62</v>
      </c>
      <c r="M413" s="3" t="s">
        <v>867</v>
      </c>
      <c r="N413" s="3" t="n">
        <v>2</v>
      </c>
      <c r="O413" s="3" t="s">
        <v>69</v>
      </c>
      <c r="P413" s="3" t="s">
        <v>70</v>
      </c>
    </row>
    <row r="414" customFormat="false" ht="15" hidden="false" customHeight="false" outlineLevel="0" collapsed="false">
      <c r="A414" s="3" t="s">
        <v>863</v>
      </c>
      <c r="B414" s="3" t="s">
        <v>868</v>
      </c>
      <c r="C414" s="3" t="s">
        <v>869</v>
      </c>
      <c r="D414" s="4" t="n">
        <v>5275.5</v>
      </c>
      <c r="E414" s="3" t="s">
        <v>60</v>
      </c>
      <c r="F414" s="3" t="n">
        <v>62.44</v>
      </c>
      <c r="G414" s="3" t="s">
        <v>60</v>
      </c>
      <c r="H414" s="3" t="s">
        <v>60</v>
      </c>
      <c r="I414" s="3" t="n">
        <v>3676800</v>
      </c>
      <c r="J414" s="3" t="n">
        <v>117900</v>
      </c>
      <c r="K414" s="3" t="s">
        <v>61</v>
      </c>
      <c r="L414" s="3" t="s">
        <v>62</v>
      </c>
      <c r="M414" s="3" t="s">
        <v>870</v>
      </c>
      <c r="N414" s="3" t="n">
        <v>0</v>
      </c>
      <c r="O414" s="3" t="s">
        <v>64</v>
      </c>
      <c r="P414" s="3" t="s">
        <v>65</v>
      </c>
    </row>
    <row r="415" customFormat="false" ht="15" hidden="false" customHeight="false" outlineLevel="0" collapsed="false">
      <c r="A415" s="3" t="s">
        <v>863</v>
      </c>
      <c r="B415" s="3" t="s">
        <v>871</v>
      </c>
      <c r="C415" s="3" t="s">
        <v>872</v>
      </c>
      <c r="D415" s="4" t="n">
        <v>1255.9</v>
      </c>
      <c r="E415" s="3" t="s">
        <v>60</v>
      </c>
      <c r="F415" s="3" t="n">
        <v>50.08</v>
      </c>
      <c r="G415" s="3" t="s">
        <v>60</v>
      </c>
      <c r="H415" s="3" t="s">
        <v>60</v>
      </c>
      <c r="I415" s="3" t="n">
        <v>65971200</v>
      </c>
      <c r="J415" s="3" t="n">
        <v>1879600</v>
      </c>
      <c r="K415" s="3" t="s">
        <v>61</v>
      </c>
      <c r="L415" s="3" t="s">
        <v>62</v>
      </c>
      <c r="M415" s="3" t="s">
        <v>873</v>
      </c>
      <c r="N415" s="3" t="n">
        <v>0</v>
      </c>
      <c r="O415" s="3" t="s">
        <v>64</v>
      </c>
      <c r="P415" s="3" t="s">
        <v>65</v>
      </c>
    </row>
    <row r="416" customFormat="false" ht="15" hidden="false" customHeight="false" outlineLevel="0" collapsed="false">
      <c r="A416" s="3" t="s">
        <v>863</v>
      </c>
      <c r="B416" s="3" t="s">
        <v>762</v>
      </c>
      <c r="C416" s="3" t="s">
        <v>763</v>
      </c>
      <c r="D416" s="4" t="n">
        <v>964.8</v>
      </c>
      <c r="E416" s="3" t="s">
        <v>60</v>
      </c>
      <c r="F416" s="3" t="n">
        <v>62.95</v>
      </c>
      <c r="G416" s="3" t="s">
        <v>60</v>
      </c>
      <c r="H416" s="3" t="s">
        <v>60</v>
      </c>
      <c r="I416" s="3" t="n">
        <v>12558000</v>
      </c>
      <c r="J416" s="3" t="n">
        <v>56175</v>
      </c>
      <c r="K416" s="3" t="s">
        <v>61</v>
      </c>
      <c r="L416" s="3" t="s">
        <v>62</v>
      </c>
      <c r="M416" s="3" t="s">
        <v>874</v>
      </c>
      <c r="N416" s="3" t="n">
        <v>1</v>
      </c>
      <c r="O416" s="3" t="s">
        <v>64</v>
      </c>
      <c r="P416" s="3" t="s">
        <v>65</v>
      </c>
    </row>
    <row r="417" customFormat="false" ht="15" hidden="false" customHeight="false" outlineLevel="0" collapsed="false">
      <c r="A417" s="3" t="s">
        <v>863</v>
      </c>
      <c r="B417" s="3" t="s">
        <v>80</v>
      </c>
      <c r="C417" s="3" t="s">
        <v>81</v>
      </c>
      <c r="D417" s="4" t="n">
        <v>1639.3</v>
      </c>
      <c r="E417" s="3" t="s">
        <v>60</v>
      </c>
      <c r="F417" s="3" t="n">
        <v>67.98</v>
      </c>
      <c r="G417" s="3" t="s">
        <v>60</v>
      </c>
      <c r="H417" s="3" t="s">
        <v>60</v>
      </c>
      <c r="I417" s="3" t="n">
        <v>10194400</v>
      </c>
      <c r="J417" s="3" t="n">
        <v>65600</v>
      </c>
      <c r="K417" s="3" t="s">
        <v>61</v>
      </c>
      <c r="L417" s="3" t="s">
        <v>62</v>
      </c>
      <c r="M417" s="3" t="s">
        <v>875</v>
      </c>
      <c r="N417" s="3" t="n">
        <v>5</v>
      </c>
      <c r="O417" s="3" t="s">
        <v>64</v>
      </c>
      <c r="P417" s="3" t="s">
        <v>65</v>
      </c>
    </row>
    <row r="418" customFormat="false" ht="15" hidden="false" customHeight="false" outlineLevel="0" collapsed="false">
      <c r="A418" s="3" t="s">
        <v>863</v>
      </c>
      <c r="B418" s="3" t="s">
        <v>876</v>
      </c>
      <c r="C418" s="3" t="s">
        <v>877</v>
      </c>
      <c r="D418" s="4" t="n">
        <v>2909.5</v>
      </c>
      <c r="E418" s="3" t="s">
        <v>60</v>
      </c>
      <c r="F418" s="3" t="n">
        <v>54.57</v>
      </c>
      <c r="G418" s="3" t="s">
        <v>60</v>
      </c>
      <c r="H418" s="3" t="s">
        <v>60</v>
      </c>
      <c r="I418" s="3" t="n">
        <v>3045000</v>
      </c>
      <c r="J418" s="3" t="n">
        <v>23275</v>
      </c>
      <c r="K418" s="3" t="s">
        <v>61</v>
      </c>
      <c r="L418" s="3" t="s">
        <v>62</v>
      </c>
      <c r="M418" s="3" t="s">
        <v>878</v>
      </c>
      <c r="N418" s="3" t="n">
        <v>0</v>
      </c>
      <c r="O418" s="3" t="s">
        <v>64</v>
      </c>
      <c r="P418" s="3" t="s">
        <v>65</v>
      </c>
    </row>
    <row r="419" customFormat="false" ht="15" hidden="false" customHeight="false" outlineLevel="0" collapsed="false">
      <c r="A419" s="3" t="s">
        <v>863</v>
      </c>
      <c r="B419" s="3" t="s">
        <v>529</v>
      </c>
      <c r="C419" s="3" t="s">
        <v>530</v>
      </c>
      <c r="D419" s="4" t="n">
        <v>297.6</v>
      </c>
      <c r="E419" s="3" t="s">
        <v>60</v>
      </c>
      <c r="F419" s="3" t="n">
        <v>63.93</v>
      </c>
      <c r="G419" s="3" t="s">
        <v>60</v>
      </c>
      <c r="H419" s="3" t="s">
        <v>60</v>
      </c>
      <c r="I419" s="3" t="n">
        <v>75488900</v>
      </c>
      <c r="J419" s="3" t="n">
        <v>144400</v>
      </c>
      <c r="K419" s="3" t="s">
        <v>61</v>
      </c>
      <c r="L419" s="3" t="s">
        <v>62</v>
      </c>
      <c r="M419" s="3" t="s">
        <v>879</v>
      </c>
      <c r="N419" s="3" t="n">
        <v>2</v>
      </c>
      <c r="O419" s="3" t="s">
        <v>64</v>
      </c>
      <c r="P419" s="3" t="s">
        <v>65</v>
      </c>
    </row>
    <row r="420" customFormat="false" ht="15" hidden="false" customHeight="false" outlineLevel="0" collapsed="false">
      <c r="A420" s="3" t="s">
        <v>863</v>
      </c>
      <c r="B420" s="3" t="s">
        <v>880</v>
      </c>
      <c r="C420" s="3" t="s">
        <v>881</v>
      </c>
      <c r="D420" s="4" t="n">
        <v>1414.4</v>
      </c>
      <c r="E420" s="3" t="s">
        <v>60</v>
      </c>
      <c r="F420" s="3" t="n">
        <v>56.1</v>
      </c>
      <c r="G420" s="3" t="s">
        <v>60</v>
      </c>
      <c r="H420" s="3" t="s">
        <v>60</v>
      </c>
      <c r="I420" s="3" t="n">
        <v>86139500</v>
      </c>
      <c r="J420" s="3" t="n">
        <v>544000</v>
      </c>
      <c r="K420" s="3" t="s">
        <v>61</v>
      </c>
      <c r="L420" s="3" t="s">
        <v>62</v>
      </c>
      <c r="M420" s="3" t="s">
        <v>882</v>
      </c>
      <c r="N420" s="3" t="n">
        <v>0</v>
      </c>
      <c r="O420" s="3" t="s">
        <v>64</v>
      </c>
      <c r="P420" s="3" t="s">
        <v>65</v>
      </c>
    </row>
    <row r="421" customFormat="false" ht="15" hidden="false" customHeight="false" outlineLevel="0" collapsed="false">
      <c r="A421" s="3" t="s">
        <v>863</v>
      </c>
      <c r="B421" s="3" t="s">
        <v>145</v>
      </c>
      <c r="C421" s="3" t="s">
        <v>146</v>
      </c>
      <c r="D421" s="4" t="n">
        <v>1384.8</v>
      </c>
      <c r="E421" s="3" t="s">
        <v>60</v>
      </c>
      <c r="F421" s="3" t="n">
        <v>57.27</v>
      </c>
      <c r="G421" s="3" t="s">
        <v>60</v>
      </c>
      <c r="H421" s="3" t="s">
        <v>60</v>
      </c>
      <c r="I421" s="3" t="n">
        <v>19029600</v>
      </c>
      <c r="J421" s="3" t="n">
        <v>406200</v>
      </c>
      <c r="K421" s="3" t="s">
        <v>61</v>
      </c>
      <c r="L421" s="3" t="s">
        <v>62</v>
      </c>
      <c r="M421" s="3" t="s">
        <v>883</v>
      </c>
      <c r="N421" s="3" t="n">
        <v>5</v>
      </c>
      <c r="O421" s="3" t="s">
        <v>64</v>
      </c>
      <c r="P421" s="3" t="s">
        <v>65</v>
      </c>
    </row>
    <row r="422" customFormat="false" ht="15" hidden="false" customHeight="false" outlineLevel="0" collapsed="false">
      <c r="A422" s="3" t="s">
        <v>863</v>
      </c>
      <c r="B422" s="3" t="s">
        <v>814</v>
      </c>
      <c r="C422" s="3" t="s">
        <v>815</v>
      </c>
      <c r="D422" s="4" t="n">
        <v>314.1</v>
      </c>
      <c r="E422" s="3" t="s">
        <v>60</v>
      </c>
      <c r="F422" s="3" t="n">
        <v>60.5</v>
      </c>
      <c r="G422" s="3" t="s">
        <v>60</v>
      </c>
      <c r="H422" s="3" t="s">
        <v>60</v>
      </c>
      <c r="I422" s="3" t="n">
        <v>60231200</v>
      </c>
      <c r="J422" s="3" t="n">
        <v>58400</v>
      </c>
      <c r="K422" s="3" t="s">
        <v>61</v>
      </c>
      <c r="L422" s="3" t="s">
        <v>62</v>
      </c>
      <c r="M422" s="3" t="s">
        <v>884</v>
      </c>
      <c r="N422" s="3" t="n">
        <v>1</v>
      </c>
      <c r="O422" s="3" t="s">
        <v>64</v>
      </c>
      <c r="P422" s="3" t="s">
        <v>65</v>
      </c>
    </row>
    <row r="423" customFormat="false" ht="15" hidden="false" customHeight="false" outlineLevel="0" collapsed="false">
      <c r="A423" s="3" t="s">
        <v>863</v>
      </c>
      <c r="B423" s="3" t="s">
        <v>223</v>
      </c>
      <c r="C423" s="3" t="s">
        <v>224</v>
      </c>
      <c r="D423" s="4" t="n">
        <v>190.9</v>
      </c>
      <c r="E423" s="3" t="s">
        <v>60</v>
      </c>
      <c r="F423" s="3" t="n">
        <v>51.8</v>
      </c>
      <c r="G423" s="3" t="s">
        <v>60</v>
      </c>
      <c r="H423" s="3" t="s">
        <v>60</v>
      </c>
      <c r="I423" s="3" t="n">
        <v>159789000</v>
      </c>
      <c r="J423" s="3" t="n">
        <v>5226000</v>
      </c>
      <c r="K423" s="3" t="s">
        <v>61</v>
      </c>
      <c r="L423" s="3" t="s">
        <v>62</v>
      </c>
      <c r="M423" s="3" t="s">
        <v>885</v>
      </c>
      <c r="N423" s="3" t="n">
        <v>2</v>
      </c>
      <c r="O423" s="3" t="s">
        <v>64</v>
      </c>
      <c r="P423" s="3" t="s">
        <v>65</v>
      </c>
    </row>
    <row r="424" customFormat="false" ht="15" hidden="false" customHeight="false" outlineLevel="0" collapsed="false">
      <c r="A424" s="3" t="s">
        <v>886</v>
      </c>
      <c r="B424" s="3" t="s">
        <v>591</v>
      </c>
      <c r="C424" s="3" t="s">
        <v>592</v>
      </c>
      <c r="D424" s="4" t="n">
        <v>1358.6</v>
      </c>
      <c r="E424" s="3" t="s">
        <v>60</v>
      </c>
      <c r="F424" s="3" t="n">
        <v>46.16</v>
      </c>
      <c r="G424" s="3" t="s">
        <v>60</v>
      </c>
      <c r="H424" s="3" t="s">
        <v>60</v>
      </c>
      <c r="I424" s="3" t="n">
        <v>32004000</v>
      </c>
      <c r="J424" s="3" t="n">
        <v>419650</v>
      </c>
      <c r="K424" s="3" t="s">
        <v>61</v>
      </c>
      <c r="L424" s="3" t="s">
        <v>62</v>
      </c>
      <c r="M424" s="3" t="s">
        <v>887</v>
      </c>
      <c r="N424" s="3" t="n">
        <v>2</v>
      </c>
      <c r="O424" s="3" t="s">
        <v>100</v>
      </c>
      <c r="P424" s="3" t="s">
        <v>70</v>
      </c>
    </row>
    <row r="425" customFormat="false" ht="15" hidden="false" customHeight="false" outlineLevel="0" collapsed="false">
      <c r="A425" s="3" t="s">
        <v>888</v>
      </c>
      <c r="B425" s="3" t="s">
        <v>227</v>
      </c>
      <c r="C425" s="3" t="s">
        <v>228</v>
      </c>
      <c r="D425" s="4" t="n">
        <v>1385.4</v>
      </c>
      <c r="E425" s="3" t="s">
        <v>60</v>
      </c>
      <c r="F425" s="3" t="n">
        <v>45.79</v>
      </c>
      <c r="G425" s="3" t="s">
        <v>60</v>
      </c>
      <c r="H425" s="3" t="s">
        <v>60</v>
      </c>
      <c r="I425" s="3" t="n">
        <v>18487000</v>
      </c>
      <c r="J425" s="3" t="n">
        <v>19475</v>
      </c>
      <c r="K425" s="3" t="s">
        <v>61</v>
      </c>
      <c r="L425" s="3" t="s">
        <v>62</v>
      </c>
      <c r="M425" s="3" t="s">
        <v>889</v>
      </c>
      <c r="N425" s="3" t="n">
        <v>1</v>
      </c>
      <c r="O425" s="3" t="s">
        <v>64</v>
      </c>
      <c r="P425" s="3" t="s">
        <v>65</v>
      </c>
    </row>
    <row r="426" customFormat="false" ht="15" hidden="false" customHeight="false" outlineLevel="0" collapsed="false">
      <c r="A426" s="3" t="s">
        <v>888</v>
      </c>
      <c r="B426" s="3" t="s">
        <v>380</v>
      </c>
      <c r="C426" s="3" t="s">
        <v>381</v>
      </c>
      <c r="D426" s="4" t="n">
        <v>1342.1</v>
      </c>
      <c r="E426" s="3" t="s">
        <v>60</v>
      </c>
      <c r="F426" s="3" t="n">
        <v>51.5</v>
      </c>
      <c r="G426" s="3" t="s">
        <v>60</v>
      </c>
      <c r="H426" s="3" t="s">
        <v>60</v>
      </c>
      <c r="I426" s="3" t="n">
        <v>20087650</v>
      </c>
      <c r="J426" s="3" t="n">
        <v>316800</v>
      </c>
      <c r="K426" s="3" t="s">
        <v>61</v>
      </c>
      <c r="L426" s="3" t="s">
        <v>62</v>
      </c>
      <c r="M426" s="3" t="s">
        <v>890</v>
      </c>
      <c r="N426" s="3" t="n">
        <v>2</v>
      </c>
      <c r="O426" s="3" t="s">
        <v>64</v>
      </c>
      <c r="P426" s="3" t="s">
        <v>65</v>
      </c>
    </row>
    <row r="427" customFormat="false" ht="15" hidden="false" customHeight="false" outlineLevel="0" collapsed="false">
      <c r="A427" s="3" t="s">
        <v>888</v>
      </c>
      <c r="B427" s="3" t="s">
        <v>213</v>
      </c>
      <c r="C427" s="3" t="s">
        <v>214</v>
      </c>
      <c r="D427" s="4" t="n">
        <v>817.3</v>
      </c>
      <c r="E427" s="3" t="s">
        <v>60</v>
      </c>
      <c r="F427" s="3" t="n">
        <v>62.47</v>
      </c>
      <c r="G427" s="3" t="s">
        <v>60</v>
      </c>
      <c r="H427" s="3" t="s">
        <v>60</v>
      </c>
      <c r="I427" s="3" t="n">
        <v>69015750</v>
      </c>
      <c r="J427" s="3" t="n">
        <v>491250</v>
      </c>
      <c r="K427" s="3" t="s">
        <v>61</v>
      </c>
      <c r="L427" s="3" t="s">
        <v>62</v>
      </c>
      <c r="M427" s="3" t="s">
        <v>891</v>
      </c>
      <c r="N427" s="3" t="n">
        <v>1</v>
      </c>
      <c r="O427" s="3" t="s">
        <v>64</v>
      </c>
      <c r="P427" s="3" t="s">
        <v>65</v>
      </c>
    </row>
    <row r="428" customFormat="false" ht="15" hidden="false" customHeight="false" outlineLevel="0" collapsed="false">
      <c r="A428" s="3" t="s">
        <v>888</v>
      </c>
      <c r="B428" s="3" t="s">
        <v>892</v>
      </c>
      <c r="C428" s="3" t="s">
        <v>893</v>
      </c>
      <c r="D428" s="4" t="n">
        <v>742.25</v>
      </c>
      <c r="E428" s="3" t="s">
        <v>60</v>
      </c>
      <c r="F428" s="3" t="n">
        <v>63.42</v>
      </c>
      <c r="G428" s="3" t="s">
        <v>60</v>
      </c>
      <c r="H428" s="3" t="s">
        <v>60</v>
      </c>
      <c r="I428" s="3" t="n">
        <v>353460800</v>
      </c>
      <c r="J428" s="3" t="n">
        <v>4294950</v>
      </c>
      <c r="K428" s="3" t="s">
        <v>61</v>
      </c>
      <c r="L428" s="3" t="s">
        <v>62</v>
      </c>
      <c r="M428" s="3" t="s">
        <v>894</v>
      </c>
      <c r="N428" s="3" t="n">
        <v>0</v>
      </c>
      <c r="O428" s="3" t="s">
        <v>64</v>
      </c>
      <c r="P428" s="3" t="s">
        <v>65</v>
      </c>
    </row>
    <row r="429" customFormat="false" ht="15" hidden="false" customHeight="false" outlineLevel="0" collapsed="false">
      <c r="A429" s="3" t="s">
        <v>888</v>
      </c>
      <c r="B429" s="3" t="s">
        <v>602</v>
      </c>
      <c r="C429" s="3" t="s">
        <v>603</v>
      </c>
      <c r="D429" s="4" t="n">
        <v>1212.7</v>
      </c>
      <c r="E429" s="3" t="s">
        <v>60</v>
      </c>
      <c r="F429" s="3" t="n">
        <v>65.85</v>
      </c>
      <c r="G429" s="3" t="s">
        <v>60</v>
      </c>
      <c r="H429" s="3" t="s">
        <v>60</v>
      </c>
      <c r="I429" s="3" t="n">
        <v>108962700</v>
      </c>
      <c r="J429" s="3" t="n">
        <v>1422400</v>
      </c>
      <c r="K429" s="3" t="s">
        <v>61</v>
      </c>
      <c r="L429" s="3" t="s">
        <v>62</v>
      </c>
      <c r="M429" s="3" t="s">
        <v>895</v>
      </c>
      <c r="N429" s="3" t="n">
        <v>3</v>
      </c>
      <c r="O429" s="3" t="s">
        <v>64</v>
      </c>
      <c r="P429" s="3" t="s">
        <v>65</v>
      </c>
    </row>
    <row r="430" customFormat="false" ht="15" hidden="false" customHeight="false" outlineLevel="0" collapsed="false">
      <c r="A430" s="3" t="s">
        <v>888</v>
      </c>
      <c r="B430" s="3" t="s">
        <v>364</v>
      </c>
      <c r="C430" s="3" t="s">
        <v>365</v>
      </c>
      <c r="D430" s="4" t="n">
        <v>513.35</v>
      </c>
      <c r="E430" s="3" t="s">
        <v>60</v>
      </c>
      <c r="F430" s="3" t="n">
        <v>60.71</v>
      </c>
      <c r="G430" s="3" t="s">
        <v>60</v>
      </c>
      <c r="H430" s="3" t="s">
        <v>60</v>
      </c>
      <c r="I430" s="3" t="n">
        <v>18520350</v>
      </c>
      <c r="J430" s="3" t="n">
        <v>891700</v>
      </c>
      <c r="K430" s="3" t="s">
        <v>61</v>
      </c>
      <c r="L430" s="3" t="s">
        <v>62</v>
      </c>
      <c r="M430" s="3" t="s">
        <v>896</v>
      </c>
      <c r="N430" s="3" t="n">
        <v>5</v>
      </c>
      <c r="O430" s="3" t="s">
        <v>64</v>
      </c>
      <c r="P430" s="3" t="s">
        <v>65</v>
      </c>
    </row>
    <row r="431" customFormat="false" ht="15" hidden="false" customHeight="false" outlineLevel="0" collapsed="false">
      <c r="A431" s="3" t="s">
        <v>888</v>
      </c>
      <c r="B431" s="3" t="s">
        <v>897</v>
      </c>
      <c r="C431" s="3" t="s">
        <v>898</v>
      </c>
      <c r="D431" s="4" t="n">
        <v>744.5</v>
      </c>
      <c r="E431" s="3" t="s">
        <v>60</v>
      </c>
      <c r="F431" s="3" t="n">
        <v>59.79</v>
      </c>
      <c r="G431" s="3" t="s">
        <v>60</v>
      </c>
      <c r="H431" s="3" t="s">
        <v>60</v>
      </c>
      <c r="I431" s="3" t="n">
        <v>26821200</v>
      </c>
      <c r="J431" s="3" t="n">
        <v>474000</v>
      </c>
      <c r="K431" s="3" t="s">
        <v>61</v>
      </c>
      <c r="L431" s="3" t="s">
        <v>62</v>
      </c>
      <c r="M431" s="3" t="s">
        <v>899</v>
      </c>
      <c r="N431" s="3" t="n">
        <v>0</v>
      </c>
      <c r="O431" s="3" t="s">
        <v>69</v>
      </c>
      <c r="P431" s="3" t="s">
        <v>70</v>
      </c>
    </row>
    <row r="432" customFormat="false" ht="15" hidden="false" customHeight="false" outlineLevel="0" collapsed="false">
      <c r="A432" s="3" t="s">
        <v>888</v>
      </c>
      <c r="B432" s="3" t="s">
        <v>368</v>
      </c>
      <c r="C432" s="3" t="s">
        <v>369</v>
      </c>
      <c r="D432" s="4" t="n">
        <v>107.62</v>
      </c>
      <c r="E432" s="3" t="s">
        <v>60</v>
      </c>
      <c r="F432" s="3" t="n">
        <v>53.49</v>
      </c>
      <c r="G432" s="3" t="s">
        <v>60</v>
      </c>
      <c r="H432" s="3" t="s">
        <v>60</v>
      </c>
      <c r="I432" s="3" t="n">
        <v>126690000</v>
      </c>
      <c r="J432" s="3" t="n">
        <v>1826550</v>
      </c>
      <c r="K432" s="3" t="s">
        <v>61</v>
      </c>
      <c r="L432" s="3" t="s">
        <v>62</v>
      </c>
      <c r="M432" s="3" t="s">
        <v>900</v>
      </c>
      <c r="N432" s="3" t="n">
        <v>3</v>
      </c>
      <c r="O432" s="3" t="s">
        <v>64</v>
      </c>
      <c r="P432" s="3" t="s">
        <v>65</v>
      </c>
    </row>
    <row r="433" customFormat="false" ht="15" hidden="false" customHeight="false" outlineLevel="0" collapsed="false">
      <c r="A433" s="3" t="s">
        <v>888</v>
      </c>
      <c r="B433" s="3" t="s">
        <v>901</v>
      </c>
      <c r="C433" s="3" t="s">
        <v>902</v>
      </c>
      <c r="D433" s="4" t="n">
        <v>865.15</v>
      </c>
      <c r="E433" s="3" t="s">
        <v>60</v>
      </c>
      <c r="F433" s="3" t="n">
        <v>52.14</v>
      </c>
      <c r="G433" s="3" t="s">
        <v>60</v>
      </c>
      <c r="H433" s="3" t="s">
        <v>60</v>
      </c>
      <c r="I433" s="3" t="n">
        <v>396250</v>
      </c>
      <c r="J433" s="3" t="n">
        <v>396250</v>
      </c>
      <c r="K433" s="3" t="s">
        <v>61</v>
      </c>
      <c r="L433" s="3" t="s">
        <v>62</v>
      </c>
      <c r="M433" s="3" t="s">
        <v>903</v>
      </c>
      <c r="N433" s="3" t="n">
        <v>0</v>
      </c>
      <c r="O433" s="3" t="s">
        <v>64</v>
      </c>
      <c r="P433" s="3" t="s">
        <v>65</v>
      </c>
    </row>
    <row r="434" customFormat="false" ht="15" hidden="false" customHeight="false" outlineLevel="0" collapsed="false">
      <c r="A434" s="3" t="s">
        <v>888</v>
      </c>
      <c r="B434" s="3" t="s">
        <v>544</v>
      </c>
      <c r="C434" s="3" t="s">
        <v>545</v>
      </c>
      <c r="D434" s="4" t="n">
        <v>1180.8</v>
      </c>
      <c r="E434" s="3" t="s">
        <v>60</v>
      </c>
      <c r="F434" s="3" t="n">
        <v>61.02</v>
      </c>
      <c r="G434" s="3" t="s">
        <v>60</v>
      </c>
      <c r="H434" s="3" t="s">
        <v>60</v>
      </c>
      <c r="I434" s="3" t="n">
        <v>17277500</v>
      </c>
      <c r="J434" s="3" t="n">
        <v>352500</v>
      </c>
      <c r="K434" s="3" t="s">
        <v>61</v>
      </c>
      <c r="L434" s="3" t="s">
        <v>62</v>
      </c>
      <c r="M434" s="3" t="s">
        <v>904</v>
      </c>
      <c r="N434" s="3" t="n">
        <v>2</v>
      </c>
      <c r="O434" s="3" t="s">
        <v>64</v>
      </c>
      <c r="P434" s="3" t="s">
        <v>65</v>
      </c>
    </row>
    <row r="435" customFormat="false" ht="15" hidden="false" customHeight="false" outlineLevel="0" collapsed="false">
      <c r="A435" s="3" t="s">
        <v>888</v>
      </c>
      <c r="B435" s="3" t="s">
        <v>765</v>
      </c>
      <c r="C435" s="3" t="s">
        <v>766</v>
      </c>
      <c r="D435" s="4" t="n">
        <v>239.97</v>
      </c>
      <c r="E435" s="3" t="s">
        <v>60</v>
      </c>
      <c r="F435" s="3" t="n">
        <v>59.36</v>
      </c>
      <c r="G435" s="3" t="s">
        <v>60</v>
      </c>
      <c r="H435" s="3" t="s">
        <v>60</v>
      </c>
      <c r="I435" s="3" t="n">
        <v>43109375</v>
      </c>
      <c r="J435" s="3" t="n">
        <v>856250</v>
      </c>
      <c r="K435" s="3" t="s">
        <v>61</v>
      </c>
      <c r="L435" s="3" t="s">
        <v>62</v>
      </c>
      <c r="M435" s="3" t="s">
        <v>905</v>
      </c>
      <c r="N435" s="3" t="n">
        <v>1</v>
      </c>
      <c r="O435" s="3" t="s">
        <v>299</v>
      </c>
      <c r="P435" s="3" t="s">
        <v>70</v>
      </c>
    </row>
    <row r="436" customFormat="false" ht="15" hidden="false" customHeight="false" outlineLevel="0" collapsed="false">
      <c r="A436" s="3" t="s">
        <v>888</v>
      </c>
      <c r="B436" s="3" t="s">
        <v>441</v>
      </c>
      <c r="C436" s="3" t="s">
        <v>442</v>
      </c>
      <c r="D436" s="4" t="n">
        <v>780.05</v>
      </c>
      <c r="E436" s="3" t="s">
        <v>60</v>
      </c>
      <c r="F436" s="3" t="n">
        <v>48.11</v>
      </c>
      <c r="G436" s="3" t="s">
        <v>60</v>
      </c>
      <c r="H436" s="3" t="s">
        <v>60</v>
      </c>
      <c r="I436" s="3" t="n">
        <v>12785500</v>
      </c>
      <c r="J436" s="3" t="n">
        <v>323700</v>
      </c>
      <c r="K436" s="3" t="s">
        <v>61</v>
      </c>
      <c r="L436" s="3" t="s">
        <v>62</v>
      </c>
      <c r="M436" s="3" t="s">
        <v>906</v>
      </c>
      <c r="N436" s="3" t="n">
        <v>2</v>
      </c>
      <c r="O436" s="3" t="s">
        <v>64</v>
      </c>
      <c r="P436" s="3" t="s">
        <v>65</v>
      </c>
    </row>
    <row r="437" customFormat="false" ht="15" hidden="false" customHeight="false" outlineLevel="0" collapsed="false">
      <c r="A437" s="3" t="s">
        <v>888</v>
      </c>
      <c r="B437" s="3" t="s">
        <v>907</v>
      </c>
      <c r="C437" s="3" t="s">
        <v>908</v>
      </c>
      <c r="D437" s="4" t="n">
        <v>937.7</v>
      </c>
      <c r="E437" s="3" t="s">
        <v>60</v>
      </c>
      <c r="F437" s="3" t="n">
        <v>53.39</v>
      </c>
      <c r="G437" s="3" t="s">
        <v>60</v>
      </c>
      <c r="H437" s="3" t="s">
        <v>60</v>
      </c>
      <c r="I437" s="3" t="n">
        <v>9774425</v>
      </c>
      <c r="J437" s="3" t="n">
        <v>866525</v>
      </c>
      <c r="K437" s="3" t="s">
        <v>61</v>
      </c>
      <c r="L437" s="3" t="s">
        <v>62</v>
      </c>
      <c r="M437" s="3" t="s">
        <v>909</v>
      </c>
      <c r="N437" s="3" t="n">
        <v>0</v>
      </c>
      <c r="O437" s="3" t="s">
        <v>64</v>
      </c>
      <c r="P437" s="3" t="s">
        <v>65</v>
      </c>
    </row>
    <row r="438" customFormat="false" ht="15" hidden="false" customHeight="false" outlineLevel="0" collapsed="false">
      <c r="A438" s="3" t="s">
        <v>888</v>
      </c>
      <c r="B438" s="3" t="s">
        <v>550</v>
      </c>
      <c r="C438" s="3" t="s">
        <v>551</v>
      </c>
      <c r="D438" s="4" t="n">
        <v>1144.9</v>
      </c>
      <c r="E438" s="3" t="s">
        <v>60</v>
      </c>
      <c r="F438" s="3" t="n">
        <v>69.96</v>
      </c>
      <c r="G438" s="3" t="s">
        <v>60</v>
      </c>
      <c r="H438" s="3" t="s">
        <v>60</v>
      </c>
      <c r="I438" s="3" t="n">
        <v>6402600</v>
      </c>
      <c r="J438" s="3" t="n">
        <v>197550</v>
      </c>
      <c r="K438" s="3" t="s">
        <v>61</v>
      </c>
      <c r="L438" s="3" t="s">
        <v>62</v>
      </c>
      <c r="M438" s="3" t="s">
        <v>910</v>
      </c>
      <c r="N438" s="3" t="n">
        <v>1</v>
      </c>
      <c r="O438" s="3" t="s">
        <v>69</v>
      </c>
      <c r="P438" s="3" t="s">
        <v>70</v>
      </c>
    </row>
    <row r="439" customFormat="false" ht="15" hidden="false" customHeight="false" outlineLevel="0" collapsed="false">
      <c r="A439" s="3" t="s">
        <v>888</v>
      </c>
      <c r="B439" s="3" t="s">
        <v>406</v>
      </c>
      <c r="C439" s="3" t="s">
        <v>407</v>
      </c>
      <c r="D439" s="4" t="n">
        <v>155.82</v>
      </c>
      <c r="E439" s="3" t="s">
        <v>60</v>
      </c>
      <c r="F439" s="3" t="n">
        <v>48.54</v>
      </c>
      <c r="G439" s="3" t="s">
        <v>60</v>
      </c>
      <c r="H439" s="3" t="s">
        <v>60</v>
      </c>
      <c r="I439" s="3" t="n">
        <v>182524500</v>
      </c>
      <c r="J439" s="3" t="n">
        <v>14715700</v>
      </c>
      <c r="K439" s="3" t="s">
        <v>61</v>
      </c>
      <c r="L439" s="3" t="s">
        <v>62</v>
      </c>
      <c r="M439" s="3" t="s">
        <v>911</v>
      </c>
      <c r="N439" s="3" t="n">
        <v>2</v>
      </c>
      <c r="O439" s="3" t="s">
        <v>64</v>
      </c>
      <c r="P439" s="3" t="s">
        <v>65</v>
      </c>
    </row>
    <row r="440" customFormat="false" ht="15" hidden="false" customHeight="false" outlineLevel="0" collapsed="false">
      <c r="A440" s="3" t="s">
        <v>888</v>
      </c>
      <c r="B440" s="3" t="s">
        <v>912</v>
      </c>
      <c r="C440" s="3" t="s">
        <v>913</v>
      </c>
      <c r="D440" s="4" t="n">
        <v>265.3</v>
      </c>
      <c r="E440" s="3" t="s">
        <v>60</v>
      </c>
      <c r="F440" s="3" t="n">
        <v>48.73</v>
      </c>
      <c r="G440" s="3" t="s">
        <v>60</v>
      </c>
      <c r="H440" s="3" t="s">
        <v>60</v>
      </c>
      <c r="I440" s="3" t="n">
        <v>49068500</v>
      </c>
      <c r="J440" s="3" t="n">
        <v>1292200</v>
      </c>
      <c r="K440" s="3" t="s">
        <v>61</v>
      </c>
      <c r="L440" s="3" t="s">
        <v>62</v>
      </c>
      <c r="M440" s="3" t="s">
        <v>914</v>
      </c>
      <c r="N440" s="3" t="n">
        <v>0</v>
      </c>
      <c r="O440" s="3" t="s">
        <v>64</v>
      </c>
      <c r="P440" s="3" t="s">
        <v>65</v>
      </c>
    </row>
    <row r="441" customFormat="false" ht="15" hidden="false" customHeight="false" outlineLevel="0" collapsed="false">
      <c r="A441" s="3" t="s">
        <v>915</v>
      </c>
      <c r="B441" s="3" t="s">
        <v>152</v>
      </c>
      <c r="C441" s="3" t="s">
        <v>153</v>
      </c>
      <c r="D441" s="4" t="n">
        <v>696.05</v>
      </c>
      <c r="E441" s="3" t="s">
        <v>60</v>
      </c>
      <c r="F441" s="3" t="n">
        <v>46.55</v>
      </c>
      <c r="G441" s="3" t="s">
        <v>60</v>
      </c>
      <c r="H441" s="3" t="s">
        <v>60</v>
      </c>
      <c r="I441" s="3" t="n">
        <v>21473100</v>
      </c>
      <c r="J441" s="3" t="n">
        <v>288000</v>
      </c>
      <c r="K441" s="3" t="s">
        <v>61</v>
      </c>
      <c r="L441" s="3" t="s">
        <v>62</v>
      </c>
      <c r="M441" s="3" t="s">
        <v>916</v>
      </c>
      <c r="N441" s="3" t="n">
        <v>4</v>
      </c>
      <c r="O441" s="3" t="s">
        <v>69</v>
      </c>
      <c r="P441" s="3" t="s">
        <v>70</v>
      </c>
    </row>
    <row r="442" customFormat="false" ht="15" hidden="false" customHeight="false" outlineLevel="0" collapsed="false">
      <c r="A442" s="3" t="s">
        <v>915</v>
      </c>
      <c r="B442" s="3" t="s">
        <v>917</v>
      </c>
      <c r="C442" s="3" t="s">
        <v>918</v>
      </c>
      <c r="D442" s="4" t="n">
        <v>4303.9</v>
      </c>
      <c r="E442" s="3" t="s">
        <v>60</v>
      </c>
      <c r="F442" s="3" t="n">
        <v>50.83</v>
      </c>
      <c r="G442" s="3" t="s">
        <v>60</v>
      </c>
      <c r="H442" s="3" t="s">
        <v>60</v>
      </c>
      <c r="I442" s="3" t="n">
        <v>3663150</v>
      </c>
      <c r="J442" s="3" t="n">
        <v>78900</v>
      </c>
      <c r="K442" s="3" t="s">
        <v>61</v>
      </c>
      <c r="L442" s="3" t="s">
        <v>62</v>
      </c>
      <c r="M442" s="3" t="s">
        <v>919</v>
      </c>
      <c r="N442" s="3" t="n">
        <v>0</v>
      </c>
      <c r="O442" s="3" t="s">
        <v>64</v>
      </c>
      <c r="P442" s="3" t="s">
        <v>65</v>
      </c>
    </row>
    <row r="443" customFormat="false" ht="15" hidden="false" customHeight="false" outlineLevel="0" collapsed="false">
      <c r="A443" s="3" t="s">
        <v>915</v>
      </c>
      <c r="B443" s="3" t="s">
        <v>897</v>
      </c>
      <c r="C443" s="3" t="s">
        <v>898</v>
      </c>
      <c r="D443" s="4" t="n">
        <v>761.35</v>
      </c>
      <c r="E443" s="3" t="s">
        <v>60</v>
      </c>
      <c r="F443" s="3" t="n">
        <v>54.49</v>
      </c>
      <c r="G443" s="3" t="s">
        <v>60</v>
      </c>
      <c r="H443" s="3" t="s">
        <v>60</v>
      </c>
      <c r="I443" s="3" t="n">
        <v>27132000</v>
      </c>
      <c r="J443" s="3" t="n">
        <v>310800</v>
      </c>
      <c r="K443" s="3" t="s">
        <v>61</v>
      </c>
      <c r="L443" s="3" t="s">
        <v>62</v>
      </c>
      <c r="M443" s="3" t="s">
        <v>920</v>
      </c>
      <c r="N443" s="3" t="n">
        <v>0</v>
      </c>
      <c r="O443" s="3" t="s">
        <v>100</v>
      </c>
      <c r="P443" s="3" t="s">
        <v>70</v>
      </c>
    </row>
    <row r="444" customFormat="false" ht="15" hidden="false" customHeight="false" outlineLevel="0" collapsed="false">
      <c r="A444" s="3" t="s">
        <v>915</v>
      </c>
      <c r="B444" s="3" t="s">
        <v>765</v>
      </c>
      <c r="C444" s="3" t="s">
        <v>766</v>
      </c>
      <c r="D444" s="4" t="n">
        <v>245.98</v>
      </c>
      <c r="E444" s="3" t="s">
        <v>60</v>
      </c>
      <c r="F444" s="3" t="n">
        <v>51.65</v>
      </c>
      <c r="G444" s="3" t="s">
        <v>60</v>
      </c>
      <c r="H444" s="3" t="s">
        <v>60</v>
      </c>
      <c r="I444" s="3" t="n">
        <v>45259375</v>
      </c>
      <c r="J444" s="3" t="n">
        <v>2150000</v>
      </c>
      <c r="K444" s="3" t="s">
        <v>61</v>
      </c>
      <c r="L444" s="3" t="s">
        <v>315</v>
      </c>
      <c r="M444" s="3" t="s">
        <v>921</v>
      </c>
      <c r="N444" s="3" t="n">
        <v>1</v>
      </c>
      <c r="O444" s="3" t="s">
        <v>317</v>
      </c>
      <c r="P444" s="3" t="s">
        <v>70</v>
      </c>
    </row>
    <row r="445" customFormat="false" ht="15" hidden="false" customHeight="false" outlineLevel="0" collapsed="false">
      <c r="A445" s="3" t="s">
        <v>915</v>
      </c>
      <c r="B445" s="3" t="s">
        <v>550</v>
      </c>
      <c r="C445" s="3" t="s">
        <v>551</v>
      </c>
      <c r="D445" s="4" t="n">
        <v>1152</v>
      </c>
      <c r="E445" s="3" t="s">
        <v>60</v>
      </c>
      <c r="F445" s="3" t="n">
        <v>52.29</v>
      </c>
      <c r="G445" s="3" t="s">
        <v>60</v>
      </c>
      <c r="H445" s="3" t="s">
        <v>60</v>
      </c>
      <c r="I445" s="3" t="n">
        <v>7050150</v>
      </c>
      <c r="J445" s="3" t="n">
        <v>647550</v>
      </c>
      <c r="K445" s="3" t="s">
        <v>61</v>
      </c>
      <c r="L445" s="3" t="s">
        <v>62</v>
      </c>
      <c r="M445" s="3" t="s">
        <v>922</v>
      </c>
      <c r="N445" s="3" t="n">
        <v>1</v>
      </c>
      <c r="O445" s="3" t="s">
        <v>100</v>
      </c>
      <c r="P445" s="3" t="s">
        <v>70</v>
      </c>
    </row>
    <row r="446" customFormat="false" ht="15" hidden="false" customHeight="false" outlineLevel="0" collapsed="false">
      <c r="A446" s="3" t="s">
        <v>915</v>
      </c>
      <c r="B446" s="3" t="s">
        <v>923</v>
      </c>
      <c r="C446" s="3" t="s">
        <v>924</v>
      </c>
      <c r="D446" s="4" t="n">
        <v>2450.7</v>
      </c>
      <c r="E446" s="3" t="s">
        <v>60</v>
      </c>
      <c r="F446" s="3" t="n">
        <v>52.25</v>
      </c>
      <c r="G446" s="3" t="s">
        <v>60</v>
      </c>
      <c r="H446" s="3" t="s">
        <v>60</v>
      </c>
      <c r="I446" s="3" t="n">
        <v>30607500</v>
      </c>
      <c r="J446" s="3" t="n">
        <v>597975</v>
      </c>
      <c r="K446" s="3" t="s">
        <v>61</v>
      </c>
      <c r="L446" s="3" t="s">
        <v>62</v>
      </c>
      <c r="M446" s="3" t="s">
        <v>925</v>
      </c>
      <c r="N446" s="3" t="n">
        <v>0</v>
      </c>
      <c r="O446" s="3" t="s">
        <v>64</v>
      </c>
      <c r="P446" s="3" t="s">
        <v>65</v>
      </c>
    </row>
    <row r="447" customFormat="false" ht="15" hidden="false" customHeight="false" outlineLevel="0" collapsed="false">
      <c r="A447" s="3" t="s">
        <v>915</v>
      </c>
      <c r="B447" s="3" t="s">
        <v>926</v>
      </c>
      <c r="C447" s="3" t="s">
        <v>927</v>
      </c>
      <c r="D447" s="4" t="n">
        <v>4097.2</v>
      </c>
      <c r="E447" s="3" t="s">
        <v>60</v>
      </c>
      <c r="F447" s="3" t="n">
        <v>60.04</v>
      </c>
      <c r="G447" s="3" t="s">
        <v>60</v>
      </c>
      <c r="H447" s="3" t="s">
        <v>60</v>
      </c>
      <c r="I447" s="3" t="n">
        <v>9618350</v>
      </c>
      <c r="J447" s="3" t="n">
        <v>71575</v>
      </c>
      <c r="K447" s="3" t="s">
        <v>61</v>
      </c>
      <c r="L447" s="3" t="s">
        <v>62</v>
      </c>
      <c r="M447" s="3" t="s">
        <v>928</v>
      </c>
      <c r="N447" s="3" t="n">
        <v>0</v>
      </c>
      <c r="O447" s="3" t="s">
        <v>69</v>
      </c>
      <c r="P447" s="3" t="s">
        <v>70</v>
      </c>
    </row>
    <row r="448" customFormat="false" ht="15" hidden="false" customHeight="false" outlineLevel="0" collapsed="false">
      <c r="A448" s="3" t="s">
        <v>929</v>
      </c>
      <c r="B448" s="3" t="s">
        <v>930</v>
      </c>
      <c r="C448" s="3" t="s">
        <v>931</v>
      </c>
      <c r="D448" s="4" t="n">
        <v>163.26</v>
      </c>
      <c r="E448" s="3" t="s">
        <v>60</v>
      </c>
      <c r="F448" s="3" t="n">
        <v>65.61</v>
      </c>
      <c r="G448" s="3" t="s">
        <v>60</v>
      </c>
      <c r="H448" s="3" t="s">
        <v>60</v>
      </c>
      <c r="I448" s="3" t="n">
        <v>38016950</v>
      </c>
      <c r="J448" s="3" t="n">
        <v>15105250</v>
      </c>
      <c r="K448" s="3" t="s">
        <v>61</v>
      </c>
      <c r="L448" s="3" t="s">
        <v>62</v>
      </c>
      <c r="M448" s="3" t="s">
        <v>932</v>
      </c>
      <c r="N448" s="3" t="n">
        <v>0</v>
      </c>
      <c r="O448" s="3" t="s">
        <v>64</v>
      </c>
      <c r="P448" s="3" t="s">
        <v>65</v>
      </c>
    </row>
    <row r="449" customFormat="false" ht="15" hidden="false" customHeight="false" outlineLevel="0" collapsed="false">
      <c r="A449" s="3" t="s">
        <v>929</v>
      </c>
      <c r="B449" s="3" t="s">
        <v>152</v>
      </c>
      <c r="C449" s="3" t="s">
        <v>153</v>
      </c>
      <c r="D449" s="4" t="n">
        <v>710.25</v>
      </c>
      <c r="E449" s="3" t="s">
        <v>60</v>
      </c>
      <c r="F449" s="3" t="n">
        <v>52.29</v>
      </c>
      <c r="G449" s="3" t="s">
        <v>60</v>
      </c>
      <c r="H449" s="3" t="s">
        <v>60</v>
      </c>
      <c r="I449" s="3" t="n">
        <v>23022000</v>
      </c>
      <c r="J449" s="3" t="n">
        <v>1548900</v>
      </c>
      <c r="K449" s="3" t="s">
        <v>61</v>
      </c>
      <c r="L449" s="3" t="s">
        <v>62</v>
      </c>
      <c r="M449" s="3" t="s">
        <v>933</v>
      </c>
      <c r="N449" s="3" t="n">
        <v>4</v>
      </c>
      <c r="O449" s="3" t="s">
        <v>100</v>
      </c>
      <c r="P449" s="3" t="s">
        <v>70</v>
      </c>
    </row>
    <row r="450" customFormat="false" ht="15" hidden="false" customHeight="false" outlineLevel="0" collapsed="false">
      <c r="A450" s="3" t="s">
        <v>929</v>
      </c>
      <c r="B450" s="3" t="s">
        <v>901</v>
      </c>
      <c r="C450" s="3" t="s">
        <v>902</v>
      </c>
      <c r="D450" s="4" t="n">
        <v>839.65</v>
      </c>
      <c r="E450" s="3" t="s">
        <v>60</v>
      </c>
      <c r="F450" s="3" t="n">
        <v>60.66</v>
      </c>
      <c r="G450" s="3" t="s">
        <v>60</v>
      </c>
      <c r="H450" s="3" t="s">
        <v>60</v>
      </c>
      <c r="I450" s="3" t="n">
        <v>956250</v>
      </c>
      <c r="J450" s="3" t="n">
        <v>218750</v>
      </c>
      <c r="K450" s="3" t="s">
        <v>61</v>
      </c>
      <c r="L450" s="3" t="s">
        <v>62</v>
      </c>
      <c r="M450" s="3" t="s">
        <v>934</v>
      </c>
      <c r="N450" s="3" t="n">
        <v>1</v>
      </c>
      <c r="O450" s="3" t="s">
        <v>64</v>
      </c>
      <c r="P450" s="3" t="s">
        <v>65</v>
      </c>
    </row>
    <row r="451" customFormat="false" ht="15" hidden="false" customHeight="false" outlineLevel="0" collapsed="false">
      <c r="A451" s="3" t="s">
        <v>929</v>
      </c>
      <c r="B451" s="3" t="s">
        <v>765</v>
      </c>
      <c r="C451" s="3" t="s">
        <v>766</v>
      </c>
      <c r="D451" s="4" t="n">
        <v>252.52</v>
      </c>
      <c r="E451" s="3" t="s">
        <v>60</v>
      </c>
      <c r="F451" s="3" t="n">
        <v>45.42</v>
      </c>
      <c r="G451" s="3" t="s">
        <v>60</v>
      </c>
      <c r="H451" s="3" t="s">
        <v>60</v>
      </c>
      <c r="I451" s="3" t="n">
        <v>47031250</v>
      </c>
      <c r="J451" s="3" t="n">
        <v>1771875</v>
      </c>
      <c r="K451" s="3" t="s">
        <v>61</v>
      </c>
      <c r="L451" s="3" t="s">
        <v>62</v>
      </c>
      <c r="M451" s="3" t="s">
        <v>935</v>
      </c>
      <c r="N451" s="3" t="n">
        <v>1</v>
      </c>
      <c r="O451" s="3" t="s">
        <v>324</v>
      </c>
      <c r="P451" s="3" t="s">
        <v>70</v>
      </c>
    </row>
    <row r="452" customFormat="false" ht="15" hidden="false" customHeight="false" outlineLevel="0" collapsed="false">
      <c r="A452" s="3" t="s">
        <v>929</v>
      </c>
      <c r="B452" s="3" t="s">
        <v>300</v>
      </c>
      <c r="C452" s="3" t="s">
        <v>301</v>
      </c>
      <c r="D452" s="4" t="n">
        <v>1032.75</v>
      </c>
      <c r="E452" s="3" t="s">
        <v>60</v>
      </c>
      <c r="F452" s="3" t="n">
        <v>47.29</v>
      </c>
      <c r="G452" s="3" t="s">
        <v>60</v>
      </c>
      <c r="H452" s="3" t="s">
        <v>60</v>
      </c>
      <c r="I452" s="3" t="n">
        <v>74733750</v>
      </c>
      <c r="J452" s="3" t="n">
        <v>453750</v>
      </c>
      <c r="K452" s="3" t="s">
        <v>61</v>
      </c>
      <c r="L452" s="3" t="s">
        <v>62</v>
      </c>
      <c r="M452" s="3" t="s">
        <v>936</v>
      </c>
      <c r="N452" s="3" t="n">
        <v>4</v>
      </c>
      <c r="O452" s="3" t="s">
        <v>64</v>
      </c>
      <c r="P452" s="3" t="s">
        <v>65</v>
      </c>
    </row>
    <row r="453" customFormat="false" ht="15" hidden="false" customHeight="false" outlineLevel="0" collapsed="false">
      <c r="A453" s="3" t="s">
        <v>929</v>
      </c>
      <c r="B453" s="3" t="s">
        <v>142</v>
      </c>
      <c r="C453" s="3" t="s">
        <v>143</v>
      </c>
      <c r="D453" s="4" t="n">
        <v>1055.2</v>
      </c>
      <c r="E453" s="3" t="s">
        <v>60</v>
      </c>
      <c r="F453" s="3" t="n">
        <v>59.92</v>
      </c>
      <c r="G453" s="3" t="s">
        <v>60</v>
      </c>
      <c r="H453" s="3" t="s">
        <v>60</v>
      </c>
      <c r="I453" s="3" t="n">
        <v>12888150</v>
      </c>
      <c r="J453" s="3" t="n">
        <v>583000</v>
      </c>
      <c r="K453" s="3" t="s">
        <v>61</v>
      </c>
      <c r="L453" s="3" t="s">
        <v>62</v>
      </c>
      <c r="M453" s="3" t="s">
        <v>937</v>
      </c>
      <c r="N453" s="3" t="n">
        <v>3</v>
      </c>
      <c r="O453" s="3" t="s">
        <v>64</v>
      </c>
      <c r="P453" s="3" t="s">
        <v>65</v>
      </c>
    </row>
    <row r="454" customFormat="false" ht="15" hidden="false" customHeight="false" outlineLevel="0" collapsed="false">
      <c r="A454" s="3" t="s">
        <v>929</v>
      </c>
      <c r="B454" s="3" t="s">
        <v>926</v>
      </c>
      <c r="C454" s="3" t="s">
        <v>927</v>
      </c>
      <c r="D454" s="4" t="n">
        <v>4246.1</v>
      </c>
      <c r="E454" s="3" t="s">
        <v>60</v>
      </c>
      <c r="F454" s="3" t="n">
        <v>52.49</v>
      </c>
      <c r="G454" s="3" t="s">
        <v>60</v>
      </c>
      <c r="H454" s="3" t="s">
        <v>60</v>
      </c>
      <c r="I454" s="3" t="n">
        <v>9720200</v>
      </c>
      <c r="J454" s="3" t="n">
        <v>101850</v>
      </c>
      <c r="K454" s="3" t="s">
        <v>61</v>
      </c>
      <c r="L454" s="3" t="s">
        <v>62</v>
      </c>
      <c r="M454" s="3" t="s">
        <v>938</v>
      </c>
      <c r="N454" s="3" t="n">
        <v>0</v>
      </c>
      <c r="O454" s="3" t="s">
        <v>100</v>
      </c>
      <c r="P454" s="3" t="s">
        <v>70</v>
      </c>
    </row>
    <row r="455" customFormat="false" ht="15" hidden="false" customHeight="false" outlineLevel="0" collapsed="false">
      <c r="A455" s="3" t="s">
        <v>939</v>
      </c>
      <c r="B455" s="3" t="s">
        <v>210</v>
      </c>
      <c r="C455" s="3" t="s">
        <v>211</v>
      </c>
      <c r="D455" s="4" t="n">
        <v>1684.4</v>
      </c>
      <c r="E455" s="3" t="s">
        <v>60</v>
      </c>
      <c r="F455" s="3" t="n">
        <v>70.27</v>
      </c>
      <c r="G455" s="3" t="s">
        <v>60</v>
      </c>
      <c r="H455" s="3" t="s">
        <v>60</v>
      </c>
      <c r="I455" s="3" t="n">
        <v>10028000</v>
      </c>
      <c r="J455" s="3" t="n">
        <v>35500</v>
      </c>
      <c r="K455" s="3" t="s">
        <v>61</v>
      </c>
      <c r="L455" s="3" t="s">
        <v>62</v>
      </c>
      <c r="M455" s="3" t="s">
        <v>940</v>
      </c>
      <c r="N455" s="3" t="n">
        <v>1</v>
      </c>
      <c r="O455" s="3" t="s">
        <v>64</v>
      </c>
      <c r="P455" s="3" t="s">
        <v>65</v>
      </c>
    </row>
    <row r="456" customFormat="false" ht="15" hidden="false" customHeight="false" outlineLevel="0" collapsed="false">
      <c r="A456" s="3" t="s">
        <v>939</v>
      </c>
      <c r="B456" s="3" t="s">
        <v>245</v>
      </c>
      <c r="C456" s="3" t="s">
        <v>246</v>
      </c>
      <c r="D456" s="4" t="n">
        <v>2110.6</v>
      </c>
      <c r="E456" s="3" t="s">
        <v>60</v>
      </c>
      <c r="F456" s="3" t="n">
        <v>57.51</v>
      </c>
      <c r="G456" s="3" t="s">
        <v>60</v>
      </c>
      <c r="H456" s="3" t="s">
        <v>60</v>
      </c>
      <c r="I456" s="3" t="n">
        <v>15980400</v>
      </c>
      <c r="J456" s="3" t="n">
        <v>67800</v>
      </c>
      <c r="K456" s="3" t="s">
        <v>61</v>
      </c>
      <c r="L456" s="3" t="s">
        <v>62</v>
      </c>
      <c r="M456" s="3" t="s">
        <v>941</v>
      </c>
      <c r="N456" s="3" t="n">
        <v>2</v>
      </c>
      <c r="O456" s="3" t="s">
        <v>69</v>
      </c>
      <c r="P456" s="3" t="s">
        <v>70</v>
      </c>
    </row>
    <row r="457" customFormat="false" ht="15" hidden="false" customHeight="false" outlineLevel="0" collapsed="false">
      <c r="A457" s="3" t="s">
        <v>939</v>
      </c>
      <c r="B457" s="3" t="s">
        <v>175</v>
      </c>
      <c r="C457" s="3" t="s">
        <v>176</v>
      </c>
      <c r="D457" s="4" t="n">
        <v>1151.9</v>
      </c>
      <c r="E457" s="3" t="s">
        <v>60</v>
      </c>
      <c r="F457" s="3" t="n">
        <v>49.52</v>
      </c>
      <c r="G457" s="3" t="s">
        <v>60</v>
      </c>
      <c r="H457" s="3" t="s">
        <v>60</v>
      </c>
      <c r="I457" s="3" t="n">
        <v>47357325</v>
      </c>
      <c r="J457" s="3" t="n">
        <v>2025</v>
      </c>
      <c r="K457" s="3" t="s">
        <v>61</v>
      </c>
      <c r="L457" s="3" t="s">
        <v>62</v>
      </c>
      <c r="M457" s="3" t="s">
        <v>942</v>
      </c>
      <c r="N457" s="3" t="n">
        <v>5</v>
      </c>
      <c r="O457" s="3" t="s">
        <v>64</v>
      </c>
      <c r="P457" s="3" t="s">
        <v>65</v>
      </c>
    </row>
    <row r="458" customFormat="false" ht="15" hidden="false" customHeight="false" outlineLevel="0" collapsed="false">
      <c r="A458" s="3" t="s">
        <v>943</v>
      </c>
      <c r="B458" s="3" t="s">
        <v>708</v>
      </c>
      <c r="C458" s="3" t="s">
        <v>709</v>
      </c>
      <c r="D458" s="4" t="n">
        <v>6565</v>
      </c>
      <c r="E458" s="3" t="s">
        <v>60</v>
      </c>
      <c r="F458" s="3" t="n">
        <v>48.35</v>
      </c>
      <c r="G458" s="3" t="s">
        <v>60</v>
      </c>
      <c r="H458" s="3" t="s">
        <v>60</v>
      </c>
      <c r="I458" s="3" t="n">
        <v>2059375</v>
      </c>
      <c r="J458" s="3" t="n">
        <v>101250</v>
      </c>
      <c r="K458" s="3" t="s">
        <v>61</v>
      </c>
      <c r="L458" s="3" t="s">
        <v>62</v>
      </c>
      <c r="M458" s="3" t="s">
        <v>944</v>
      </c>
      <c r="N458" s="3" t="n">
        <v>1</v>
      </c>
      <c r="O458" s="3" t="s">
        <v>299</v>
      </c>
      <c r="P458" s="3" t="s">
        <v>70</v>
      </c>
    </row>
    <row r="459" customFormat="false" ht="15" hidden="false" customHeight="false" outlineLevel="0" collapsed="false">
      <c r="A459" s="3" t="s">
        <v>943</v>
      </c>
      <c r="B459" s="3" t="s">
        <v>380</v>
      </c>
      <c r="C459" s="3" t="s">
        <v>381</v>
      </c>
      <c r="D459" s="4" t="n">
        <v>1335.7</v>
      </c>
      <c r="E459" s="3" t="s">
        <v>60</v>
      </c>
      <c r="F459" s="3" t="n">
        <v>56.28</v>
      </c>
      <c r="G459" s="3" t="s">
        <v>60</v>
      </c>
      <c r="H459" s="3" t="s">
        <v>60</v>
      </c>
      <c r="I459" s="3" t="n">
        <v>21132650</v>
      </c>
      <c r="J459" s="3" t="n">
        <v>200200</v>
      </c>
      <c r="K459" s="3" t="s">
        <v>61</v>
      </c>
      <c r="L459" s="3" t="s">
        <v>62</v>
      </c>
      <c r="M459" s="3" t="s">
        <v>945</v>
      </c>
      <c r="N459" s="3" t="n">
        <v>3</v>
      </c>
      <c r="O459" s="3" t="s">
        <v>64</v>
      </c>
      <c r="P459" s="3" t="s">
        <v>65</v>
      </c>
    </row>
    <row r="460" customFormat="false" ht="15" hidden="false" customHeight="false" outlineLevel="0" collapsed="false">
      <c r="A460" s="3" t="s">
        <v>943</v>
      </c>
      <c r="B460" s="3" t="s">
        <v>328</v>
      </c>
      <c r="C460" s="3" t="s">
        <v>329</v>
      </c>
      <c r="D460" s="4" t="n">
        <v>5594.5</v>
      </c>
      <c r="E460" s="3" t="s">
        <v>60</v>
      </c>
      <c r="F460" s="3" t="n">
        <v>56.04</v>
      </c>
      <c r="G460" s="3" t="s">
        <v>60</v>
      </c>
      <c r="H460" s="3" t="s">
        <v>60</v>
      </c>
      <c r="I460" s="3" t="n">
        <v>2753875</v>
      </c>
      <c r="J460" s="3" t="n">
        <v>1500</v>
      </c>
      <c r="K460" s="3" t="s">
        <v>61</v>
      </c>
      <c r="L460" s="3" t="s">
        <v>62</v>
      </c>
      <c r="M460" s="3" t="s">
        <v>946</v>
      </c>
      <c r="N460" s="3" t="n">
        <v>4</v>
      </c>
      <c r="O460" s="3" t="s">
        <v>64</v>
      </c>
      <c r="P460" s="3" t="s">
        <v>65</v>
      </c>
    </row>
    <row r="461" customFormat="false" ht="15" hidden="false" customHeight="false" outlineLevel="0" collapsed="false">
      <c r="A461" s="3" t="s">
        <v>943</v>
      </c>
      <c r="B461" s="3" t="s">
        <v>319</v>
      </c>
      <c r="C461" s="3" t="s">
        <v>320</v>
      </c>
      <c r="D461" s="4" t="n">
        <v>1554.3</v>
      </c>
      <c r="E461" s="3" t="s">
        <v>60</v>
      </c>
      <c r="F461" s="3" t="n">
        <v>54.46</v>
      </c>
      <c r="G461" s="3" t="s">
        <v>60</v>
      </c>
      <c r="H461" s="3" t="s">
        <v>60</v>
      </c>
      <c r="I461" s="3" t="n">
        <v>19636250</v>
      </c>
      <c r="J461" s="3" t="n">
        <v>272500</v>
      </c>
      <c r="K461" s="3" t="s">
        <v>61</v>
      </c>
      <c r="L461" s="3" t="s">
        <v>62</v>
      </c>
      <c r="M461" s="3" t="s">
        <v>947</v>
      </c>
      <c r="N461" s="3" t="n">
        <v>2</v>
      </c>
      <c r="O461" s="3" t="s">
        <v>64</v>
      </c>
      <c r="P461" s="3" t="s">
        <v>65</v>
      </c>
    </row>
    <row r="462" customFormat="false" ht="15" hidden="false" customHeight="false" outlineLevel="0" collapsed="false">
      <c r="A462" s="3" t="s">
        <v>943</v>
      </c>
      <c r="B462" s="3" t="s">
        <v>216</v>
      </c>
      <c r="C462" s="3" t="s">
        <v>217</v>
      </c>
      <c r="D462" s="4" t="n">
        <v>1215.9</v>
      </c>
      <c r="E462" s="3" t="s">
        <v>60</v>
      </c>
      <c r="F462" s="3" t="n">
        <v>56.72</v>
      </c>
      <c r="G462" s="3" t="s">
        <v>60</v>
      </c>
      <c r="H462" s="3" t="s">
        <v>60</v>
      </c>
      <c r="I462" s="3" t="n">
        <v>13708125</v>
      </c>
      <c r="J462" s="3" t="n">
        <v>202500</v>
      </c>
      <c r="K462" s="3" t="s">
        <v>61</v>
      </c>
      <c r="L462" s="3" t="s">
        <v>62</v>
      </c>
      <c r="M462" s="3" t="s">
        <v>948</v>
      </c>
      <c r="N462" s="3" t="n">
        <v>4</v>
      </c>
      <c r="O462" s="3" t="s">
        <v>64</v>
      </c>
      <c r="P462" s="3" t="s">
        <v>65</v>
      </c>
    </row>
    <row r="463" customFormat="false" ht="15" hidden="false" customHeight="false" outlineLevel="0" collapsed="false">
      <c r="A463" s="3" t="s">
        <v>943</v>
      </c>
      <c r="B463" s="3" t="s">
        <v>522</v>
      </c>
      <c r="C463" s="3" t="s">
        <v>523</v>
      </c>
      <c r="D463" s="4" t="n">
        <v>246.05</v>
      </c>
      <c r="E463" s="3" t="s">
        <v>60</v>
      </c>
      <c r="F463" s="3" t="n">
        <v>47.11</v>
      </c>
      <c r="G463" s="3" t="s">
        <v>60</v>
      </c>
      <c r="H463" s="3" t="s">
        <v>60</v>
      </c>
      <c r="I463" s="3" t="n">
        <v>46459800</v>
      </c>
      <c r="J463" s="3" t="n">
        <v>270000</v>
      </c>
      <c r="K463" s="3" t="s">
        <v>61</v>
      </c>
      <c r="L463" s="3" t="s">
        <v>62</v>
      </c>
      <c r="M463" s="3" t="s">
        <v>949</v>
      </c>
      <c r="N463" s="3" t="n">
        <v>1</v>
      </c>
      <c r="O463" s="3" t="s">
        <v>64</v>
      </c>
      <c r="P463" s="3" t="s">
        <v>65</v>
      </c>
    </row>
    <row r="464" customFormat="false" ht="15" hidden="false" customHeight="false" outlineLevel="0" collapsed="false">
      <c r="A464" s="3" t="s">
        <v>943</v>
      </c>
      <c r="B464" s="3" t="s">
        <v>93</v>
      </c>
      <c r="C464" s="3" t="s">
        <v>94</v>
      </c>
      <c r="D464" s="4" t="n">
        <v>1922.6</v>
      </c>
      <c r="E464" s="3" t="s">
        <v>60</v>
      </c>
      <c r="F464" s="3" t="n">
        <v>47.59</v>
      </c>
      <c r="G464" s="3" t="s">
        <v>60</v>
      </c>
      <c r="H464" s="3" t="s">
        <v>60</v>
      </c>
      <c r="I464" s="3" t="n">
        <v>2520375</v>
      </c>
      <c r="J464" s="3" t="n">
        <v>134550</v>
      </c>
      <c r="K464" s="3" t="s">
        <v>61</v>
      </c>
      <c r="L464" s="3" t="s">
        <v>62</v>
      </c>
      <c r="M464" s="3" t="s">
        <v>950</v>
      </c>
      <c r="N464" s="3" t="n">
        <v>3</v>
      </c>
      <c r="O464" s="3" t="s">
        <v>64</v>
      </c>
      <c r="P464" s="3" t="s">
        <v>65</v>
      </c>
    </row>
    <row r="465" customFormat="false" ht="15" hidden="false" customHeight="false" outlineLevel="0" collapsed="false">
      <c r="A465" s="3" t="s">
        <v>943</v>
      </c>
      <c r="B465" s="3" t="s">
        <v>96</v>
      </c>
      <c r="C465" s="3" t="s">
        <v>97</v>
      </c>
      <c r="D465" s="4" t="n">
        <v>459.85</v>
      </c>
      <c r="E465" s="3" t="s">
        <v>60</v>
      </c>
      <c r="F465" s="3" t="n">
        <v>47.15</v>
      </c>
      <c r="G465" s="3" t="s">
        <v>60</v>
      </c>
      <c r="H465" s="3" t="s">
        <v>60</v>
      </c>
      <c r="I465" s="3" t="n">
        <v>30305375</v>
      </c>
      <c r="J465" s="3" t="n">
        <v>1732625</v>
      </c>
      <c r="K465" s="3" t="s">
        <v>61</v>
      </c>
      <c r="L465" s="3" t="s">
        <v>62</v>
      </c>
      <c r="M465" s="3" t="s">
        <v>951</v>
      </c>
      <c r="N465" s="3" t="n">
        <v>8</v>
      </c>
      <c r="O465" s="3" t="s">
        <v>64</v>
      </c>
      <c r="P465" s="3" t="s">
        <v>65</v>
      </c>
    </row>
    <row r="466" customFormat="false" ht="15" hidden="false" customHeight="false" outlineLevel="0" collapsed="false">
      <c r="A466" s="3" t="s">
        <v>943</v>
      </c>
      <c r="B466" s="3" t="s">
        <v>337</v>
      </c>
      <c r="C466" s="3" t="s">
        <v>338</v>
      </c>
      <c r="D466" s="4" t="n">
        <v>7131</v>
      </c>
      <c r="E466" s="3" t="s">
        <v>60</v>
      </c>
      <c r="F466" s="3" t="n">
        <v>46.99</v>
      </c>
      <c r="G466" s="3" t="s">
        <v>60</v>
      </c>
      <c r="H466" s="3" t="s">
        <v>60</v>
      </c>
      <c r="I466" s="3" t="n">
        <v>3933800</v>
      </c>
      <c r="J466" s="3" t="n">
        <v>138100</v>
      </c>
      <c r="K466" s="3" t="s">
        <v>61</v>
      </c>
      <c r="L466" s="3" t="s">
        <v>62</v>
      </c>
      <c r="M466" s="3" t="s">
        <v>952</v>
      </c>
      <c r="N466" s="3" t="n">
        <v>1</v>
      </c>
      <c r="O466" s="3" t="s">
        <v>64</v>
      </c>
      <c r="P466" s="3" t="s">
        <v>65</v>
      </c>
    </row>
    <row r="467" customFormat="false" ht="15" hidden="false" customHeight="false" outlineLevel="0" collapsed="false">
      <c r="A467" s="3" t="s">
        <v>943</v>
      </c>
      <c r="B467" s="3" t="s">
        <v>257</v>
      </c>
      <c r="C467" s="3" t="s">
        <v>258</v>
      </c>
      <c r="D467" s="4" t="n">
        <v>153.3</v>
      </c>
      <c r="E467" s="3" t="s">
        <v>60</v>
      </c>
      <c r="F467" s="3" t="n">
        <v>49.82</v>
      </c>
      <c r="G467" s="3" t="s">
        <v>60</v>
      </c>
      <c r="H467" s="3" t="s">
        <v>60</v>
      </c>
      <c r="I467" s="3" t="n">
        <v>79254000</v>
      </c>
      <c r="J467" s="3" t="n">
        <v>1512000</v>
      </c>
      <c r="K467" s="3" t="s">
        <v>61</v>
      </c>
      <c r="L467" s="3" t="s">
        <v>62</v>
      </c>
      <c r="M467" s="3" t="s">
        <v>953</v>
      </c>
      <c r="N467" s="3" t="n">
        <v>2</v>
      </c>
      <c r="O467" s="3" t="s">
        <v>64</v>
      </c>
      <c r="P467" s="3" t="s">
        <v>65</v>
      </c>
    </row>
    <row r="468" customFormat="false" ht="15" hidden="false" customHeight="false" outlineLevel="0" collapsed="false">
      <c r="A468" s="3" t="s">
        <v>943</v>
      </c>
      <c r="B468" s="3" t="s">
        <v>496</v>
      </c>
      <c r="C468" s="3" t="s">
        <v>497</v>
      </c>
      <c r="D468" s="4" t="n">
        <v>1075.15</v>
      </c>
      <c r="E468" s="3" t="s">
        <v>60</v>
      </c>
      <c r="F468" s="3" t="n">
        <v>63.92</v>
      </c>
      <c r="G468" s="3" t="s">
        <v>60</v>
      </c>
      <c r="H468" s="3" t="s">
        <v>60</v>
      </c>
      <c r="I468" s="3" t="n">
        <v>12191500</v>
      </c>
      <c r="J468" s="3" t="n">
        <v>554000</v>
      </c>
      <c r="K468" s="3" t="s">
        <v>61</v>
      </c>
      <c r="L468" s="3" t="s">
        <v>62</v>
      </c>
      <c r="M468" s="3" t="s">
        <v>954</v>
      </c>
      <c r="N468" s="3" t="n">
        <v>1</v>
      </c>
      <c r="O468" s="3" t="s">
        <v>64</v>
      </c>
      <c r="P468" s="3" t="s">
        <v>65</v>
      </c>
    </row>
    <row r="469" customFormat="false" ht="15" hidden="false" customHeight="false" outlineLevel="0" collapsed="false">
      <c r="A469" s="3" t="s">
        <v>943</v>
      </c>
      <c r="B469" s="3" t="s">
        <v>591</v>
      </c>
      <c r="C469" s="3" t="s">
        <v>592</v>
      </c>
      <c r="D469" s="4" t="n">
        <v>1461</v>
      </c>
      <c r="E469" s="3" t="s">
        <v>60</v>
      </c>
      <c r="F469" s="3" t="n">
        <v>54.44</v>
      </c>
      <c r="G469" s="3" t="s">
        <v>60</v>
      </c>
      <c r="H469" s="3" t="s">
        <v>60</v>
      </c>
      <c r="I469" s="3" t="n">
        <v>34950650</v>
      </c>
      <c r="J469" s="3" t="n">
        <v>187250</v>
      </c>
      <c r="K469" s="3" t="s">
        <v>61</v>
      </c>
      <c r="L469" s="3" t="s">
        <v>62</v>
      </c>
      <c r="M469" s="3" t="s">
        <v>955</v>
      </c>
      <c r="N469" s="3" t="n">
        <v>3</v>
      </c>
      <c r="O469" s="3" t="s">
        <v>64</v>
      </c>
      <c r="P469" s="3" t="s">
        <v>65</v>
      </c>
    </row>
    <row r="470" customFormat="false" ht="15" hidden="false" customHeight="false" outlineLevel="0" collapsed="false">
      <c r="A470" s="3" t="s">
        <v>943</v>
      </c>
      <c r="B470" s="3" t="s">
        <v>868</v>
      </c>
      <c r="C470" s="3" t="s">
        <v>869</v>
      </c>
      <c r="D470" s="4" t="n">
        <v>5287.5</v>
      </c>
      <c r="E470" s="3" t="s">
        <v>60</v>
      </c>
      <c r="F470" s="3" t="n">
        <v>56.55</v>
      </c>
      <c r="G470" s="3" t="s">
        <v>60</v>
      </c>
      <c r="H470" s="3" t="s">
        <v>60</v>
      </c>
      <c r="I470" s="3" t="n">
        <v>3744600</v>
      </c>
      <c r="J470" s="3" t="n">
        <v>127050</v>
      </c>
      <c r="K470" s="3" t="s">
        <v>61</v>
      </c>
      <c r="L470" s="3" t="s">
        <v>62</v>
      </c>
      <c r="M470" s="3" t="s">
        <v>956</v>
      </c>
      <c r="N470" s="3" t="n">
        <v>1</v>
      </c>
      <c r="O470" s="3" t="s">
        <v>64</v>
      </c>
      <c r="P470" s="3" t="s">
        <v>65</v>
      </c>
    </row>
    <row r="471" customFormat="false" ht="15" hidden="false" customHeight="false" outlineLevel="0" collapsed="false">
      <c r="A471" s="3" t="s">
        <v>943</v>
      </c>
      <c r="B471" s="3" t="s">
        <v>245</v>
      </c>
      <c r="C471" s="3" t="s">
        <v>246</v>
      </c>
      <c r="D471" s="4" t="n">
        <v>2145.6</v>
      </c>
      <c r="E471" s="3" t="s">
        <v>60</v>
      </c>
      <c r="F471" s="3" t="n">
        <v>60.7</v>
      </c>
      <c r="G471" s="3" t="s">
        <v>60</v>
      </c>
      <c r="H471" s="3" t="s">
        <v>60</v>
      </c>
      <c r="I471" s="3" t="n">
        <v>16116900</v>
      </c>
      <c r="J471" s="3" t="n">
        <v>136500</v>
      </c>
      <c r="K471" s="3" t="s">
        <v>61</v>
      </c>
      <c r="L471" s="3" t="s">
        <v>62</v>
      </c>
      <c r="M471" s="3" t="s">
        <v>957</v>
      </c>
      <c r="N471" s="3" t="n">
        <v>2</v>
      </c>
      <c r="O471" s="3" t="s">
        <v>100</v>
      </c>
      <c r="P471" s="3" t="s">
        <v>70</v>
      </c>
    </row>
    <row r="472" customFormat="false" ht="15" hidden="false" customHeight="false" outlineLevel="0" collapsed="false">
      <c r="A472" s="3" t="s">
        <v>943</v>
      </c>
      <c r="B472" s="3" t="s">
        <v>871</v>
      </c>
      <c r="C472" s="3" t="s">
        <v>872</v>
      </c>
      <c r="D472" s="4" t="n">
        <v>1346.2</v>
      </c>
      <c r="E472" s="3" t="s">
        <v>60</v>
      </c>
      <c r="F472" s="3" t="n">
        <v>53.51</v>
      </c>
      <c r="G472" s="3" t="s">
        <v>60</v>
      </c>
      <c r="H472" s="3" t="s">
        <v>60</v>
      </c>
      <c r="I472" s="3" t="n">
        <v>74711200</v>
      </c>
      <c r="J472" s="3" t="n">
        <v>3098000</v>
      </c>
      <c r="K472" s="3" t="s">
        <v>61</v>
      </c>
      <c r="L472" s="3" t="s">
        <v>62</v>
      </c>
      <c r="M472" s="3" t="s">
        <v>958</v>
      </c>
      <c r="N472" s="3" t="n">
        <v>1</v>
      </c>
      <c r="O472" s="3" t="s">
        <v>64</v>
      </c>
      <c r="P472" s="3" t="s">
        <v>65</v>
      </c>
    </row>
    <row r="473" customFormat="false" ht="15" hidden="false" customHeight="false" outlineLevel="0" collapsed="false">
      <c r="A473" s="3" t="s">
        <v>943</v>
      </c>
      <c r="B473" s="3" t="s">
        <v>501</v>
      </c>
      <c r="C473" s="3" t="s">
        <v>502</v>
      </c>
      <c r="D473" s="4" t="n">
        <v>4507.2</v>
      </c>
      <c r="E473" s="3" t="s">
        <v>60</v>
      </c>
      <c r="F473" s="3" t="n">
        <v>46.04</v>
      </c>
      <c r="G473" s="3" t="s">
        <v>60</v>
      </c>
      <c r="H473" s="3" t="s">
        <v>60</v>
      </c>
      <c r="I473" s="3" t="n">
        <v>2065175</v>
      </c>
      <c r="J473" s="3" t="n">
        <v>77525</v>
      </c>
      <c r="K473" s="3" t="s">
        <v>61</v>
      </c>
      <c r="L473" s="3" t="s">
        <v>62</v>
      </c>
      <c r="M473" s="3" t="s">
        <v>959</v>
      </c>
      <c r="N473" s="3" t="n">
        <v>2</v>
      </c>
      <c r="O473" s="3" t="s">
        <v>64</v>
      </c>
      <c r="P473" s="3" t="s">
        <v>65</v>
      </c>
    </row>
    <row r="474" customFormat="false" ht="15" hidden="false" customHeight="false" outlineLevel="0" collapsed="false">
      <c r="A474" s="3" t="s">
        <v>943</v>
      </c>
      <c r="B474" s="3" t="s">
        <v>272</v>
      </c>
      <c r="C474" s="3" t="s">
        <v>273</v>
      </c>
      <c r="D474" s="4" t="n">
        <v>374.15</v>
      </c>
      <c r="E474" s="3" t="s">
        <v>60</v>
      </c>
      <c r="F474" s="3" t="n">
        <v>62.4</v>
      </c>
      <c r="G474" s="3" t="s">
        <v>60</v>
      </c>
      <c r="H474" s="3" t="s">
        <v>60</v>
      </c>
      <c r="I474" s="3" t="n">
        <v>76506000</v>
      </c>
      <c r="J474" s="3" t="n">
        <v>1785000</v>
      </c>
      <c r="K474" s="3" t="s">
        <v>61</v>
      </c>
      <c r="L474" s="3" t="s">
        <v>62</v>
      </c>
      <c r="M474" s="3" t="s">
        <v>960</v>
      </c>
      <c r="N474" s="3" t="n">
        <v>6</v>
      </c>
      <c r="O474" s="3" t="s">
        <v>69</v>
      </c>
      <c r="P474" s="3" t="s">
        <v>70</v>
      </c>
    </row>
    <row r="475" customFormat="false" ht="15" hidden="false" customHeight="false" outlineLevel="0" collapsed="false">
      <c r="A475" s="3" t="s">
        <v>943</v>
      </c>
      <c r="B475" s="3" t="s">
        <v>117</v>
      </c>
      <c r="C475" s="3" t="s">
        <v>118</v>
      </c>
      <c r="D475" s="4" t="n">
        <v>270.41</v>
      </c>
      <c r="E475" s="3" t="s">
        <v>60</v>
      </c>
      <c r="F475" s="3" t="n">
        <v>47.73</v>
      </c>
      <c r="G475" s="3" t="s">
        <v>60</v>
      </c>
      <c r="H475" s="3" t="s">
        <v>60</v>
      </c>
      <c r="I475" s="3" t="n">
        <v>34821300</v>
      </c>
      <c r="J475" s="3" t="n">
        <v>1267300</v>
      </c>
      <c r="K475" s="3" t="s">
        <v>61</v>
      </c>
      <c r="L475" s="3" t="s">
        <v>62</v>
      </c>
      <c r="M475" s="3" t="s">
        <v>961</v>
      </c>
      <c r="N475" s="3" t="n">
        <v>3</v>
      </c>
      <c r="O475" s="3" t="s">
        <v>69</v>
      </c>
      <c r="P475" s="3" t="s">
        <v>70</v>
      </c>
    </row>
    <row r="476" customFormat="false" ht="15" hidden="false" customHeight="false" outlineLevel="0" collapsed="false">
      <c r="A476" s="3" t="s">
        <v>943</v>
      </c>
      <c r="B476" s="3" t="s">
        <v>859</v>
      </c>
      <c r="C476" s="3" t="s">
        <v>860</v>
      </c>
      <c r="D476" s="4" t="n">
        <v>7600.5</v>
      </c>
      <c r="E476" s="3" t="s">
        <v>60</v>
      </c>
      <c r="F476" s="3" t="n">
        <v>55.74</v>
      </c>
      <c r="G476" s="3" t="s">
        <v>60</v>
      </c>
      <c r="H476" s="3" t="s">
        <v>60</v>
      </c>
      <c r="I476" s="3" t="n">
        <v>1999250</v>
      </c>
      <c r="J476" s="3" t="n">
        <v>37750</v>
      </c>
      <c r="K476" s="3" t="s">
        <v>61</v>
      </c>
      <c r="L476" s="3" t="s">
        <v>62</v>
      </c>
      <c r="M476" s="3" t="s">
        <v>962</v>
      </c>
      <c r="N476" s="3" t="n">
        <v>1</v>
      </c>
      <c r="O476" s="3" t="s">
        <v>64</v>
      </c>
      <c r="P476" s="3" t="s">
        <v>65</v>
      </c>
    </row>
    <row r="477" customFormat="false" ht="15" hidden="false" customHeight="false" outlineLevel="0" collapsed="false">
      <c r="A477" s="3" t="s">
        <v>943</v>
      </c>
      <c r="B477" s="3" t="s">
        <v>406</v>
      </c>
      <c r="C477" s="3" t="s">
        <v>407</v>
      </c>
      <c r="D477" s="4" t="n">
        <v>164.41</v>
      </c>
      <c r="E477" s="3" t="s">
        <v>60</v>
      </c>
      <c r="F477" s="3" t="n">
        <v>48.11</v>
      </c>
      <c r="G477" s="3" t="s">
        <v>60</v>
      </c>
      <c r="H477" s="3" t="s">
        <v>60</v>
      </c>
      <c r="I477" s="3" t="n">
        <v>175314700</v>
      </c>
      <c r="J477" s="3" t="n">
        <v>6387300</v>
      </c>
      <c r="K477" s="3" t="s">
        <v>61</v>
      </c>
      <c r="L477" s="3" t="s">
        <v>62</v>
      </c>
      <c r="M477" s="3" t="s">
        <v>963</v>
      </c>
      <c r="N477" s="3" t="n">
        <v>3</v>
      </c>
      <c r="O477" s="3" t="s">
        <v>64</v>
      </c>
      <c r="P477" s="3" t="s">
        <v>65</v>
      </c>
    </row>
    <row r="478" customFormat="false" ht="15" hidden="false" customHeight="false" outlineLevel="0" collapsed="false">
      <c r="A478" s="3" t="s">
        <v>943</v>
      </c>
      <c r="B478" s="3" t="s">
        <v>300</v>
      </c>
      <c r="C478" s="3" t="s">
        <v>301</v>
      </c>
      <c r="D478" s="4" t="n">
        <v>1061.45</v>
      </c>
      <c r="E478" s="3" t="s">
        <v>60</v>
      </c>
      <c r="F478" s="3" t="n">
        <v>51.46</v>
      </c>
      <c r="G478" s="3" t="s">
        <v>60</v>
      </c>
      <c r="H478" s="3" t="s">
        <v>60</v>
      </c>
      <c r="I478" s="3" t="n">
        <v>75561750</v>
      </c>
      <c r="J478" s="3" t="n">
        <v>1362750</v>
      </c>
      <c r="K478" s="3" t="s">
        <v>61</v>
      </c>
      <c r="L478" s="3" t="s">
        <v>62</v>
      </c>
      <c r="M478" s="3" t="s">
        <v>964</v>
      </c>
      <c r="N478" s="3" t="n">
        <v>5</v>
      </c>
      <c r="O478" s="3" t="s">
        <v>64</v>
      </c>
      <c r="P478" s="3" t="s">
        <v>65</v>
      </c>
    </row>
    <row r="479" customFormat="false" ht="15" hidden="false" customHeight="false" outlineLevel="0" collapsed="false">
      <c r="A479" s="3" t="s">
        <v>943</v>
      </c>
      <c r="B479" s="3" t="s">
        <v>453</v>
      </c>
      <c r="C479" s="3" t="s">
        <v>454</v>
      </c>
      <c r="D479" s="4" t="n">
        <v>533.7</v>
      </c>
      <c r="E479" s="3" t="s">
        <v>60</v>
      </c>
      <c r="F479" s="3" t="n">
        <v>52.03</v>
      </c>
      <c r="G479" s="3" t="s">
        <v>60</v>
      </c>
      <c r="H479" s="3" t="s">
        <v>60</v>
      </c>
      <c r="I479" s="3" t="n">
        <v>12495000</v>
      </c>
      <c r="J479" s="3" t="n">
        <v>470400</v>
      </c>
      <c r="K479" s="3" t="s">
        <v>61</v>
      </c>
      <c r="L479" s="3" t="s">
        <v>62</v>
      </c>
      <c r="M479" s="3" t="s">
        <v>965</v>
      </c>
      <c r="N479" s="3" t="n">
        <v>4</v>
      </c>
      <c r="O479" s="3" t="s">
        <v>64</v>
      </c>
      <c r="P479" s="3" t="s">
        <v>65</v>
      </c>
    </row>
    <row r="480" customFormat="false" ht="15" hidden="false" customHeight="false" outlineLevel="0" collapsed="false">
      <c r="A480" s="3" t="s">
        <v>943</v>
      </c>
      <c r="B480" s="3" t="s">
        <v>83</v>
      </c>
      <c r="C480" s="3" t="s">
        <v>84</v>
      </c>
      <c r="D480" s="4" t="n">
        <v>2435.1</v>
      </c>
      <c r="E480" s="3" t="s">
        <v>60</v>
      </c>
      <c r="F480" s="3" t="n">
        <v>55.18</v>
      </c>
      <c r="G480" s="3" t="s">
        <v>60</v>
      </c>
      <c r="H480" s="3" t="s">
        <v>60</v>
      </c>
      <c r="I480" s="3" t="n">
        <v>4028200</v>
      </c>
      <c r="J480" s="3" t="n">
        <v>155600</v>
      </c>
      <c r="K480" s="3" t="s">
        <v>61</v>
      </c>
      <c r="L480" s="3" t="s">
        <v>62</v>
      </c>
      <c r="M480" s="3" t="s">
        <v>966</v>
      </c>
      <c r="N480" s="3" t="n">
        <v>4</v>
      </c>
      <c r="O480" s="3" t="s">
        <v>64</v>
      </c>
      <c r="P480" s="3" t="s">
        <v>65</v>
      </c>
    </row>
    <row r="481" customFormat="false" ht="15" hidden="false" customHeight="false" outlineLevel="0" collapsed="false">
      <c r="A481" s="3" t="s">
        <v>943</v>
      </c>
      <c r="B481" s="3" t="s">
        <v>923</v>
      </c>
      <c r="C481" s="3" t="s">
        <v>924</v>
      </c>
      <c r="D481" s="4" t="n">
        <v>2559.2</v>
      </c>
      <c r="E481" s="3" t="s">
        <v>60</v>
      </c>
      <c r="F481" s="3" t="n">
        <v>45.42</v>
      </c>
      <c r="G481" s="3" t="s">
        <v>60</v>
      </c>
      <c r="H481" s="3" t="s">
        <v>60</v>
      </c>
      <c r="I481" s="3" t="n">
        <v>30423050</v>
      </c>
      <c r="J481" s="3" t="n">
        <v>428400</v>
      </c>
      <c r="K481" s="3" t="s">
        <v>61</v>
      </c>
      <c r="L481" s="3" t="s">
        <v>62</v>
      </c>
      <c r="M481" s="3" t="s">
        <v>967</v>
      </c>
      <c r="N481" s="3" t="n">
        <v>1</v>
      </c>
      <c r="O481" s="3" t="s">
        <v>64</v>
      </c>
      <c r="P481" s="3" t="s">
        <v>65</v>
      </c>
    </row>
    <row r="482" customFormat="false" ht="15" hidden="false" customHeight="false" outlineLevel="0" collapsed="false">
      <c r="A482" s="3" t="s">
        <v>943</v>
      </c>
      <c r="B482" s="3" t="s">
        <v>156</v>
      </c>
      <c r="C482" s="3" t="s">
        <v>157</v>
      </c>
      <c r="D482" s="4" t="n">
        <v>1090.2</v>
      </c>
      <c r="E482" s="3" t="s">
        <v>60</v>
      </c>
      <c r="F482" s="3" t="n">
        <v>56.46</v>
      </c>
      <c r="G482" s="3" t="s">
        <v>60</v>
      </c>
      <c r="H482" s="3" t="s">
        <v>60</v>
      </c>
      <c r="I482" s="3" t="n">
        <v>5065500</v>
      </c>
      <c r="J482" s="3" t="n">
        <v>104500</v>
      </c>
      <c r="K482" s="3" t="s">
        <v>61</v>
      </c>
      <c r="L482" s="3" t="s">
        <v>62</v>
      </c>
      <c r="M482" s="3" t="s">
        <v>968</v>
      </c>
      <c r="N482" s="3" t="n">
        <v>4</v>
      </c>
      <c r="O482" s="3" t="s">
        <v>64</v>
      </c>
      <c r="P482" s="3" t="s">
        <v>65</v>
      </c>
    </row>
    <row r="483" customFormat="false" ht="15" hidden="false" customHeight="false" outlineLevel="0" collapsed="false">
      <c r="A483" s="3" t="s">
        <v>943</v>
      </c>
      <c r="B483" s="3" t="s">
        <v>279</v>
      </c>
      <c r="C483" s="3" t="s">
        <v>280</v>
      </c>
      <c r="D483" s="4" t="n">
        <v>640.25</v>
      </c>
      <c r="E483" s="3" t="s">
        <v>60</v>
      </c>
      <c r="F483" s="3" t="n">
        <v>57.35</v>
      </c>
      <c r="G483" s="3" t="s">
        <v>60</v>
      </c>
      <c r="H483" s="3" t="s">
        <v>60</v>
      </c>
      <c r="I483" s="3" t="n">
        <v>28318145</v>
      </c>
      <c r="J483" s="3" t="n">
        <v>588070</v>
      </c>
      <c r="K483" s="3" t="s">
        <v>61</v>
      </c>
      <c r="L483" s="3" t="s">
        <v>62</v>
      </c>
      <c r="M483" s="3" t="s">
        <v>969</v>
      </c>
      <c r="N483" s="3" t="n">
        <v>1</v>
      </c>
      <c r="O483" s="3" t="s">
        <v>64</v>
      </c>
      <c r="P483" s="3" t="s">
        <v>65</v>
      </c>
    </row>
    <row r="484" customFormat="false" ht="15" hidden="false" customHeight="false" outlineLevel="0" collapsed="false">
      <c r="A484" s="3" t="s">
        <v>970</v>
      </c>
      <c r="B484" s="3" t="s">
        <v>207</v>
      </c>
      <c r="C484" s="3" t="s">
        <v>208</v>
      </c>
      <c r="D484" s="4" t="n">
        <v>998.1</v>
      </c>
      <c r="E484" s="3" t="s">
        <v>60</v>
      </c>
      <c r="F484" s="3" t="n">
        <v>60.38</v>
      </c>
      <c r="G484" s="3" t="s">
        <v>60</v>
      </c>
      <c r="H484" s="3" t="s">
        <v>60</v>
      </c>
      <c r="I484" s="3" t="n">
        <v>4907000</v>
      </c>
      <c r="J484" s="3" t="n">
        <v>389000</v>
      </c>
      <c r="K484" s="3" t="s">
        <v>61</v>
      </c>
      <c r="L484" s="3" t="s">
        <v>62</v>
      </c>
      <c r="M484" s="3" t="s">
        <v>971</v>
      </c>
      <c r="N484" s="3" t="n">
        <v>1</v>
      </c>
      <c r="O484" s="3" t="s">
        <v>64</v>
      </c>
      <c r="P484" s="3" t="s">
        <v>65</v>
      </c>
    </row>
    <row r="485" customFormat="false" ht="15" hidden="false" customHeight="false" outlineLevel="0" collapsed="false">
      <c r="A485" s="3" t="s">
        <v>970</v>
      </c>
      <c r="B485" s="3" t="s">
        <v>708</v>
      </c>
      <c r="C485" s="3" t="s">
        <v>709</v>
      </c>
      <c r="D485" s="4" t="n">
        <v>6614</v>
      </c>
      <c r="E485" s="3" t="s">
        <v>60</v>
      </c>
      <c r="F485" s="3" t="n">
        <v>48.81</v>
      </c>
      <c r="G485" s="3" t="s">
        <v>60</v>
      </c>
      <c r="H485" s="3" t="s">
        <v>60</v>
      </c>
      <c r="I485" s="3" t="n">
        <v>2100000</v>
      </c>
      <c r="J485" s="3" t="n">
        <v>40625</v>
      </c>
      <c r="K485" s="3" t="s">
        <v>61</v>
      </c>
      <c r="L485" s="3" t="s">
        <v>315</v>
      </c>
      <c r="M485" s="3" t="s">
        <v>972</v>
      </c>
      <c r="N485" s="3" t="n">
        <v>1</v>
      </c>
      <c r="O485" s="3" t="s">
        <v>317</v>
      </c>
      <c r="P485" s="3" t="s">
        <v>70</v>
      </c>
    </row>
    <row r="486" customFormat="false" ht="15" hidden="false" customHeight="false" outlineLevel="0" collapsed="false">
      <c r="A486" s="3" t="s">
        <v>970</v>
      </c>
      <c r="B486" s="3" t="s">
        <v>272</v>
      </c>
      <c r="C486" s="3" t="s">
        <v>273</v>
      </c>
      <c r="D486" s="4" t="n">
        <v>378.65</v>
      </c>
      <c r="E486" s="3" t="s">
        <v>60</v>
      </c>
      <c r="F486" s="3" t="n">
        <v>50.72</v>
      </c>
      <c r="G486" s="3" t="s">
        <v>60</v>
      </c>
      <c r="H486" s="3" t="s">
        <v>60</v>
      </c>
      <c r="I486" s="3" t="n">
        <v>77679000</v>
      </c>
      <c r="J486" s="3" t="n">
        <v>1173000</v>
      </c>
      <c r="K486" s="3" t="s">
        <v>61</v>
      </c>
      <c r="L486" s="3" t="s">
        <v>62</v>
      </c>
      <c r="M486" s="3" t="s">
        <v>973</v>
      </c>
      <c r="N486" s="3" t="n">
        <v>6</v>
      </c>
      <c r="O486" s="3" t="s">
        <v>100</v>
      </c>
      <c r="P486" s="3" t="s">
        <v>70</v>
      </c>
    </row>
    <row r="487" customFormat="false" ht="15" hidden="false" customHeight="false" outlineLevel="0" collapsed="false">
      <c r="A487" s="3" t="s">
        <v>970</v>
      </c>
      <c r="B487" s="3" t="s">
        <v>117</v>
      </c>
      <c r="C487" s="3" t="s">
        <v>118</v>
      </c>
      <c r="D487" s="4" t="n">
        <v>271.37</v>
      </c>
      <c r="E487" s="3" t="s">
        <v>60</v>
      </c>
      <c r="F487" s="3" t="n">
        <v>49.34</v>
      </c>
      <c r="G487" s="3" t="s">
        <v>60</v>
      </c>
      <c r="H487" s="3" t="s">
        <v>60</v>
      </c>
      <c r="I487" s="3" t="n">
        <v>35674400</v>
      </c>
      <c r="J487" s="3" t="n">
        <v>853100</v>
      </c>
      <c r="K487" s="3" t="s">
        <v>61</v>
      </c>
      <c r="L487" s="3" t="s">
        <v>62</v>
      </c>
      <c r="M487" s="3" t="s">
        <v>974</v>
      </c>
      <c r="N487" s="3" t="n">
        <v>3</v>
      </c>
      <c r="O487" s="3" t="s">
        <v>100</v>
      </c>
      <c r="P487" s="3" t="s">
        <v>70</v>
      </c>
    </row>
    <row r="488" customFormat="false" ht="15" hidden="false" customHeight="false" outlineLevel="0" collapsed="false">
      <c r="A488" s="3" t="s">
        <v>970</v>
      </c>
      <c r="B488" s="3" t="s">
        <v>142</v>
      </c>
      <c r="C488" s="3" t="s">
        <v>143</v>
      </c>
      <c r="D488" s="4" t="n">
        <v>1078</v>
      </c>
      <c r="E488" s="3" t="s">
        <v>60</v>
      </c>
      <c r="F488" s="3" t="n">
        <v>60.92</v>
      </c>
      <c r="G488" s="3" t="s">
        <v>60</v>
      </c>
      <c r="H488" s="3" t="s">
        <v>60</v>
      </c>
      <c r="I488" s="3" t="n">
        <v>12911250</v>
      </c>
      <c r="J488" s="3" t="n">
        <v>254100</v>
      </c>
      <c r="K488" s="3" t="s">
        <v>61</v>
      </c>
      <c r="L488" s="3" t="s">
        <v>62</v>
      </c>
      <c r="M488" s="3" t="s">
        <v>975</v>
      </c>
      <c r="N488" s="3" t="n">
        <v>4</v>
      </c>
      <c r="O488" s="3" t="s">
        <v>64</v>
      </c>
      <c r="P488" s="3" t="s">
        <v>65</v>
      </c>
    </row>
    <row r="489" customFormat="false" ht="15" hidden="false" customHeight="false" outlineLevel="0" collapsed="false">
      <c r="A489" s="3" t="s">
        <v>976</v>
      </c>
      <c r="B489" s="3" t="s">
        <v>708</v>
      </c>
      <c r="C489" s="3" t="s">
        <v>709</v>
      </c>
      <c r="D489" s="4" t="n">
        <v>6859.5</v>
      </c>
      <c r="E489" s="3" t="s">
        <v>60</v>
      </c>
      <c r="F489" s="3" t="n">
        <v>48.75</v>
      </c>
      <c r="G489" s="3" t="s">
        <v>60</v>
      </c>
      <c r="H489" s="3" t="s">
        <v>60</v>
      </c>
      <c r="I489" s="3" t="n">
        <v>2191000</v>
      </c>
      <c r="J489" s="3" t="n">
        <v>91000</v>
      </c>
      <c r="K489" s="3" t="s">
        <v>61</v>
      </c>
      <c r="L489" s="3" t="s">
        <v>62</v>
      </c>
      <c r="M489" s="3" t="s">
        <v>977</v>
      </c>
      <c r="N489" s="3" t="n">
        <v>1</v>
      </c>
      <c r="O489" s="3" t="s">
        <v>324</v>
      </c>
      <c r="P489" s="3" t="s">
        <v>70</v>
      </c>
    </row>
    <row r="490" customFormat="false" ht="15" hidden="false" customHeight="false" outlineLevel="0" collapsed="false">
      <c r="A490" s="3" t="s">
        <v>976</v>
      </c>
      <c r="B490" s="3" t="s">
        <v>182</v>
      </c>
      <c r="C490" s="3" t="s">
        <v>183</v>
      </c>
      <c r="D490" s="4" t="n">
        <v>1630</v>
      </c>
      <c r="E490" s="3" t="s">
        <v>60</v>
      </c>
      <c r="F490" s="3" t="n">
        <v>45.49</v>
      </c>
      <c r="G490" s="3" t="s">
        <v>60</v>
      </c>
      <c r="H490" s="3" t="s">
        <v>60</v>
      </c>
      <c r="I490" s="3" t="n">
        <v>8579475</v>
      </c>
      <c r="J490" s="3" t="n">
        <v>172550</v>
      </c>
      <c r="K490" s="3" t="s">
        <v>61</v>
      </c>
      <c r="L490" s="3" t="s">
        <v>62</v>
      </c>
      <c r="M490" s="3" t="s">
        <v>978</v>
      </c>
      <c r="N490" s="3" t="n">
        <v>4</v>
      </c>
      <c r="O490" s="3" t="s">
        <v>64</v>
      </c>
      <c r="P490" s="3" t="s">
        <v>65</v>
      </c>
    </row>
    <row r="491" customFormat="false" ht="15" hidden="false" customHeight="false" outlineLevel="0" collapsed="false">
      <c r="A491" s="3" t="s">
        <v>976</v>
      </c>
      <c r="B491" s="3" t="s">
        <v>309</v>
      </c>
      <c r="C491" s="3" t="s">
        <v>310</v>
      </c>
      <c r="D491" s="4" t="n">
        <v>5138.7</v>
      </c>
      <c r="E491" s="3" t="s">
        <v>60</v>
      </c>
      <c r="F491" s="3" t="n">
        <v>50.49</v>
      </c>
      <c r="G491" s="3" t="s">
        <v>60</v>
      </c>
      <c r="H491" s="3" t="s">
        <v>60</v>
      </c>
      <c r="I491" s="3" t="n">
        <v>3695800</v>
      </c>
      <c r="J491" s="3" t="n">
        <v>180600</v>
      </c>
      <c r="K491" s="3" t="s">
        <v>61</v>
      </c>
      <c r="L491" s="3" t="s">
        <v>62</v>
      </c>
      <c r="M491" s="3" t="s">
        <v>979</v>
      </c>
      <c r="N491" s="3" t="n">
        <v>2</v>
      </c>
      <c r="O491" s="3" t="s">
        <v>64</v>
      </c>
      <c r="P491" s="3" t="s">
        <v>65</v>
      </c>
    </row>
    <row r="492" customFormat="false" ht="15" hidden="false" customHeight="false" outlineLevel="0" collapsed="false">
      <c r="A492" s="3" t="s">
        <v>976</v>
      </c>
      <c r="B492" s="3" t="s">
        <v>868</v>
      </c>
      <c r="C492" s="3" t="s">
        <v>869</v>
      </c>
      <c r="D492" s="4" t="n">
        <v>5466.5</v>
      </c>
      <c r="E492" s="3" t="s">
        <v>60</v>
      </c>
      <c r="F492" s="3" t="n">
        <v>49.5</v>
      </c>
      <c r="G492" s="3" t="s">
        <v>60</v>
      </c>
      <c r="H492" s="3" t="s">
        <v>60</v>
      </c>
      <c r="I492" s="3" t="n">
        <v>3847500</v>
      </c>
      <c r="J492" s="3" t="n">
        <v>6750</v>
      </c>
      <c r="K492" s="3" t="s">
        <v>61</v>
      </c>
      <c r="L492" s="3" t="s">
        <v>62</v>
      </c>
      <c r="M492" s="3" t="s">
        <v>980</v>
      </c>
      <c r="N492" s="3" t="n">
        <v>2</v>
      </c>
      <c r="O492" s="3" t="s">
        <v>64</v>
      </c>
      <c r="P492" s="3" t="s">
        <v>65</v>
      </c>
    </row>
    <row r="493" customFormat="false" ht="15" hidden="false" customHeight="false" outlineLevel="0" collapsed="false">
      <c r="A493" s="3" t="s">
        <v>976</v>
      </c>
      <c r="B493" s="3" t="s">
        <v>901</v>
      </c>
      <c r="C493" s="3" t="s">
        <v>902</v>
      </c>
      <c r="D493" s="4" t="n">
        <v>955.25</v>
      </c>
      <c r="E493" s="3" t="s">
        <v>60</v>
      </c>
      <c r="F493" s="3" t="n">
        <v>47.19</v>
      </c>
      <c r="G493" s="3" t="s">
        <v>60</v>
      </c>
      <c r="H493" s="3" t="s">
        <v>60</v>
      </c>
      <c r="I493" s="3" t="n">
        <v>2027500</v>
      </c>
      <c r="J493" s="3" t="n">
        <v>296875</v>
      </c>
      <c r="K493" s="3" t="s">
        <v>61</v>
      </c>
      <c r="L493" s="3" t="s">
        <v>62</v>
      </c>
      <c r="M493" s="3" t="s">
        <v>981</v>
      </c>
      <c r="N493" s="3" t="n">
        <v>2</v>
      </c>
      <c r="O493" s="3" t="s">
        <v>64</v>
      </c>
      <c r="P493" s="3" t="s">
        <v>65</v>
      </c>
    </row>
    <row r="494" customFormat="false" ht="15" hidden="false" customHeight="false" outlineLevel="0" collapsed="false">
      <c r="A494" s="3" t="s">
        <v>976</v>
      </c>
      <c r="B494" s="3" t="s">
        <v>237</v>
      </c>
      <c r="C494" s="3" t="s">
        <v>238</v>
      </c>
      <c r="D494" s="4" t="n">
        <v>1763.5</v>
      </c>
      <c r="E494" s="3" t="s">
        <v>60</v>
      </c>
      <c r="F494" s="3" t="n">
        <v>58.5</v>
      </c>
      <c r="G494" s="3" t="s">
        <v>60</v>
      </c>
      <c r="H494" s="3" t="s">
        <v>60</v>
      </c>
      <c r="I494" s="3" t="n">
        <v>3864700</v>
      </c>
      <c r="J494" s="3" t="n">
        <v>49700</v>
      </c>
      <c r="K494" s="3" t="s">
        <v>61</v>
      </c>
      <c r="L494" s="3" t="s">
        <v>62</v>
      </c>
      <c r="M494" s="3" t="s">
        <v>982</v>
      </c>
      <c r="N494" s="3" t="n">
        <v>4</v>
      </c>
      <c r="O494" s="3" t="s">
        <v>64</v>
      </c>
      <c r="P494" s="3" t="s">
        <v>65</v>
      </c>
    </row>
    <row r="495" customFormat="false" ht="15" hidden="false" customHeight="false" outlineLevel="0" collapsed="false">
      <c r="A495" s="3" t="s">
        <v>976</v>
      </c>
      <c r="B495" s="3" t="s">
        <v>164</v>
      </c>
      <c r="C495" s="3" t="s">
        <v>165</v>
      </c>
      <c r="D495" s="4" t="n">
        <v>1357.1</v>
      </c>
      <c r="E495" s="3" t="s">
        <v>60</v>
      </c>
      <c r="F495" s="3" t="n">
        <v>64.54</v>
      </c>
      <c r="G495" s="3" t="s">
        <v>60</v>
      </c>
      <c r="H495" s="3" t="s">
        <v>60</v>
      </c>
      <c r="I495" s="3" t="n">
        <v>7936000</v>
      </c>
      <c r="J495" s="3" t="n">
        <v>193500</v>
      </c>
      <c r="K495" s="3" t="s">
        <v>61</v>
      </c>
      <c r="L495" s="3" t="s">
        <v>62</v>
      </c>
      <c r="M495" s="3" t="s">
        <v>983</v>
      </c>
      <c r="N495" s="3" t="n">
        <v>4</v>
      </c>
      <c r="O495" s="3" t="s">
        <v>64</v>
      </c>
      <c r="P495" s="3" t="s">
        <v>65</v>
      </c>
    </row>
    <row r="496" customFormat="false" ht="15" hidden="false" customHeight="false" outlineLevel="0" collapsed="false">
      <c r="A496" s="3" t="s">
        <v>976</v>
      </c>
      <c r="B496" s="3" t="s">
        <v>984</v>
      </c>
      <c r="C496" s="3" t="s">
        <v>985</v>
      </c>
      <c r="D496" s="4" t="n">
        <v>1268.2</v>
      </c>
      <c r="E496" s="3" t="s">
        <v>60</v>
      </c>
      <c r="F496" s="3" t="n">
        <v>62.54</v>
      </c>
      <c r="G496" s="3" t="s">
        <v>60</v>
      </c>
      <c r="H496" s="3" t="s">
        <v>60</v>
      </c>
      <c r="I496" s="3" t="n">
        <v>12624400</v>
      </c>
      <c r="J496" s="3" t="n">
        <v>42800</v>
      </c>
      <c r="K496" s="3" t="s">
        <v>61</v>
      </c>
      <c r="L496" s="3" t="s">
        <v>62</v>
      </c>
      <c r="M496" s="3" t="s">
        <v>986</v>
      </c>
      <c r="N496" s="3" t="n">
        <v>0</v>
      </c>
      <c r="O496" s="3" t="s">
        <v>64</v>
      </c>
      <c r="P496" s="3" t="s">
        <v>65</v>
      </c>
    </row>
    <row r="497" customFormat="false" ht="15" hidden="false" customHeight="false" outlineLevel="0" collapsed="false">
      <c r="A497" s="3" t="s">
        <v>987</v>
      </c>
      <c r="B497" s="3" t="s">
        <v>207</v>
      </c>
      <c r="C497" s="3" t="s">
        <v>208</v>
      </c>
      <c r="D497" s="4" t="n">
        <v>1056</v>
      </c>
      <c r="E497" s="3" t="s">
        <v>60</v>
      </c>
      <c r="F497" s="3" t="n">
        <v>58.54</v>
      </c>
      <c r="G497" s="3" t="s">
        <v>60</v>
      </c>
      <c r="H497" s="3" t="s">
        <v>60</v>
      </c>
      <c r="I497" s="3" t="n">
        <v>5137500</v>
      </c>
      <c r="J497" s="3" t="n">
        <v>113500</v>
      </c>
      <c r="K497" s="3" t="s">
        <v>61</v>
      </c>
      <c r="L497" s="3" t="s">
        <v>62</v>
      </c>
      <c r="M497" s="3" t="s">
        <v>988</v>
      </c>
      <c r="N497" s="3" t="n">
        <v>2</v>
      </c>
      <c r="O497" s="3" t="s">
        <v>64</v>
      </c>
      <c r="P497" s="3" t="s">
        <v>65</v>
      </c>
    </row>
    <row r="498" customFormat="false" ht="15" hidden="false" customHeight="false" outlineLevel="0" collapsed="false">
      <c r="A498" s="3" t="s">
        <v>987</v>
      </c>
      <c r="B498" s="3" t="s">
        <v>708</v>
      </c>
      <c r="C498" s="3" t="s">
        <v>709</v>
      </c>
      <c r="D498" s="4" t="n">
        <v>6873</v>
      </c>
      <c r="E498" s="3" t="s">
        <v>60</v>
      </c>
      <c r="F498" s="3" t="n">
        <v>50.7</v>
      </c>
      <c r="G498" s="3" t="s">
        <v>60</v>
      </c>
      <c r="H498" s="3" t="s">
        <v>60</v>
      </c>
      <c r="I498" s="3" t="n">
        <v>2260875</v>
      </c>
      <c r="J498" s="3" t="n">
        <v>43250</v>
      </c>
      <c r="K498" s="3" t="s">
        <v>61</v>
      </c>
      <c r="L498" s="3" t="s">
        <v>62</v>
      </c>
      <c r="M498" s="3" t="s">
        <v>989</v>
      </c>
      <c r="N498" s="3" t="n">
        <v>2</v>
      </c>
      <c r="O498" s="3" t="s">
        <v>64</v>
      </c>
      <c r="P498" s="3" t="s">
        <v>65</v>
      </c>
    </row>
    <row r="499" customFormat="false" ht="15" hidden="false" customHeight="false" outlineLevel="0" collapsed="false">
      <c r="A499" s="3" t="s">
        <v>987</v>
      </c>
      <c r="B499" s="3" t="s">
        <v>333</v>
      </c>
      <c r="C499" s="3" t="s">
        <v>334</v>
      </c>
      <c r="D499" s="4" t="n">
        <v>5575.5</v>
      </c>
      <c r="E499" s="3" t="s">
        <v>60</v>
      </c>
      <c r="F499" s="3" t="n">
        <v>60.22</v>
      </c>
      <c r="G499" s="3" t="s">
        <v>60</v>
      </c>
      <c r="H499" s="3" t="s">
        <v>60</v>
      </c>
      <c r="I499" s="3" t="n">
        <v>1152125</v>
      </c>
      <c r="J499" s="3" t="n">
        <v>8500</v>
      </c>
      <c r="K499" s="3" t="s">
        <v>61</v>
      </c>
      <c r="L499" s="3" t="s">
        <v>62</v>
      </c>
      <c r="M499" s="3" t="s">
        <v>990</v>
      </c>
      <c r="N499" s="3" t="n">
        <v>4</v>
      </c>
      <c r="O499" s="3" t="s">
        <v>64</v>
      </c>
      <c r="P499" s="3" t="s">
        <v>65</v>
      </c>
    </row>
    <row r="500" customFormat="false" ht="15" hidden="false" customHeight="false" outlineLevel="0" collapsed="false">
      <c r="A500" s="3" t="s">
        <v>987</v>
      </c>
      <c r="B500" s="3" t="s">
        <v>490</v>
      </c>
      <c r="C500" s="3" t="s">
        <v>491</v>
      </c>
      <c r="D500" s="4" t="n">
        <v>310.45</v>
      </c>
      <c r="E500" s="3" t="s">
        <v>60</v>
      </c>
      <c r="F500" s="3" t="n">
        <v>47.67</v>
      </c>
      <c r="G500" s="3" t="s">
        <v>60</v>
      </c>
      <c r="H500" s="3" t="s">
        <v>60</v>
      </c>
      <c r="I500" s="3" t="n">
        <v>50945125</v>
      </c>
      <c r="J500" s="3" t="n">
        <v>2212000</v>
      </c>
      <c r="K500" s="3" t="s">
        <v>61</v>
      </c>
      <c r="L500" s="3" t="s">
        <v>62</v>
      </c>
      <c r="M500" s="3" t="s">
        <v>991</v>
      </c>
      <c r="N500" s="3" t="n">
        <v>3</v>
      </c>
      <c r="O500" s="3" t="s">
        <v>64</v>
      </c>
      <c r="P500" s="3" t="s">
        <v>65</v>
      </c>
    </row>
    <row r="501" customFormat="false" ht="15" hidden="false" customHeight="false" outlineLevel="0" collapsed="false">
      <c r="A501" s="3" t="s">
        <v>987</v>
      </c>
      <c r="B501" s="3" t="s">
        <v>130</v>
      </c>
      <c r="C501" s="3" t="s">
        <v>131</v>
      </c>
      <c r="D501" s="4" t="n">
        <v>728.05</v>
      </c>
      <c r="E501" s="3" t="s">
        <v>60</v>
      </c>
      <c r="F501" s="3" t="n">
        <v>47</v>
      </c>
      <c r="G501" s="3" t="s">
        <v>60</v>
      </c>
      <c r="H501" s="3" t="s">
        <v>60</v>
      </c>
      <c r="I501" s="3" t="n">
        <v>6070500</v>
      </c>
      <c r="J501" s="3" t="n">
        <v>22500</v>
      </c>
      <c r="K501" s="3" t="s">
        <v>61</v>
      </c>
      <c r="L501" s="3" t="s">
        <v>62</v>
      </c>
      <c r="M501" s="3" t="s">
        <v>992</v>
      </c>
      <c r="N501" s="3" t="n">
        <v>2</v>
      </c>
      <c r="O501" s="3" t="s">
        <v>64</v>
      </c>
      <c r="P501" s="3" t="s">
        <v>65</v>
      </c>
    </row>
    <row r="502" customFormat="false" ht="15" hidden="false" customHeight="false" outlineLevel="0" collapsed="false">
      <c r="A502" s="3" t="s">
        <v>987</v>
      </c>
      <c r="B502" s="3" t="s">
        <v>809</v>
      </c>
      <c r="C502" s="3" t="s">
        <v>810</v>
      </c>
      <c r="D502" s="4" t="n">
        <v>748</v>
      </c>
      <c r="E502" s="3" t="s">
        <v>60</v>
      </c>
      <c r="F502" s="3" t="n">
        <v>47.27</v>
      </c>
      <c r="G502" s="3" t="s">
        <v>60</v>
      </c>
      <c r="H502" s="3" t="s">
        <v>60</v>
      </c>
      <c r="I502" s="3" t="n">
        <v>19529600</v>
      </c>
      <c r="J502" s="3" t="n">
        <v>499800</v>
      </c>
      <c r="K502" s="3" t="s">
        <v>61</v>
      </c>
      <c r="L502" s="3" t="s">
        <v>62</v>
      </c>
      <c r="M502" s="3" t="s">
        <v>993</v>
      </c>
      <c r="N502" s="3" t="n">
        <v>1</v>
      </c>
      <c r="O502" s="3" t="s">
        <v>64</v>
      </c>
      <c r="P502" s="3" t="s">
        <v>65</v>
      </c>
    </row>
    <row r="503" customFormat="false" ht="15" hidden="false" customHeight="false" outlineLevel="0" collapsed="false">
      <c r="A503" s="3" t="s">
        <v>987</v>
      </c>
      <c r="B503" s="3" t="s">
        <v>93</v>
      </c>
      <c r="C503" s="3" t="s">
        <v>94</v>
      </c>
      <c r="D503" s="4" t="n">
        <v>1974.6</v>
      </c>
      <c r="E503" s="3" t="s">
        <v>60</v>
      </c>
      <c r="F503" s="3" t="n">
        <v>64.72</v>
      </c>
      <c r="G503" s="3" t="s">
        <v>60</v>
      </c>
      <c r="H503" s="3" t="s">
        <v>60</v>
      </c>
      <c r="I503" s="3" t="n">
        <v>2496325</v>
      </c>
      <c r="J503" s="3" t="n">
        <v>650</v>
      </c>
      <c r="K503" s="3" t="s">
        <v>61</v>
      </c>
      <c r="L503" s="3" t="s">
        <v>62</v>
      </c>
      <c r="M503" s="3" t="s">
        <v>994</v>
      </c>
      <c r="N503" s="3" t="n">
        <v>4</v>
      </c>
      <c r="O503" s="3" t="s">
        <v>64</v>
      </c>
      <c r="P503" s="3" t="s">
        <v>65</v>
      </c>
    </row>
    <row r="504" customFormat="false" ht="15" hidden="false" customHeight="false" outlineLevel="0" collapsed="false">
      <c r="A504" s="3" t="s">
        <v>987</v>
      </c>
      <c r="B504" s="3" t="s">
        <v>74</v>
      </c>
      <c r="C504" s="3" t="s">
        <v>75</v>
      </c>
      <c r="D504" s="4" t="n">
        <v>1858</v>
      </c>
      <c r="E504" s="3" t="s">
        <v>60</v>
      </c>
      <c r="F504" s="3" t="n">
        <v>64.77</v>
      </c>
      <c r="G504" s="3" t="s">
        <v>60</v>
      </c>
      <c r="H504" s="3" t="s">
        <v>60</v>
      </c>
      <c r="I504" s="3" t="n">
        <v>5470725</v>
      </c>
      <c r="J504" s="3" t="n">
        <v>306800</v>
      </c>
      <c r="K504" s="3" t="s">
        <v>61</v>
      </c>
      <c r="L504" s="3" t="s">
        <v>62</v>
      </c>
      <c r="M504" s="3" t="s">
        <v>995</v>
      </c>
      <c r="N504" s="3" t="n">
        <v>2</v>
      </c>
      <c r="O504" s="3" t="s">
        <v>64</v>
      </c>
      <c r="P504" s="3" t="s">
        <v>65</v>
      </c>
    </row>
    <row r="505" customFormat="false" ht="15" hidden="false" customHeight="false" outlineLevel="0" collapsed="false">
      <c r="A505" s="3" t="s">
        <v>987</v>
      </c>
      <c r="B505" s="3" t="s">
        <v>917</v>
      </c>
      <c r="C505" s="3" t="s">
        <v>918</v>
      </c>
      <c r="D505" s="4" t="n">
        <v>4628.7</v>
      </c>
      <c r="E505" s="3" t="s">
        <v>60</v>
      </c>
      <c r="F505" s="3" t="n">
        <v>49.73</v>
      </c>
      <c r="G505" s="3" t="s">
        <v>60</v>
      </c>
      <c r="H505" s="3" t="s">
        <v>60</v>
      </c>
      <c r="I505" s="3" t="n">
        <v>4043100</v>
      </c>
      <c r="J505" s="3" t="n">
        <v>70050</v>
      </c>
      <c r="K505" s="3" t="s">
        <v>61</v>
      </c>
      <c r="L505" s="3" t="s">
        <v>62</v>
      </c>
      <c r="M505" s="3" t="s">
        <v>996</v>
      </c>
      <c r="N505" s="3" t="n">
        <v>1</v>
      </c>
      <c r="O505" s="3" t="s">
        <v>69</v>
      </c>
      <c r="P505" s="3" t="s">
        <v>70</v>
      </c>
    </row>
    <row r="506" customFormat="false" ht="15" hidden="false" customHeight="false" outlineLevel="0" collapsed="false">
      <c r="A506" s="3" t="s">
        <v>987</v>
      </c>
      <c r="B506" s="3" t="s">
        <v>633</v>
      </c>
      <c r="C506" s="3" t="s">
        <v>634</v>
      </c>
      <c r="D506" s="4" t="n">
        <v>36530</v>
      </c>
      <c r="E506" s="3" t="s">
        <v>60</v>
      </c>
      <c r="F506" s="3" t="n">
        <v>51.33</v>
      </c>
      <c r="G506" s="3" t="s">
        <v>60</v>
      </c>
      <c r="H506" s="3" t="s">
        <v>60</v>
      </c>
      <c r="I506" s="3" t="n">
        <v>353985</v>
      </c>
      <c r="J506" s="3" t="n">
        <v>12750</v>
      </c>
      <c r="K506" s="3" t="s">
        <v>61</v>
      </c>
      <c r="L506" s="3" t="s">
        <v>62</v>
      </c>
      <c r="M506" s="3" t="s">
        <v>997</v>
      </c>
      <c r="N506" s="3" t="n">
        <v>2</v>
      </c>
      <c r="O506" s="3" t="s">
        <v>64</v>
      </c>
      <c r="P506" s="3" t="s">
        <v>65</v>
      </c>
    </row>
    <row r="507" customFormat="false" ht="15" hidden="false" customHeight="false" outlineLevel="0" collapsed="false">
      <c r="A507" s="3" t="s">
        <v>987</v>
      </c>
      <c r="B507" s="3" t="s">
        <v>275</v>
      </c>
      <c r="C507" s="3" t="s">
        <v>276</v>
      </c>
      <c r="D507" s="4" t="n">
        <v>464.7</v>
      </c>
      <c r="E507" s="3" t="s">
        <v>60</v>
      </c>
      <c r="F507" s="3" t="n">
        <v>52.6</v>
      </c>
      <c r="G507" s="3" t="s">
        <v>60</v>
      </c>
      <c r="H507" s="3" t="s">
        <v>60</v>
      </c>
      <c r="I507" s="3" t="n">
        <v>33983100</v>
      </c>
      <c r="J507" s="3" t="n">
        <v>81900</v>
      </c>
      <c r="K507" s="3" t="s">
        <v>61</v>
      </c>
      <c r="L507" s="3" t="s">
        <v>62</v>
      </c>
      <c r="M507" s="3" t="s">
        <v>998</v>
      </c>
      <c r="N507" s="3" t="n">
        <v>2</v>
      </c>
      <c r="O507" s="3" t="s">
        <v>64</v>
      </c>
      <c r="P507" s="3" t="s">
        <v>65</v>
      </c>
    </row>
    <row r="508" customFormat="false" ht="15" hidden="false" customHeight="false" outlineLevel="0" collapsed="false">
      <c r="A508" s="3" t="s">
        <v>987</v>
      </c>
      <c r="B508" s="3" t="s">
        <v>876</v>
      </c>
      <c r="C508" s="3" t="s">
        <v>877</v>
      </c>
      <c r="D508" s="4" t="n">
        <v>3042.1</v>
      </c>
      <c r="E508" s="3" t="s">
        <v>60</v>
      </c>
      <c r="F508" s="3" t="n">
        <v>46.97</v>
      </c>
      <c r="G508" s="3" t="s">
        <v>60</v>
      </c>
      <c r="H508" s="3" t="s">
        <v>60</v>
      </c>
      <c r="I508" s="3" t="n">
        <v>2507050</v>
      </c>
      <c r="J508" s="3" t="n">
        <v>9275</v>
      </c>
      <c r="K508" s="3" t="s">
        <v>61</v>
      </c>
      <c r="L508" s="3" t="s">
        <v>62</v>
      </c>
      <c r="M508" s="3" t="s">
        <v>999</v>
      </c>
      <c r="N508" s="3" t="n">
        <v>1</v>
      </c>
      <c r="O508" s="3" t="s">
        <v>64</v>
      </c>
      <c r="P508" s="3" t="s">
        <v>65</v>
      </c>
    </row>
    <row r="509" customFormat="false" ht="15" hidden="false" customHeight="false" outlineLevel="0" collapsed="false">
      <c r="A509" s="3" t="s">
        <v>987</v>
      </c>
      <c r="B509" s="3" t="s">
        <v>441</v>
      </c>
      <c r="C509" s="3" t="s">
        <v>442</v>
      </c>
      <c r="D509" s="4" t="n">
        <v>866.55</v>
      </c>
      <c r="E509" s="3" t="s">
        <v>60</v>
      </c>
      <c r="F509" s="3" t="n">
        <v>57.19</v>
      </c>
      <c r="G509" s="3" t="s">
        <v>60</v>
      </c>
      <c r="H509" s="3" t="s">
        <v>60</v>
      </c>
      <c r="I509" s="3" t="n">
        <v>13009100</v>
      </c>
      <c r="J509" s="3" t="n">
        <v>247000</v>
      </c>
      <c r="K509" s="3" t="s">
        <v>61</v>
      </c>
      <c r="L509" s="3" t="s">
        <v>62</v>
      </c>
      <c r="M509" s="3" t="s">
        <v>1000</v>
      </c>
      <c r="N509" s="3" t="n">
        <v>3</v>
      </c>
      <c r="O509" s="3" t="s">
        <v>64</v>
      </c>
      <c r="P509" s="3" t="s">
        <v>65</v>
      </c>
    </row>
    <row r="510" customFormat="false" ht="15" hidden="false" customHeight="false" outlineLevel="0" collapsed="false">
      <c r="A510" s="3" t="s">
        <v>987</v>
      </c>
      <c r="B510" s="3" t="s">
        <v>550</v>
      </c>
      <c r="C510" s="3" t="s">
        <v>551</v>
      </c>
      <c r="D510" s="4" t="n">
        <v>1342.4</v>
      </c>
      <c r="E510" s="3" t="s">
        <v>60</v>
      </c>
      <c r="F510" s="3" t="n">
        <v>54.14</v>
      </c>
      <c r="G510" s="3" t="s">
        <v>60</v>
      </c>
      <c r="H510" s="3" t="s">
        <v>60</v>
      </c>
      <c r="I510" s="3" t="n">
        <v>6931800</v>
      </c>
      <c r="J510" s="3" t="n">
        <v>78300</v>
      </c>
      <c r="K510" s="3" t="s">
        <v>61</v>
      </c>
      <c r="L510" s="3" t="s">
        <v>62</v>
      </c>
      <c r="M510" s="3" t="s">
        <v>1001</v>
      </c>
      <c r="N510" s="3" t="n">
        <v>2</v>
      </c>
      <c r="O510" s="3" t="s">
        <v>64</v>
      </c>
      <c r="P510" s="3" t="s">
        <v>65</v>
      </c>
    </row>
    <row r="511" customFormat="false" ht="15" hidden="false" customHeight="false" outlineLevel="0" collapsed="false">
      <c r="A511" s="3" t="s">
        <v>987</v>
      </c>
      <c r="B511" s="3" t="s">
        <v>422</v>
      </c>
      <c r="C511" s="3" t="s">
        <v>423</v>
      </c>
      <c r="D511" s="4" t="n">
        <v>24965</v>
      </c>
      <c r="E511" s="3" t="s">
        <v>60</v>
      </c>
      <c r="F511" s="3" t="n">
        <v>65.49</v>
      </c>
      <c r="G511" s="3" t="s">
        <v>60</v>
      </c>
      <c r="H511" s="3" t="s">
        <v>60</v>
      </c>
      <c r="I511" s="3" t="n">
        <v>367150</v>
      </c>
      <c r="J511" s="3" t="n">
        <v>900</v>
      </c>
      <c r="K511" s="3" t="s">
        <v>61</v>
      </c>
      <c r="L511" s="3" t="s">
        <v>62</v>
      </c>
      <c r="M511" s="3" t="s">
        <v>1002</v>
      </c>
      <c r="N511" s="3" t="n">
        <v>1</v>
      </c>
      <c r="O511" s="3" t="s">
        <v>64</v>
      </c>
      <c r="P511" s="3" t="s">
        <v>65</v>
      </c>
    </row>
    <row r="512" customFormat="false" ht="15" hidden="false" customHeight="false" outlineLevel="0" collapsed="false">
      <c r="A512" s="3" t="s">
        <v>987</v>
      </c>
      <c r="B512" s="3" t="s">
        <v>156</v>
      </c>
      <c r="C512" s="3" t="s">
        <v>157</v>
      </c>
      <c r="D512" s="4" t="n">
        <v>1100.1</v>
      </c>
      <c r="E512" s="3" t="s">
        <v>60</v>
      </c>
      <c r="F512" s="3" t="n">
        <v>58.56</v>
      </c>
      <c r="G512" s="3" t="s">
        <v>60</v>
      </c>
      <c r="H512" s="3" t="s">
        <v>60</v>
      </c>
      <c r="I512" s="3" t="n">
        <v>4750350</v>
      </c>
      <c r="J512" s="3" t="n">
        <v>48950</v>
      </c>
      <c r="K512" s="3" t="s">
        <v>61</v>
      </c>
      <c r="L512" s="3" t="s">
        <v>62</v>
      </c>
      <c r="M512" s="3" t="s">
        <v>1003</v>
      </c>
      <c r="N512" s="3" t="n">
        <v>5</v>
      </c>
      <c r="O512" s="3" t="s">
        <v>64</v>
      </c>
      <c r="P512" s="3" t="s">
        <v>65</v>
      </c>
    </row>
    <row r="513" customFormat="false" ht="15" hidden="false" customHeight="false" outlineLevel="0" collapsed="false">
      <c r="A513" s="3" t="s">
        <v>987</v>
      </c>
      <c r="B513" s="3" t="s">
        <v>223</v>
      </c>
      <c r="C513" s="3" t="s">
        <v>224</v>
      </c>
      <c r="D513" s="4" t="n">
        <v>209.75</v>
      </c>
      <c r="E513" s="3" t="s">
        <v>60</v>
      </c>
      <c r="F513" s="3" t="n">
        <v>57.64</v>
      </c>
      <c r="G513" s="3" t="s">
        <v>60</v>
      </c>
      <c r="H513" s="3" t="s">
        <v>60</v>
      </c>
      <c r="I513" s="3" t="n">
        <v>217323000</v>
      </c>
      <c r="J513" s="3" t="n">
        <v>1464000</v>
      </c>
      <c r="K513" s="3" t="s">
        <v>61</v>
      </c>
      <c r="L513" s="3" t="s">
        <v>62</v>
      </c>
      <c r="M513" s="3" t="s">
        <v>1004</v>
      </c>
      <c r="N513" s="3" t="n">
        <v>3</v>
      </c>
      <c r="O513" s="3" t="s">
        <v>64</v>
      </c>
      <c r="P513" s="3" t="s">
        <v>65</v>
      </c>
    </row>
    <row r="514" customFormat="false" ht="15" hidden="false" customHeight="false" outlineLevel="0" collapsed="false">
      <c r="A514" s="3" t="s">
        <v>1005</v>
      </c>
      <c r="B514" s="3" t="s">
        <v>487</v>
      </c>
      <c r="C514" s="3" t="s">
        <v>488</v>
      </c>
      <c r="D514" s="4" t="n">
        <v>10205</v>
      </c>
      <c r="E514" s="3" t="s">
        <v>60</v>
      </c>
      <c r="F514" s="3" t="n">
        <v>48.97</v>
      </c>
      <c r="G514" s="3" t="s">
        <v>60</v>
      </c>
      <c r="H514" s="3" t="s">
        <v>60</v>
      </c>
      <c r="I514" s="3" t="n">
        <v>261500</v>
      </c>
      <c r="J514" s="3" t="n">
        <v>7950</v>
      </c>
      <c r="K514" s="3" t="s">
        <v>61</v>
      </c>
      <c r="L514" s="3" t="s">
        <v>62</v>
      </c>
      <c r="M514" s="3" t="s">
        <v>1006</v>
      </c>
      <c r="N514" s="3" t="n">
        <v>1</v>
      </c>
      <c r="O514" s="3" t="s">
        <v>64</v>
      </c>
      <c r="P514" s="3" t="s">
        <v>65</v>
      </c>
    </row>
    <row r="515" customFormat="false" ht="15" hidden="false" customHeight="false" outlineLevel="0" collapsed="false">
      <c r="A515" s="3" t="s">
        <v>1005</v>
      </c>
      <c r="B515" s="3" t="s">
        <v>1007</v>
      </c>
      <c r="C515" s="3" t="s">
        <v>1008</v>
      </c>
      <c r="D515" s="4" t="n">
        <v>309.26</v>
      </c>
      <c r="E515" s="3" t="s">
        <v>60</v>
      </c>
      <c r="F515" s="3" t="n">
        <v>45.39</v>
      </c>
      <c r="G515" s="3" t="s">
        <v>60</v>
      </c>
      <c r="H515" s="3" t="s">
        <v>60</v>
      </c>
      <c r="I515" s="3" t="n">
        <v>96017250</v>
      </c>
      <c r="J515" s="3" t="n">
        <v>3223500</v>
      </c>
      <c r="K515" s="3" t="s">
        <v>61</v>
      </c>
      <c r="L515" s="3" t="s">
        <v>62</v>
      </c>
      <c r="M515" s="3" t="s">
        <v>1009</v>
      </c>
      <c r="N515" s="3" t="n">
        <v>0</v>
      </c>
      <c r="O515" s="3" t="s">
        <v>64</v>
      </c>
      <c r="P515" s="3" t="s">
        <v>65</v>
      </c>
    </row>
    <row r="516" customFormat="false" ht="15" hidden="false" customHeight="false" outlineLevel="0" collapsed="false">
      <c r="A516" s="3" t="s">
        <v>1005</v>
      </c>
      <c r="B516" s="3" t="s">
        <v>917</v>
      </c>
      <c r="C516" s="3" t="s">
        <v>918</v>
      </c>
      <c r="D516" s="4" t="n">
        <v>4730</v>
      </c>
      <c r="E516" s="3" t="s">
        <v>60</v>
      </c>
      <c r="F516" s="3" t="n">
        <v>45.2</v>
      </c>
      <c r="G516" s="3" t="s">
        <v>60</v>
      </c>
      <c r="H516" s="3" t="s">
        <v>60</v>
      </c>
      <c r="I516" s="3" t="n">
        <v>4107600</v>
      </c>
      <c r="J516" s="3" t="n">
        <v>64500</v>
      </c>
      <c r="K516" s="3" t="s">
        <v>61</v>
      </c>
      <c r="L516" s="3" t="s">
        <v>62</v>
      </c>
      <c r="M516" s="3" t="s">
        <v>1010</v>
      </c>
      <c r="N516" s="3" t="n">
        <v>1</v>
      </c>
      <c r="O516" s="3" t="s">
        <v>100</v>
      </c>
      <c r="P516" s="3" t="s">
        <v>70</v>
      </c>
    </row>
    <row r="517" customFormat="false" ht="15" hidden="false" customHeight="false" outlineLevel="0" collapsed="false">
      <c r="A517" s="3" t="s">
        <v>1005</v>
      </c>
      <c r="B517" s="3" t="s">
        <v>388</v>
      </c>
      <c r="C517" s="3" t="s">
        <v>389</v>
      </c>
      <c r="D517" s="4" t="n">
        <v>1550.5</v>
      </c>
      <c r="E517" s="3" t="s">
        <v>60</v>
      </c>
      <c r="F517" s="3" t="n">
        <v>58.42</v>
      </c>
      <c r="G517" s="3" t="s">
        <v>60</v>
      </c>
      <c r="H517" s="3" t="s">
        <v>60</v>
      </c>
      <c r="I517" s="3" t="n">
        <v>8939000</v>
      </c>
      <c r="J517" s="3" t="n">
        <v>361900</v>
      </c>
      <c r="K517" s="3" t="s">
        <v>61</v>
      </c>
      <c r="L517" s="3" t="s">
        <v>62</v>
      </c>
      <c r="M517" s="3" t="s">
        <v>1011</v>
      </c>
      <c r="N517" s="3" t="n">
        <v>1</v>
      </c>
      <c r="O517" s="3" t="s">
        <v>64</v>
      </c>
      <c r="P517" s="3" t="s">
        <v>65</v>
      </c>
    </row>
    <row r="518" customFormat="false" ht="15" hidden="false" customHeight="false" outlineLevel="0" collapsed="false">
      <c r="A518" s="3" t="s">
        <v>1012</v>
      </c>
      <c r="B518" s="3" t="s">
        <v>207</v>
      </c>
      <c r="C518" s="3" t="s">
        <v>208</v>
      </c>
      <c r="D518" s="4" t="n">
        <v>1113.3</v>
      </c>
      <c r="E518" s="3" t="s">
        <v>60</v>
      </c>
      <c r="F518" s="3" t="n">
        <v>56.2</v>
      </c>
      <c r="G518" s="3" t="s">
        <v>60</v>
      </c>
      <c r="H518" s="3" t="s">
        <v>60</v>
      </c>
      <c r="I518" s="3" t="n">
        <v>5379500</v>
      </c>
      <c r="J518" s="3" t="n">
        <v>235500</v>
      </c>
      <c r="K518" s="3" t="s">
        <v>61</v>
      </c>
      <c r="L518" s="3" t="s">
        <v>62</v>
      </c>
      <c r="M518" s="3" t="s">
        <v>1013</v>
      </c>
      <c r="N518" s="3" t="n">
        <v>3</v>
      </c>
      <c r="O518" s="3" t="s">
        <v>64</v>
      </c>
      <c r="P518" s="3" t="s">
        <v>65</v>
      </c>
    </row>
    <row r="519" customFormat="false" ht="15" hidden="false" customHeight="false" outlineLevel="0" collapsed="false">
      <c r="A519" s="3" t="s">
        <v>1012</v>
      </c>
      <c r="B519" s="3" t="s">
        <v>1014</v>
      </c>
      <c r="C519" s="3" t="s">
        <v>1015</v>
      </c>
      <c r="D519" s="4" t="n">
        <v>1259.8</v>
      </c>
      <c r="E519" s="3" t="s">
        <v>60</v>
      </c>
      <c r="F519" s="3" t="n">
        <v>53.43</v>
      </c>
      <c r="G519" s="3" t="s">
        <v>60</v>
      </c>
      <c r="H519" s="3" t="s">
        <v>60</v>
      </c>
      <c r="I519" s="3" t="n">
        <v>19971225</v>
      </c>
      <c r="J519" s="3" t="n">
        <v>1577475</v>
      </c>
      <c r="K519" s="3" t="s">
        <v>61</v>
      </c>
      <c r="L519" s="3" t="s">
        <v>62</v>
      </c>
      <c r="M519" s="3" t="s">
        <v>1016</v>
      </c>
      <c r="N519" s="3" t="n">
        <v>0</v>
      </c>
      <c r="O519" s="3" t="s">
        <v>64</v>
      </c>
      <c r="P519" s="3" t="s">
        <v>65</v>
      </c>
    </row>
    <row r="520" customFormat="false" ht="15" hidden="false" customHeight="false" outlineLevel="0" collapsed="false">
      <c r="A520" s="3" t="s">
        <v>1012</v>
      </c>
      <c r="B520" s="3" t="s">
        <v>182</v>
      </c>
      <c r="C520" s="3" t="s">
        <v>183</v>
      </c>
      <c r="D520" s="4" t="n">
        <v>1605</v>
      </c>
      <c r="E520" s="3" t="s">
        <v>60</v>
      </c>
      <c r="F520" s="3" t="n">
        <v>53.08</v>
      </c>
      <c r="G520" s="3" t="s">
        <v>60</v>
      </c>
      <c r="H520" s="3" t="s">
        <v>60</v>
      </c>
      <c r="I520" s="3" t="n">
        <v>10654325</v>
      </c>
      <c r="J520" s="3" t="n">
        <v>189125</v>
      </c>
      <c r="K520" s="3" t="s">
        <v>61</v>
      </c>
      <c r="L520" s="3" t="s">
        <v>62</v>
      </c>
      <c r="M520" s="3" t="s">
        <v>1017</v>
      </c>
      <c r="N520" s="3" t="n">
        <v>5</v>
      </c>
      <c r="O520" s="3" t="s">
        <v>64</v>
      </c>
      <c r="P520" s="3" t="s">
        <v>65</v>
      </c>
    </row>
    <row r="521" customFormat="false" ht="15" hidden="false" customHeight="false" outlineLevel="0" collapsed="false">
      <c r="A521" s="3" t="s">
        <v>1012</v>
      </c>
      <c r="B521" s="3" t="s">
        <v>216</v>
      </c>
      <c r="C521" s="3" t="s">
        <v>217</v>
      </c>
      <c r="D521" s="4" t="n">
        <v>1240.8</v>
      </c>
      <c r="E521" s="3" t="s">
        <v>60</v>
      </c>
      <c r="F521" s="3" t="n">
        <v>71.99</v>
      </c>
      <c r="G521" s="3" t="s">
        <v>60</v>
      </c>
      <c r="H521" s="3" t="s">
        <v>60</v>
      </c>
      <c r="I521" s="3" t="n">
        <v>14026500</v>
      </c>
      <c r="J521" s="3" t="n">
        <v>49125</v>
      </c>
      <c r="K521" s="3" t="s">
        <v>61</v>
      </c>
      <c r="L521" s="3" t="s">
        <v>62</v>
      </c>
      <c r="M521" s="3" t="s">
        <v>1018</v>
      </c>
      <c r="N521" s="3" t="n">
        <v>5</v>
      </c>
      <c r="O521" s="3" t="s">
        <v>64</v>
      </c>
      <c r="P521" s="3" t="s">
        <v>65</v>
      </c>
    </row>
    <row r="522" customFormat="false" ht="15" hidden="false" customHeight="false" outlineLevel="0" collapsed="false">
      <c r="A522" s="3" t="s">
        <v>1012</v>
      </c>
      <c r="B522" s="3" t="s">
        <v>168</v>
      </c>
      <c r="C522" s="3" t="s">
        <v>169</v>
      </c>
      <c r="D522" s="4" t="n">
        <v>1235.7</v>
      </c>
      <c r="E522" s="3" t="s">
        <v>60</v>
      </c>
      <c r="F522" s="3" t="n">
        <v>68.56</v>
      </c>
      <c r="G522" s="3" t="s">
        <v>60</v>
      </c>
      <c r="H522" s="3" t="s">
        <v>60</v>
      </c>
      <c r="I522" s="3" t="n">
        <v>12841250</v>
      </c>
      <c r="J522" s="3" t="n">
        <v>99375</v>
      </c>
      <c r="K522" s="3" t="s">
        <v>61</v>
      </c>
      <c r="L522" s="3" t="s">
        <v>62</v>
      </c>
      <c r="M522" s="3" t="s">
        <v>1019</v>
      </c>
      <c r="N522" s="3" t="n">
        <v>1</v>
      </c>
      <c r="O522" s="3" t="s">
        <v>64</v>
      </c>
      <c r="P522" s="3" t="s">
        <v>65</v>
      </c>
    </row>
    <row r="523" customFormat="false" ht="15" hidden="false" customHeight="false" outlineLevel="0" collapsed="false">
      <c r="A523" s="3" t="s">
        <v>1012</v>
      </c>
      <c r="B523" s="3" t="s">
        <v>101</v>
      </c>
      <c r="C523" s="3" t="s">
        <v>102</v>
      </c>
      <c r="D523" s="4" t="n">
        <v>2792.4</v>
      </c>
      <c r="E523" s="3" t="s">
        <v>60</v>
      </c>
      <c r="F523" s="3" t="n">
        <v>49.23</v>
      </c>
      <c r="G523" s="3" t="s">
        <v>60</v>
      </c>
      <c r="H523" s="3" t="s">
        <v>60</v>
      </c>
      <c r="I523" s="3" t="n">
        <v>5465100</v>
      </c>
      <c r="J523" s="3" t="n">
        <v>16500</v>
      </c>
      <c r="K523" s="3" t="s">
        <v>61</v>
      </c>
      <c r="L523" s="3" t="s">
        <v>62</v>
      </c>
      <c r="M523" s="3" t="s">
        <v>1020</v>
      </c>
      <c r="N523" s="3" t="n">
        <v>4</v>
      </c>
      <c r="O523" s="3" t="s">
        <v>64</v>
      </c>
      <c r="P523" s="3" t="s">
        <v>65</v>
      </c>
    </row>
    <row r="524" customFormat="false" ht="15" hidden="false" customHeight="false" outlineLevel="0" collapsed="false">
      <c r="A524" s="3" t="s">
        <v>1012</v>
      </c>
      <c r="B524" s="3" t="s">
        <v>1021</v>
      </c>
      <c r="C524" s="3" t="s">
        <v>1022</v>
      </c>
      <c r="D524" s="4" t="n">
        <v>1902.8</v>
      </c>
      <c r="E524" s="3" t="s">
        <v>60</v>
      </c>
      <c r="F524" s="3" t="n">
        <v>48.58</v>
      </c>
      <c r="G524" s="3" t="s">
        <v>60</v>
      </c>
      <c r="H524" s="3" t="s">
        <v>60</v>
      </c>
      <c r="I524" s="3" t="n">
        <v>6307400</v>
      </c>
      <c r="J524" s="3" t="n">
        <v>128700</v>
      </c>
      <c r="K524" s="3" t="s">
        <v>61</v>
      </c>
      <c r="L524" s="3" t="s">
        <v>62</v>
      </c>
      <c r="M524" s="3" t="s">
        <v>1023</v>
      </c>
      <c r="N524" s="3" t="n">
        <v>0</v>
      </c>
      <c r="O524" s="3" t="s">
        <v>64</v>
      </c>
      <c r="P524" s="3" t="s">
        <v>65</v>
      </c>
    </row>
    <row r="525" customFormat="false" ht="15" hidden="false" customHeight="false" outlineLevel="0" collapsed="false">
      <c r="A525" s="3" t="s">
        <v>1012</v>
      </c>
      <c r="B525" s="3" t="s">
        <v>364</v>
      </c>
      <c r="C525" s="3" t="s">
        <v>365</v>
      </c>
      <c r="D525" s="4" t="n">
        <v>562</v>
      </c>
      <c r="E525" s="3" t="s">
        <v>60</v>
      </c>
      <c r="F525" s="3" t="n">
        <v>63.92</v>
      </c>
      <c r="G525" s="3" t="s">
        <v>60</v>
      </c>
      <c r="H525" s="3" t="s">
        <v>60</v>
      </c>
      <c r="I525" s="3" t="n">
        <v>19761700</v>
      </c>
      <c r="J525" s="3" t="n">
        <v>674325</v>
      </c>
      <c r="K525" s="3" t="s">
        <v>61</v>
      </c>
      <c r="L525" s="3" t="s">
        <v>62</v>
      </c>
      <c r="M525" s="3" t="s">
        <v>1024</v>
      </c>
      <c r="N525" s="3" t="n">
        <v>6</v>
      </c>
      <c r="O525" s="3" t="s">
        <v>64</v>
      </c>
      <c r="P525" s="3" t="s">
        <v>65</v>
      </c>
    </row>
    <row r="526" customFormat="false" ht="15" hidden="false" customHeight="false" outlineLevel="0" collapsed="false">
      <c r="A526" s="3" t="s">
        <v>1012</v>
      </c>
      <c r="B526" s="3" t="s">
        <v>525</v>
      </c>
      <c r="C526" s="3" t="s">
        <v>526</v>
      </c>
      <c r="D526" s="4" t="n">
        <v>243.86</v>
      </c>
      <c r="E526" s="3" t="s">
        <v>60</v>
      </c>
      <c r="F526" s="3" t="n">
        <v>62.37</v>
      </c>
      <c r="G526" s="3" t="s">
        <v>60</v>
      </c>
      <c r="H526" s="3" t="s">
        <v>60</v>
      </c>
      <c r="I526" s="3" t="n">
        <v>132995900</v>
      </c>
      <c r="J526" s="3" t="n">
        <v>7336700</v>
      </c>
      <c r="K526" s="3" t="s">
        <v>61</v>
      </c>
      <c r="L526" s="3" t="s">
        <v>62</v>
      </c>
      <c r="M526" s="3" t="s">
        <v>1025</v>
      </c>
      <c r="N526" s="3" t="n">
        <v>2</v>
      </c>
      <c r="O526" s="3" t="s">
        <v>64</v>
      </c>
      <c r="P526" s="3" t="s">
        <v>65</v>
      </c>
    </row>
    <row r="527" customFormat="false" ht="15" hidden="false" customHeight="false" outlineLevel="0" collapsed="false">
      <c r="A527" s="3" t="s">
        <v>1012</v>
      </c>
      <c r="B527" s="3" t="s">
        <v>901</v>
      </c>
      <c r="C527" s="3" t="s">
        <v>902</v>
      </c>
      <c r="D527" s="4" t="n">
        <v>1015.05</v>
      </c>
      <c r="E527" s="3" t="s">
        <v>60</v>
      </c>
      <c r="F527" s="3" t="n">
        <v>54.94</v>
      </c>
      <c r="G527" s="3" t="s">
        <v>60</v>
      </c>
      <c r="H527" s="3" t="s">
        <v>60</v>
      </c>
      <c r="I527" s="3" t="n">
        <v>2913750</v>
      </c>
      <c r="J527" s="3" t="n">
        <v>514375</v>
      </c>
      <c r="K527" s="3" t="s">
        <v>61</v>
      </c>
      <c r="L527" s="3" t="s">
        <v>62</v>
      </c>
      <c r="M527" s="3" t="s">
        <v>1026</v>
      </c>
      <c r="N527" s="3" t="n">
        <v>3</v>
      </c>
      <c r="O527" s="3" t="s">
        <v>64</v>
      </c>
      <c r="P527" s="3" t="s">
        <v>65</v>
      </c>
    </row>
    <row r="528" customFormat="false" ht="15" hidden="false" customHeight="false" outlineLevel="0" collapsed="false">
      <c r="A528" s="3" t="s">
        <v>1012</v>
      </c>
      <c r="B528" s="3" t="s">
        <v>845</v>
      </c>
      <c r="C528" s="3" t="s">
        <v>846</v>
      </c>
      <c r="D528" s="4" t="n">
        <v>83.56</v>
      </c>
      <c r="E528" s="3" t="s">
        <v>60</v>
      </c>
      <c r="F528" s="3" t="n">
        <v>59.75</v>
      </c>
      <c r="G528" s="3" t="s">
        <v>60</v>
      </c>
      <c r="H528" s="3" t="s">
        <v>60</v>
      </c>
      <c r="I528" s="3" t="n">
        <v>79686400</v>
      </c>
      <c r="J528" s="3" t="n">
        <v>7123200</v>
      </c>
      <c r="K528" s="3" t="s">
        <v>61</v>
      </c>
      <c r="L528" s="3" t="s">
        <v>62</v>
      </c>
      <c r="M528" s="3" t="s">
        <v>1027</v>
      </c>
      <c r="N528" s="3" t="n">
        <v>1</v>
      </c>
      <c r="O528" s="3" t="s">
        <v>64</v>
      </c>
      <c r="P528" s="3" t="s">
        <v>65</v>
      </c>
    </row>
    <row r="529" customFormat="false" ht="15" hidden="false" customHeight="false" outlineLevel="0" collapsed="false">
      <c r="A529" s="3" t="s">
        <v>1012</v>
      </c>
      <c r="B529" s="3" t="s">
        <v>275</v>
      </c>
      <c r="C529" s="3" t="s">
        <v>276</v>
      </c>
      <c r="D529" s="4" t="n">
        <v>468.3</v>
      </c>
      <c r="E529" s="3" t="s">
        <v>60</v>
      </c>
      <c r="F529" s="3" t="n">
        <v>51.62</v>
      </c>
      <c r="G529" s="3" t="s">
        <v>60</v>
      </c>
      <c r="H529" s="3" t="s">
        <v>60</v>
      </c>
      <c r="I529" s="3" t="n">
        <v>34015500</v>
      </c>
      <c r="J529" s="3" t="n">
        <v>221400</v>
      </c>
      <c r="K529" s="3" t="s">
        <v>61</v>
      </c>
      <c r="L529" s="3" t="s">
        <v>62</v>
      </c>
      <c r="M529" s="3" t="s">
        <v>1028</v>
      </c>
      <c r="N529" s="3" t="n">
        <v>3</v>
      </c>
      <c r="O529" s="3" t="s">
        <v>64</v>
      </c>
      <c r="P529" s="3" t="s">
        <v>65</v>
      </c>
    </row>
    <row r="530" customFormat="false" ht="15" hidden="false" customHeight="false" outlineLevel="0" collapsed="false">
      <c r="A530" s="3" t="s">
        <v>1012</v>
      </c>
      <c r="B530" s="3" t="s">
        <v>876</v>
      </c>
      <c r="C530" s="3" t="s">
        <v>877</v>
      </c>
      <c r="D530" s="4" t="n">
        <v>3139.7</v>
      </c>
      <c r="E530" s="3" t="s">
        <v>60</v>
      </c>
      <c r="F530" s="3" t="n">
        <v>48.84</v>
      </c>
      <c r="G530" s="3" t="s">
        <v>60</v>
      </c>
      <c r="H530" s="3" t="s">
        <v>60</v>
      </c>
      <c r="I530" s="3" t="n">
        <v>2497250</v>
      </c>
      <c r="J530" s="3" t="n">
        <v>54775</v>
      </c>
      <c r="K530" s="3" t="s">
        <v>61</v>
      </c>
      <c r="L530" s="3" t="s">
        <v>62</v>
      </c>
      <c r="M530" s="3" t="s">
        <v>1029</v>
      </c>
      <c r="N530" s="3" t="n">
        <v>2</v>
      </c>
      <c r="O530" s="3" t="s">
        <v>64</v>
      </c>
      <c r="P530" s="3" t="s">
        <v>65</v>
      </c>
    </row>
    <row r="531" customFormat="false" ht="15" hidden="false" customHeight="false" outlineLevel="0" collapsed="false">
      <c r="A531" s="3" t="s">
        <v>1012</v>
      </c>
      <c r="B531" s="3" t="s">
        <v>907</v>
      </c>
      <c r="C531" s="3" t="s">
        <v>908</v>
      </c>
      <c r="D531" s="4" t="n">
        <v>1034.6</v>
      </c>
      <c r="E531" s="3" t="s">
        <v>60</v>
      </c>
      <c r="F531" s="3" t="n">
        <v>62.13</v>
      </c>
      <c r="G531" s="3" t="s">
        <v>60</v>
      </c>
      <c r="H531" s="3" t="s">
        <v>60</v>
      </c>
      <c r="I531" s="3" t="n">
        <v>11199850</v>
      </c>
      <c r="J531" s="3" t="n">
        <v>1265000</v>
      </c>
      <c r="K531" s="3" t="s">
        <v>61</v>
      </c>
      <c r="L531" s="3" t="s">
        <v>62</v>
      </c>
      <c r="M531" s="3" t="s">
        <v>1030</v>
      </c>
      <c r="N531" s="3" t="n">
        <v>1</v>
      </c>
      <c r="O531" s="3" t="s">
        <v>64</v>
      </c>
      <c r="P531" s="3" t="s">
        <v>65</v>
      </c>
    </row>
    <row r="532" customFormat="false" ht="15" hidden="false" customHeight="false" outlineLevel="0" collapsed="false">
      <c r="A532" s="3" t="s">
        <v>1012</v>
      </c>
      <c r="B532" s="3" t="s">
        <v>740</v>
      </c>
      <c r="C532" s="3" t="s">
        <v>741</v>
      </c>
      <c r="D532" s="4" t="n">
        <v>3709</v>
      </c>
      <c r="E532" s="3" t="s">
        <v>60</v>
      </c>
      <c r="F532" s="3" t="n">
        <v>55.64</v>
      </c>
      <c r="G532" s="3" t="s">
        <v>60</v>
      </c>
      <c r="H532" s="3" t="s">
        <v>60</v>
      </c>
      <c r="I532" s="3" t="n">
        <v>2090550</v>
      </c>
      <c r="J532" s="3" t="n">
        <v>26600</v>
      </c>
      <c r="K532" s="3" t="s">
        <v>61</v>
      </c>
      <c r="L532" s="3" t="s">
        <v>62</v>
      </c>
      <c r="M532" s="3" t="s">
        <v>1031</v>
      </c>
      <c r="N532" s="3" t="n">
        <v>3</v>
      </c>
      <c r="O532" s="3" t="s">
        <v>64</v>
      </c>
      <c r="P532" s="3" t="s">
        <v>65</v>
      </c>
    </row>
    <row r="533" customFormat="false" ht="15" hidden="false" customHeight="false" outlineLevel="0" collapsed="false">
      <c r="A533" s="3" t="s">
        <v>1012</v>
      </c>
      <c r="B533" s="3" t="s">
        <v>1032</v>
      </c>
      <c r="C533" s="3" t="s">
        <v>1033</v>
      </c>
      <c r="D533" s="4" t="n">
        <v>118.95</v>
      </c>
      <c r="E533" s="3" t="s">
        <v>60</v>
      </c>
      <c r="F533" s="3" t="n">
        <v>69.19</v>
      </c>
      <c r="G533" s="3" t="s">
        <v>60</v>
      </c>
      <c r="H533" s="3" t="s">
        <v>60</v>
      </c>
      <c r="I533" s="3" t="n">
        <v>26738050</v>
      </c>
      <c r="J533" s="3" t="n">
        <v>3996400</v>
      </c>
      <c r="K533" s="3" t="s">
        <v>61</v>
      </c>
      <c r="L533" s="3" t="s">
        <v>62</v>
      </c>
      <c r="M533" s="3" t="s">
        <v>1034</v>
      </c>
      <c r="N533" s="3" t="n">
        <v>0</v>
      </c>
      <c r="O533" s="3" t="s">
        <v>64</v>
      </c>
      <c r="P533" s="3" t="s">
        <v>65</v>
      </c>
    </row>
    <row r="534" customFormat="false" ht="15" hidden="false" customHeight="false" outlineLevel="0" collapsed="false">
      <c r="A534" s="3" t="s">
        <v>1035</v>
      </c>
      <c r="B534" s="3" t="s">
        <v>1036</v>
      </c>
      <c r="C534" s="3" t="s">
        <v>1037</v>
      </c>
      <c r="D534" s="4" t="n">
        <v>8082.5</v>
      </c>
      <c r="E534" s="3" t="s">
        <v>60</v>
      </c>
      <c r="F534" s="3" t="n">
        <v>48.65</v>
      </c>
      <c r="G534" s="3" t="s">
        <v>60</v>
      </c>
      <c r="H534" s="3" t="s">
        <v>60</v>
      </c>
      <c r="I534" s="3" t="n">
        <v>1420500</v>
      </c>
      <c r="J534" s="3" t="n">
        <v>74175</v>
      </c>
      <c r="K534" s="3" t="s">
        <v>61</v>
      </c>
      <c r="L534" s="3" t="s">
        <v>62</v>
      </c>
      <c r="M534" s="3" t="s">
        <v>1038</v>
      </c>
      <c r="N534" s="3" t="n">
        <v>0</v>
      </c>
      <c r="O534" s="3" t="s">
        <v>64</v>
      </c>
      <c r="P534" s="3" t="s">
        <v>65</v>
      </c>
    </row>
    <row r="535" customFormat="false" ht="15" hidden="false" customHeight="false" outlineLevel="0" collapsed="false">
      <c r="A535" s="3" t="s">
        <v>1039</v>
      </c>
      <c r="B535" s="3" t="s">
        <v>245</v>
      </c>
      <c r="C535" s="3" t="s">
        <v>246</v>
      </c>
      <c r="D535" s="4" t="n">
        <v>2310.7</v>
      </c>
      <c r="E535" s="3" t="s">
        <v>60</v>
      </c>
      <c r="F535" s="3" t="n">
        <v>62.26</v>
      </c>
      <c r="G535" s="3" t="s">
        <v>60</v>
      </c>
      <c r="H535" s="3" t="s">
        <v>60</v>
      </c>
      <c r="I535" s="3" t="n">
        <v>17324100</v>
      </c>
      <c r="J535" s="3" t="n">
        <v>405900</v>
      </c>
      <c r="K535" s="3" t="s">
        <v>61</v>
      </c>
      <c r="L535" s="3" t="s">
        <v>62</v>
      </c>
      <c r="M535" s="3" t="s">
        <v>1040</v>
      </c>
      <c r="N535" s="3" t="n">
        <v>3</v>
      </c>
      <c r="O535" s="3" t="s">
        <v>64</v>
      </c>
      <c r="P535" s="3" t="s">
        <v>65</v>
      </c>
    </row>
    <row r="536" customFormat="false" ht="15" hidden="false" customHeight="false" outlineLevel="0" collapsed="false">
      <c r="A536" s="3" t="s">
        <v>1039</v>
      </c>
      <c r="B536" s="3" t="s">
        <v>901</v>
      </c>
      <c r="C536" s="3" t="s">
        <v>902</v>
      </c>
      <c r="D536" s="4" t="n">
        <v>1055.35</v>
      </c>
      <c r="E536" s="3" t="s">
        <v>60</v>
      </c>
      <c r="F536" s="3" t="n">
        <v>49.09</v>
      </c>
      <c r="G536" s="3" t="s">
        <v>60</v>
      </c>
      <c r="H536" s="3" t="s">
        <v>60</v>
      </c>
      <c r="I536" s="3" t="n">
        <v>3012500</v>
      </c>
      <c r="J536" s="3" t="n">
        <v>34375</v>
      </c>
      <c r="K536" s="3" t="s">
        <v>61</v>
      </c>
      <c r="L536" s="3" t="s">
        <v>62</v>
      </c>
      <c r="M536" s="3" t="s">
        <v>1041</v>
      </c>
      <c r="N536" s="3" t="n">
        <v>4</v>
      </c>
      <c r="O536" s="3" t="s">
        <v>64</v>
      </c>
      <c r="P536" s="3" t="s">
        <v>65</v>
      </c>
    </row>
    <row r="537" customFormat="false" ht="15" hidden="false" customHeight="false" outlineLevel="0" collapsed="false">
      <c r="A537" s="3" t="s">
        <v>1039</v>
      </c>
      <c r="B537" s="3" t="s">
        <v>237</v>
      </c>
      <c r="C537" s="3" t="s">
        <v>238</v>
      </c>
      <c r="D537" s="4" t="n">
        <v>1807</v>
      </c>
      <c r="E537" s="3" t="s">
        <v>60</v>
      </c>
      <c r="F537" s="3" t="n">
        <v>49.04</v>
      </c>
      <c r="G537" s="3" t="s">
        <v>60</v>
      </c>
      <c r="H537" s="3" t="s">
        <v>60</v>
      </c>
      <c r="I537" s="3" t="n">
        <v>3489850</v>
      </c>
      <c r="J537" s="3" t="n">
        <v>38850</v>
      </c>
      <c r="K537" s="3" t="s">
        <v>61</v>
      </c>
      <c r="L537" s="3" t="s">
        <v>62</v>
      </c>
      <c r="M537" s="3" t="s">
        <v>1042</v>
      </c>
      <c r="N537" s="3" t="n">
        <v>5</v>
      </c>
      <c r="O537" s="3" t="s">
        <v>64</v>
      </c>
      <c r="P537" s="3" t="s">
        <v>65</v>
      </c>
    </row>
    <row r="538" customFormat="false" ht="15" hidden="false" customHeight="false" outlineLevel="0" collapsed="false">
      <c r="A538" s="3" t="s">
        <v>1043</v>
      </c>
      <c r="B538" s="3" t="s">
        <v>403</v>
      </c>
      <c r="C538" s="3" t="s">
        <v>404</v>
      </c>
      <c r="D538" s="4" t="n">
        <v>562.15</v>
      </c>
      <c r="E538" s="3" t="s">
        <v>60</v>
      </c>
      <c r="F538" s="3" t="n">
        <v>57.86</v>
      </c>
      <c r="G538" s="3" t="s">
        <v>60</v>
      </c>
      <c r="H538" s="3" t="s">
        <v>60</v>
      </c>
      <c r="I538" s="3" t="n">
        <v>29218000</v>
      </c>
      <c r="J538" s="3" t="n">
        <v>173000</v>
      </c>
      <c r="K538" s="3" t="s">
        <v>61</v>
      </c>
      <c r="L538" s="3" t="s">
        <v>62</v>
      </c>
      <c r="M538" s="3" t="s">
        <v>1044</v>
      </c>
      <c r="N538" s="3" t="n">
        <v>2</v>
      </c>
      <c r="O538" s="3" t="s">
        <v>64</v>
      </c>
      <c r="P538" s="3" t="s">
        <v>65</v>
      </c>
    </row>
    <row r="539" customFormat="false" ht="15" hidden="false" customHeight="false" outlineLevel="0" collapsed="false">
      <c r="A539" s="3" t="s">
        <v>1043</v>
      </c>
      <c r="B539" s="3" t="s">
        <v>623</v>
      </c>
      <c r="C539" s="3" t="s">
        <v>624</v>
      </c>
      <c r="D539" s="4" t="n">
        <v>1778.7</v>
      </c>
      <c r="E539" s="3" t="s">
        <v>60</v>
      </c>
      <c r="F539" s="3" t="n">
        <v>75.46</v>
      </c>
      <c r="G539" s="3" t="s">
        <v>60</v>
      </c>
      <c r="H539" s="3" t="s">
        <v>60</v>
      </c>
      <c r="I539" s="3" t="n">
        <v>25634700</v>
      </c>
      <c r="J539" s="3" t="n">
        <v>658700</v>
      </c>
      <c r="K539" s="3" t="s">
        <v>61</v>
      </c>
      <c r="L539" s="3" t="s">
        <v>62</v>
      </c>
      <c r="M539" s="3" t="s">
        <v>1045</v>
      </c>
      <c r="N539" s="3" t="n">
        <v>5</v>
      </c>
      <c r="O539" s="3" t="s">
        <v>64</v>
      </c>
      <c r="P539" s="3" t="s">
        <v>65</v>
      </c>
    </row>
    <row r="540" customFormat="false" ht="15" hidden="false" customHeight="false" outlineLevel="0" collapsed="false">
      <c r="A540" s="3" t="s">
        <v>1046</v>
      </c>
      <c r="B540" s="3" t="s">
        <v>319</v>
      </c>
      <c r="C540" s="3" t="s">
        <v>320</v>
      </c>
      <c r="D540" s="4" t="n">
        <v>1562.9</v>
      </c>
      <c r="E540" s="3" t="s">
        <v>60</v>
      </c>
      <c r="F540" s="3" t="n">
        <v>49.44</v>
      </c>
      <c r="G540" s="3" t="s">
        <v>60</v>
      </c>
      <c r="H540" s="3" t="s">
        <v>60</v>
      </c>
      <c r="I540" s="3" t="n">
        <v>18895625</v>
      </c>
      <c r="J540" s="3" t="n">
        <v>1586875</v>
      </c>
      <c r="K540" s="3" t="s">
        <v>61</v>
      </c>
      <c r="L540" s="3" t="s">
        <v>62</v>
      </c>
      <c r="M540" s="3" t="s">
        <v>1047</v>
      </c>
      <c r="N540" s="3" t="n">
        <v>3</v>
      </c>
      <c r="O540" s="3" t="s">
        <v>64</v>
      </c>
      <c r="P540" s="3" t="s">
        <v>65</v>
      </c>
    </row>
    <row r="541" customFormat="false" ht="15" hidden="false" customHeight="false" outlineLevel="0" collapsed="false">
      <c r="A541" s="3" t="s">
        <v>1046</v>
      </c>
      <c r="B541" s="3" t="s">
        <v>234</v>
      </c>
      <c r="C541" s="3" t="s">
        <v>235</v>
      </c>
      <c r="D541" s="4" t="n">
        <v>383.3</v>
      </c>
      <c r="E541" s="3" t="s">
        <v>60</v>
      </c>
      <c r="F541" s="3" t="n">
        <v>64.9</v>
      </c>
      <c r="G541" s="3" t="s">
        <v>60</v>
      </c>
      <c r="H541" s="3" t="s">
        <v>60</v>
      </c>
      <c r="I541" s="3" t="n">
        <v>203606000</v>
      </c>
      <c r="J541" s="3" t="n">
        <v>6926000</v>
      </c>
      <c r="K541" s="3" t="s">
        <v>61</v>
      </c>
      <c r="L541" s="3" t="s">
        <v>62</v>
      </c>
      <c r="M541" s="3" t="s">
        <v>1048</v>
      </c>
      <c r="N541" s="3" t="n">
        <v>1</v>
      </c>
      <c r="O541" s="3" t="s">
        <v>64</v>
      </c>
      <c r="P541" s="3" t="s">
        <v>65</v>
      </c>
    </row>
    <row r="542" customFormat="false" ht="15" hidden="false" customHeight="false" outlineLevel="0" collapsed="false">
      <c r="A542" s="3" t="s">
        <v>1049</v>
      </c>
      <c r="B542" s="3" t="s">
        <v>207</v>
      </c>
      <c r="C542" s="3" t="s">
        <v>208</v>
      </c>
      <c r="D542" s="4" t="n">
        <v>1066.5</v>
      </c>
      <c r="E542" s="3" t="s">
        <v>60</v>
      </c>
      <c r="F542" s="3" t="n">
        <v>49.94</v>
      </c>
      <c r="G542" s="3" t="s">
        <v>60</v>
      </c>
      <c r="H542" s="3" t="s">
        <v>60</v>
      </c>
      <c r="I542" s="3" t="n">
        <v>4129000</v>
      </c>
      <c r="J542" s="3" t="n">
        <v>122500</v>
      </c>
      <c r="K542" s="3" t="s">
        <v>61</v>
      </c>
      <c r="L542" s="3" t="s">
        <v>62</v>
      </c>
      <c r="M542" s="3" t="s">
        <v>1050</v>
      </c>
      <c r="N542" s="3" t="n">
        <v>4</v>
      </c>
      <c r="O542" s="3" t="s">
        <v>64</v>
      </c>
      <c r="P542" s="3" t="s">
        <v>65</v>
      </c>
    </row>
    <row r="543" customFormat="false" ht="15" hidden="false" customHeight="false" outlineLevel="0" collapsed="false">
      <c r="A543" s="3" t="s">
        <v>1049</v>
      </c>
      <c r="B543" s="3" t="s">
        <v>210</v>
      </c>
      <c r="C543" s="3" t="s">
        <v>211</v>
      </c>
      <c r="D543" s="4" t="n">
        <v>1770.4</v>
      </c>
      <c r="E543" s="3" t="s">
        <v>60</v>
      </c>
      <c r="F543" s="3" t="n">
        <v>53.78</v>
      </c>
      <c r="G543" s="3" t="s">
        <v>60</v>
      </c>
      <c r="H543" s="3" t="s">
        <v>60</v>
      </c>
      <c r="I543" s="3" t="n">
        <v>10593500</v>
      </c>
      <c r="J543" s="3" t="n">
        <v>299500</v>
      </c>
      <c r="K543" s="3" t="s">
        <v>61</v>
      </c>
      <c r="L543" s="3" t="s">
        <v>62</v>
      </c>
      <c r="M543" s="3" t="s">
        <v>1051</v>
      </c>
      <c r="N543" s="3" t="n">
        <v>2</v>
      </c>
      <c r="O543" s="3" t="s">
        <v>64</v>
      </c>
      <c r="P543" s="3" t="s">
        <v>65</v>
      </c>
    </row>
    <row r="544" customFormat="false" ht="15" hidden="false" customHeight="false" outlineLevel="0" collapsed="false">
      <c r="A544" s="3" t="s">
        <v>1049</v>
      </c>
      <c r="B544" s="3" t="s">
        <v>260</v>
      </c>
      <c r="C544" s="3" t="s">
        <v>261</v>
      </c>
      <c r="D544" s="4" t="n">
        <v>98.9</v>
      </c>
      <c r="E544" s="3" t="s">
        <v>60</v>
      </c>
      <c r="F544" s="3" t="n">
        <v>50.37</v>
      </c>
      <c r="G544" s="3" t="s">
        <v>60</v>
      </c>
      <c r="H544" s="3" t="s">
        <v>60</v>
      </c>
      <c r="I544" s="3" t="n">
        <v>126986850</v>
      </c>
      <c r="J544" s="3" t="n">
        <v>104625</v>
      </c>
      <c r="K544" s="3" t="s">
        <v>61</v>
      </c>
      <c r="L544" s="3" t="s">
        <v>62</v>
      </c>
      <c r="M544" s="3" t="s">
        <v>1052</v>
      </c>
      <c r="N544" s="3" t="n">
        <v>5</v>
      </c>
      <c r="O544" s="3" t="s">
        <v>64</v>
      </c>
      <c r="P544" s="3" t="s">
        <v>65</v>
      </c>
    </row>
    <row r="545" customFormat="false" ht="15" hidden="false" customHeight="false" outlineLevel="0" collapsed="false">
      <c r="A545" s="3" t="s">
        <v>1049</v>
      </c>
      <c r="B545" s="3" t="s">
        <v>501</v>
      </c>
      <c r="C545" s="3" t="s">
        <v>502</v>
      </c>
      <c r="D545" s="4" t="n">
        <v>5058.3</v>
      </c>
      <c r="E545" s="3" t="s">
        <v>60</v>
      </c>
      <c r="F545" s="3" t="n">
        <v>46.85</v>
      </c>
      <c r="G545" s="3" t="s">
        <v>60</v>
      </c>
      <c r="H545" s="3" t="s">
        <v>60</v>
      </c>
      <c r="I545" s="3" t="n">
        <v>1660050</v>
      </c>
      <c r="J545" s="3" t="n">
        <v>36225</v>
      </c>
      <c r="K545" s="3" t="s">
        <v>61</v>
      </c>
      <c r="L545" s="3" t="s">
        <v>62</v>
      </c>
      <c r="M545" s="3" t="s">
        <v>1053</v>
      </c>
      <c r="N545" s="3" t="n">
        <v>3</v>
      </c>
      <c r="O545" s="3" t="s">
        <v>64</v>
      </c>
      <c r="P545" s="3" t="s">
        <v>65</v>
      </c>
    </row>
    <row r="546" customFormat="false" ht="15" hidden="false" customHeight="false" outlineLevel="0" collapsed="false">
      <c r="A546" s="3" t="s">
        <v>1049</v>
      </c>
      <c r="B546" s="3" t="s">
        <v>203</v>
      </c>
      <c r="C546" s="3" t="s">
        <v>204</v>
      </c>
      <c r="D546" s="4" t="n">
        <v>1166.4</v>
      </c>
      <c r="E546" s="3" t="s">
        <v>60</v>
      </c>
      <c r="F546" s="3" t="n">
        <v>46.55</v>
      </c>
      <c r="G546" s="3" t="s">
        <v>60</v>
      </c>
      <c r="H546" s="3" t="s">
        <v>60</v>
      </c>
      <c r="I546" s="3" t="n">
        <v>18000450</v>
      </c>
      <c r="J546" s="3" t="n">
        <v>116450</v>
      </c>
      <c r="K546" s="3" t="s">
        <v>61</v>
      </c>
      <c r="L546" s="3" t="s">
        <v>62</v>
      </c>
      <c r="M546" s="3" t="s">
        <v>1054</v>
      </c>
      <c r="N546" s="3" t="n">
        <v>2</v>
      </c>
      <c r="O546" s="3" t="s">
        <v>64</v>
      </c>
      <c r="P546" s="3" t="s">
        <v>65</v>
      </c>
    </row>
    <row r="547" customFormat="false" ht="15" hidden="false" customHeight="false" outlineLevel="0" collapsed="false">
      <c r="A547" s="3" t="s">
        <v>1055</v>
      </c>
      <c r="B547" s="3" t="s">
        <v>284</v>
      </c>
      <c r="C547" s="3" t="s">
        <v>285</v>
      </c>
      <c r="D547" s="4" t="n">
        <v>2417.9</v>
      </c>
      <c r="E547" s="3" t="s">
        <v>60</v>
      </c>
      <c r="F547" s="3" t="n">
        <v>52.27</v>
      </c>
      <c r="G547" s="3" t="s">
        <v>60</v>
      </c>
      <c r="H547" s="3" t="s">
        <v>60</v>
      </c>
      <c r="I547" s="3" t="n">
        <v>11182500</v>
      </c>
      <c r="J547" s="3" t="n">
        <v>9750</v>
      </c>
      <c r="K547" s="3" t="s">
        <v>61</v>
      </c>
      <c r="L547" s="3" t="s">
        <v>62</v>
      </c>
      <c r="M547" s="3" t="s">
        <v>1056</v>
      </c>
      <c r="N547" s="3" t="n">
        <v>3</v>
      </c>
      <c r="O547" s="3" t="s">
        <v>64</v>
      </c>
      <c r="P547" s="3" t="s">
        <v>65</v>
      </c>
    </row>
    <row r="548" customFormat="false" ht="15" hidden="false" customHeight="false" outlineLevel="0" collapsed="false">
      <c r="A548" s="3" t="s">
        <v>1055</v>
      </c>
      <c r="B548" s="3" t="s">
        <v>414</v>
      </c>
      <c r="C548" s="3" t="s">
        <v>415</v>
      </c>
      <c r="D548" s="4" t="n">
        <v>1351.1</v>
      </c>
      <c r="E548" s="3" t="s">
        <v>60</v>
      </c>
      <c r="F548" s="3" t="n">
        <v>58.32</v>
      </c>
      <c r="G548" s="3" t="s">
        <v>60</v>
      </c>
      <c r="H548" s="3" t="s">
        <v>60</v>
      </c>
      <c r="I548" s="3" t="n">
        <v>1263500</v>
      </c>
      <c r="J548" s="3" t="n">
        <v>52500</v>
      </c>
      <c r="K548" s="3" t="s">
        <v>61</v>
      </c>
      <c r="L548" s="3" t="s">
        <v>62</v>
      </c>
      <c r="M548" s="3" t="s">
        <v>1057</v>
      </c>
      <c r="N548" s="3" t="n">
        <v>2</v>
      </c>
      <c r="O548" s="3" t="s">
        <v>64</v>
      </c>
      <c r="P548" s="3" t="s">
        <v>65</v>
      </c>
    </row>
    <row r="549" customFormat="false" ht="15" hidden="false" customHeight="false" outlineLevel="0" collapsed="false">
      <c r="A549" s="3" t="s">
        <v>1058</v>
      </c>
      <c r="B549" s="3" t="s">
        <v>207</v>
      </c>
      <c r="C549" s="3" t="s">
        <v>208</v>
      </c>
      <c r="D549" s="4" t="n">
        <v>1084.1</v>
      </c>
      <c r="E549" s="3" t="s">
        <v>60</v>
      </c>
      <c r="F549" s="3" t="n">
        <v>68.22</v>
      </c>
      <c r="G549" s="3" t="s">
        <v>60</v>
      </c>
      <c r="H549" s="3" t="s">
        <v>60</v>
      </c>
      <c r="I549" s="3" t="n">
        <v>5074000</v>
      </c>
      <c r="J549" s="3" t="n">
        <v>459000</v>
      </c>
      <c r="K549" s="3" t="s">
        <v>61</v>
      </c>
      <c r="L549" s="3" t="s">
        <v>62</v>
      </c>
      <c r="M549" s="3" t="s">
        <v>1059</v>
      </c>
      <c r="N549" s="3" t="n">
        <v>5</v>
      </c>
      <c r="O549" s="3" t="s">
        <v>64</v>
      </c>
      <c r="P549" s="3" t="s">
        <v>65</v>
      </c>
    </row>
    <row r="550" customFormat="false" ht="15" hidden="false" customHeight="false" outlineLevel="0" collapsed="false">
      <c r="A550" s="3" t="s">
        <v>1058</v>
      </c>
      <c r="B550" s="3" t="s">
        <v>513</v>
      </c>
      <c r="C550" s="3" t="s">
        <v>514</v>
      </c>
      <c r="D550" s="4" t="n">
        <v>270.3</v>
      </c>
      <c r="E550" s="3" t="s">
        <v>60</v>
      </c>
      <c r="F550" s="3" t="n">
        <v>52.4</v>
      </c>
      <c r="G550" s="3" t="s">
        <v>60</v>
      </c>
      <c r="H550" s="3" t="s">
        <v>60</v>
      </c>
      <c r="I550" s="3" t="n">
        <v>105516450</v>
      </c>
      <c r="J550" s="3" t="n">
        <v>169650</v>
      </c>
      <c r="K550" s="3" t="s">
        <v>61</v>
      </c>
      <c r="L550" s="3" t="s">
        <v>62</v>
      </c>
      <c r="M550" s="3" t="s">
        <v>1060</v>
      </c>
      <c r="N550" s="3" t="n">
        <v>2</v>
      </c>
      <c r="O550" s="3" t="s">
        <v>64</v>
      </c>
      <c r="P550" s="3" t="s">
        <v>65</v>
      </c>
    </row>
    <row r="551" customFormat="false" ht="15" hidden="false" customHeight="false" outlineLevel="0" collapsed="false">
      <c r="A551" s="3" t="s">
        <v>1058</v>
      </c>
      <c r="B551" s="3" t="s">
        <v>399</v>
      </c>
      <c r="C551" s="3" t="s">
        <v>400</v>
      </c>
      <c r="D551" s="4" t="n">
        <v>606.35</v>
      </c>
      <c r="E551" s="3" t="s">
        <v>60</v>
      </c>
      <c r="F551" s="3" t="n">
        <v>66.78</v>
      </c>
      <c r="G551" s="3" t="s">
        <v>60</v>
      </c>
      <c r="H551" s="3" t="s">
        <v>60</v>
      </c>
      <c r="I551" s="3" t="n">
        <v>47158100</v>
      </c>
      <c r="J551" s="3" t="n">
        <v>7262200</v>
      </c>
      <c r="K551" s="3" t="s">
        <v>61</v>
      </c>
      <c r="L551" s="3" t="s">
        <v>62</v>
      </c>
      <c r="M551" s="3" t="s">
        <v>1061</v>
      </c>
      <c r="N551" s="3" t="n">
        <v>4</v>
      </c>
      <c r="O551" s="3" t="s">
        <v>69</v>
      </c>
      <c r="P551" s="3" t="s">
        <v>70</v>
      </c>
    </row>
    <row r="552" customFormat="false" ht="15" hidden="false" customHeight="false" outlineLevel="0" collapsed="false">
      <c r="A552" s="3" t="s">
        <v>1058</v>
      </c>
      <c r="B552" s="3" t="s">
        <v>104</v>
      </c>
      <c r="C552" s="3" t="s">
        <v>105</v>
      </c>
      <c r="D552" s="4" t="n">
        <v>399.2</v>
      </c>
      <c r="E552" s="3" t="s">
        <v>60</v>
      </c>
      <c r="F552" s="3" t="n">
        <v>45.02</v>
      </c>
      <c r="G552" s="3" t="s">
        <v>60</v>
      </c>
      <c r="H552" s="3" t="s">
        <v>60</v>
      </c>
      <c r="I552" s="3" t="n">
        <v>38065950</v>
      </c>
      <c r="J552" s="3" t="n">
        <v>771525</v>
      </c>
      <c r="K552" s="3" t="s">
        <v>61</v>
      </c>
      <c r="L552" s="3" t="s">
        <v>62</v>
      </c>
      <c r="M552" s="3" t="s">
        <v>1062</v>
      </c>
      <c r="N552" s="3" t="n">
        <v>3</v>
      </c>
      <c r="O552" s="3" t="s">
        <v>64</v>
      </c>
      <c r="P552" s="3" t="s">
        <v>65</v>
      </c>
    </row>
    <row r="553" customFormat="false" ht="15" hidden="false" customHeight="false" outlineLevel="0" collapsed="false">
      <c r="A553" s="3" t="s">
        <v>1058</v>
      </c>
      <c r="B553" s="3" t="s">
        <v>1063</v>
      </c>
      <c r="C553" s="3" t="s">
        <v>1064</v>
      </c>
      <c r="D553" s="4" t="n">
        <v>634.6</v>
      </c>
      <c r="E553" s="3" t="s">
        <v>60</v>
      </c>
      <c r="F553" s="3" t="n">
        <v>47.69</v>
      </c>
      <c r="G553" s="3" t="s">
        <v>60</v>
      </c>
      <c r="H553" s="3" t="s">
        <v>60</v>
      </c>
      <c r="I553" s="3" t="n">
        <v>34836550</v>
      </c>
      <c r="J553" s="3" t="n">
        <v>1385475</v>
      </c>
      <c r="K553" s="3" t="s">
        <v>61</v>
      </c>
      <c r="L553" s="3" t="s">
        <v>62</v>
      </c>
      <c r="M553" s="3" t="s">
        <v>1065</v>
      </c>
      <c r="N553" s="3" t="n">
        <v>0</v>
      </c>
      <c r="O553" s="3" t="s">
        <v>64</v>
      </c>
      <c r="P553" s="3" t="s">
        <v>65</v>
      </c>
    </row>
    <row r="554" customFormat="false" ht="15" hidden="false" customHeight="false" outlineLevel="0" collapsed="false">
      <c r="A554" s="3" t="s">
        <v>1058</v>
      </c>
      <c r="B554" s="3" t="s">
        <v>187</v>
      </c>
      <c r="C554" s="3" t="s">
        <v>188</v>
      </c>
      <c r="D554" s="4" t="n">
        <v>69.59</v>
      </c>
      <c r="E554" s="3" t="s">
        <v>60</v>
      </c>
      <c r="F554" s="3" t="n">
        <v>55.35</v>
      </c>
      <c r="G554" s="3" t="s">
        <v>60</v>
      </c>
      <c r="H554" s="3" t="s">
        <v>60</v>
      </c>
      <c r="I554" s="3" t="n">
        <v>373300200</v>
      </c>
      <c r="J554" s="3" t="n">
        <v>7837375</v>
      </c>
      <c r="K554" s="3" t="s">
        <v>61</v>
      </c>
      <c r="L554" s="3" t="s">
        <v>62</v>
      </c>
      <c r="M554" s="3" t="s">
        <v>1066</v>
      </c>
      <c r="N554" s="3" t="n">
        <v>1</v>
      </c>
      <c r="O554" s="3" t="s">
        <v>64</v>
      </c>
      <c r="P554" s="3" t="s">
        <v>65</v>
      </c>
    </row>
    <row r="555" customFormat="false" ht="15" hidden="false" customHeight="false" outlineLevel="0" collapsed="false">
      <c r="A555" s="3" t="s">
        <v>1058</v>
      </c>
      <c r="B555" s="3" t="s">
        <v>203</v>
      </c>
      <c r="C555" s="3" t="s">
        <v>204</v>
      </c>
      <c r="D555" s="4" t="n">
        <v>1177.6</v>
      </c>
      <c r="E555" s="3" t="s">
        <v>60</v>
      </c>
      <c r="F555" s="3" t="n">
        <v>47.2</v>
      </c>
      <c r="G555" s="3" t="s">
        <v>60</v>
      </c>
      <c r="H555" s="3" t="s">
        <v>60</v>
      </c>
      <c r="I555" s="3" t="n">
        <v>19695350</v>
      </c>
      <c r="J555" s="3" t="n">
        <v>640050</v>
      </c>
      <c r="K555" s="3" t="s">
        <v>61</v>
      </c>
      <c r="L555" s="3" t="s">
        <v>62</v>
      </c>
      <c r="M555" s="3" t="s">
        <v>1067</v>
      </c>
      <c r="N555" s="3" t="n">
        <v>3</v>
      </c>
      <c r="O555" s="3" t="s">
        <v>69</v>
      </c>
      <c r="P555" s="3" t="s">
        <v>70</v>
      </c>
    </row>
    <row r="556" customFormat="false" ht="15" hidden="false" customHeight="false" outlineLevel="0" collapsed="false">
      <c r="A556" s="3" t="s">
        <v>1058</v>
      </c>
      <c r="B556" s="3" t="s">
        <v>296</v>
      </c>
      <c r="C556" s="3" t="s">
        <v>297</v>
      </c>
      <c r="D556" s="4" t="n">
        <v>2442.9</v>
      </c>
      <c r="E556" s="3" t="s">
        <v>60</v>
      </c>
      <c r="F556" s="3" t="n">
        <v>48.31</v>
      </c>
      <c r="G556" s="3" t="s">
        <v>60</v>
      </c>
      <c r="H556" s="3" t="s">
        <v>60</v>
      </c>
      <c r="I556" s="3" t="n">
        <v>7273875</v>
      </c>
      <c r="J556" s="3" t="n">
        <v>327675</v>
      </c>
      <c r="K556" s="3" t="s">
        <v>61</v>
      </c>
      <c r="L556" s="3" t="s">
        <v>62</v>
      </c>
      <c r="M556" s="3" t="s">
        <v>1068</v>
      </c>
      <c r="N556" s="3" t="n">
        <v>4</v>
      </c>
      <c r="O556" s="3" t="s">
        <v>64</v>
      </c>
      <c r="P556" s="3" t="s">
        <v>65</v>
      </c>
    </row>
    <row r="557" customFormat="false" ht="15" hidden="false" customHeight="false" outlineLevel="0" collapsed="false">
      <c r="A557" s="3" t="s">
        <v>1058</v>
      </c>
      <c r="B557" s="3" t="s">
        <v>859</v>
      </c>
      <c r="C557" s="3" t="s">
        <v>860</v>
      </c>
      <c r="D557" s="4" t="n">
        <v>8415.5</v>
      </c>
      <c r="E557" s="3" t="s">
        <v>60</v>
      </c>
      <c r="F557" s="3" t="n">
        <v>46.19</v>
      </c>
      <c r="G557" s="3" t="s">
        <v>60</v>
      </c>
      <c r="H557" s="3" t="s">
        <v>60</v>
      </c>
      <c r="I557" s="3" t="n">
        <v>2023125</v>
      </c>
      <c r="J557" s="3" t="n">
        <v>72500</v>
      </c>
      <c r="K557" s="3" t="s">
        <v>61</v>
      </c>
      <c r="L557" s="3" t="s">
        <v>62</v>
      </c>
      <c r="M557" s="3" t="s">
        <v>1069</v>
      </c>
      <c r="N557" s="3" t="n">
        <v>2</v>
      </c>
      <c r="O557" s="3" t="s">
        <v>64</v>
      </c>
      <c r="P557" s="3" t="s">
        <v>65</v>
      </c>
    </row>
    <row r="558" customFormat="false" ht="15" hidden="false" customHeight="false" outlineLevel="0" collapsed="false">
      <c r="A558" s="3" t="s">
        <v>1058</v>
      </c>
      <c r="B558" s="3" t="s">
        <v>1070</v>
      </c>
      <c r="C558" s="3" t="s">
        <v>1071</v>
      </c>
      <c r="D558" s="4" t="n">
        <v>649.65</v>
      </c>
      <c r="E558" s="3" t="s">
        <v>60</v>
      </c>
      <c r="F558" s="3" t="n">
        <v>63.88</v>
      </c>
      <c r="G558" s="3" t="s">
        <v>60</v>
      </c>
      <c r="H558" s="3" t="s">
        <v>60</v>
      </c>
      <c r="I558" s="3" t="n">
        <v>22954400</v>
      </c>
      <c r="J558" s="3" t="n">
        <v>32800</v>
      </c>
      <c r="K558" s="3" t="s">
        <v>61</v>
      </c>
      <c r="L558" s="3" t="s">
        <v>62</v>
      </c>
      <c r="M558" s="3" t="s">
        <v>1072</v>
      </c>
      <c r="N558" s="3" t="n">
        <v>0</v>
      </c>
      <c r="O558" s="3" t="s">
        <v>64</v>
      </c>
      <c r="P558" s="3" t="s">
        <v>65</v>
      </c>
    </row>
    <row r="559" customFormat="false" ht="15" hidden="false" customHeight="false" outlineLevel="0" collapsed="false">
      <c r="A559" s="3" t="s">
        <v>1058</v>
      </c>
      <c r="B559" s="3" t="s">
        <v>422</v>
      </c>
      <c r="C559" s="3" t="s">
        <v>423</v>
      </c>
      <c r="D559" s="4" t="n">
        <v>24975</v>
      </c>
      <c r="E559" s="3" t="s">
        <v>60</v>
      </c>
      <c r="F559" s="3" t="n">
        <v>57.01</v>
      </c>
      <c r="G559" s="3" t="s">
        <v>60</v>
      </c>
      <c r="H559" s="3" t="s">
        <v>60</v>
      </c>
      <c r="I559" s="3" t="n">
        <v>440600</v>
      </c>
      <c r="J559" s="3" t="n">
        <v>22575</v>
      </c>
      <c r="K559" s="3" t="s">
        <v>61</v>
      </c>
      <c r="L559" s="3" t="s">
        <v>62</v>
      </c>
      <c r="M559" s="3" t="s">
        <v>1073</v>
      </c>
      <c r="N559" s="3" t="n">
        <v>2</v>
      </c>
      <c r="O559" s="3" t="s">
        <v>64</v>
      </c>
      <c r="P559" s="3" t="s">
        <v>65</v>
      </c>
    </row>
    <row r="560" customFormat="false" ht="15" hidden="false" customHeight="false" outlineLevel="0" collapsed="false">
      <c r="A560" s="3" t="s">
        <v>1074</v>
      </c>
      <c r="B560" s="3" t="s">
        <v>260</v>
      </c>
      <c r="C560" s="3" t="s">
        <v>261</v>
      </c>
      <c r="D560" s="4" t="n">
        <v>100.66</v>
      </c>
      <c r="E560" s="3" t="s">
        <v>60</v>
      </c>
      <c r="F560" s="3" t="n">
        <v>51.59</v>
      </c>
      <c r="G560" s="3" t="s">
        <v>60</v>
      </c>
      <c r="H560" s="3" t="s">
        <v>60</v>
      </c>
      <c r="I560" s="3" t="n">
        <v>132364575</v>
      </c>
      <c r="J560" s="3" t="n">
        <v>439425</v>
      </c>
      <c r="K560" s="3" t="s">
        <v>61</v>
      </c>
      <c r="L560" s="3" t="s">
        <v>62</v>
      </c>
      <c r="M560" s="3" t="s">
        <v>1075</v>
      </c>
      <c r="N560" s="3" t="n">
        <v>6</v>
      </c>
      <c r="O560" s="3" t="s">
        <v>64</v>
      </c>
      <c r="P560" s="3" t="s">
        <v>65</v>
      </c>
    </row>
    <row r="561" customFormat="false" ht="15" hidden="false" customHeight="false" outlineLevel="0" collapsed="false">
      <c r="A561" s="3" t="s">
        <v>1074</v>
      </c>
      <c r="B561" s="3" t="s">
        <v>399</v>
      </c>
      <c r="C561" s="3" t="s">
        <v>400</v>
      </c>
      <c r="D561" s="4" t="n">
        <v>625.4</v>
      </c>
      <c r="E561" s="3" t="s">
        <v>60</v>
      </c>
      <c r="F561" s="3" t="n">
        <v>54.48</v>
      </c>
      <c r="G561" s="3" t="s">
        <v>60</v>
      </c>
      <c r="H561" s="3" t="s">
        <v>60</v>
      </c>
      <c r="I561" s="3" t="n">
        <v>50521900</v>
      </c>
      <c r="J561" s="3" t="n">
        <v>3363800</v>
      </c>
      <c r="K561" s="3" t="s">
        <v>61</v>
      </c>
      <c r="L561" s="3" t="s">
        <v>62</v>
      </c>
      <c r="M561" s="3" t="s">
        <v>1076</v>
      </c>
      <c r="N561" s="3" t="n">
        <v>4</v>
      </c>
      <c r="O561" s="3" t="s">
        <v>100</v>
      </c>
      <c r="P561" s="3" t="s">
        <v>70</v>
      </c>
    </row>
    <row r="562" customFormat="false" ht="15" hidden="false" customHeight="false" outlineLevel="0" collapsed="false">
      <c r="A562" s="3" t="s">
        <v>1074</v>
      </c>
      <c r="B562" s="3" t="s">
        <v>203</v>
      </c>
      <c r="C562" s="3" t="s">
        <v>204</v>
      </c>
      <c r="D562" s="4" t="n">
        <v>1206.5</v>
      </c>
      <c r="E562" s="3" t="s">
        <v>60</v>
      </c>
      <c r="F562" s="3" t="n">
        <v>45.57</v>
      </c>
      <c r="G562" s="3" t="s">
        <v>60</v>
      </c>
      <c r="H562" s="3" t="s">
        <v>60</v>
      </c>
      <c r="I562" s="3" t="n">
        <v>19877250</v>
      </c>
      <c r="J562" s="3" t="n">
        <v>181900</v>
      </c>
      <c r="K562" s="3" t="s">
        <v>61</v>
      </c>
      <c r="L562" s="3" t="s">
        <v>62</v>
      </c>
      <c r="M562" s="3" t="s">
        <v>1077</v>
      </c>
      <c r="N562" s="3" t="n">
        <v>3</v>
      </c>
      <c r="O562" s="3" t="s">
        <v>100</v>
      </c>
      <c r="P562" s="3" t="s">
        <v>70</v>
      </c>
    </row>
    <row r="563" customFormat="false" ht="15" hidden="false" customHeight="false" outlineLevel="0" collapsed="false">
      <c r="A563" s="3" t="s">
        <v>1074</v>
      </c>
      <c r="B563" s="3" t="s">
        <v>480</v>
      </c>
      <c r="C563" s="3" t="s">
        <v>481</v>
      </c>
      <c r="D563" s="4" t="n">
        <v>13770</v>
      </c>
      <c r="E563" s="3" t="s">
        <v>60</v>
      </c>
      <c r="F563" s="3" t="n">
        <v>48.85</v>
      </c>
      <c r="G563" s="3" t="s">
        <v>60</v>
      </c>
      <c r="H563" s="3" t="s">
        <v>60</v>
      </c>
      <c r="I563" s="3" t="n">
        <v>2550650</v>
      </c>
      <c r="J563" s="3" t="n">
        <v>23650</v>
      </c>
      <c r="K563" s="3" t="s">
        <v>61</v>
      </c>
      <c r="L563" s="3" t="s">
        <v>62</v>
      </c>
      <c r="M563" s="3" t="s">
        <v>1078</v>
      </c>
      <c r="N563" s="3" t="n">
        <v>1</v>
      </c>
      <c r="O563" s="3" t="s">
        <v>64</v>
      </c>
      <c r="P563" s="3" t="s">
        <v>65</v>
      </c>
    </row>
    <row r="564" customFormat="false" ht="15" hidden="false" customHeight="false" outlineLevel="0" collapsed="false">
      <c r="A564" s="3" t="s">
        <v>1074</v>
      </c>
      <c r="B564" s="3" t="s">
        <v>414</v>
      </c>
      <c r="C564" s="3" t="s">
        <v>415</v>
      </c>
      <c r="D564" s="4" t="n">
        <v>1474.5</v>
      </c>
      <c r="E564" s="3" t="s">
        <v>60</v>
      </c>
      <c r="F564" s="3" t="n">
        <v>45.18</v>
      </c>
      <c r="G564" s="3" t="s">
        <v>60</v>
      </c>
      <c r="H564" s="3" t="s">
        <v>60</v>
      </c>
      <c r="I564" s="3" t="n">
        <v>1262000</v>
      </c>
      <c r="J564" s="3" t="n">
        <v>19000</v>
      </c>
      <c r="K564" s="3" t="s">
        <v>61</v>
      </c>
      <c r="L564" s="3" t="s">
        <v>62</v>
      </c>
      <c r="M564" s="3" t="s">
        <v>1079</v>
      </c>
      <c r="N564" s="3" t="n">
        <v>3</v>
      </c>
      <c r="O564" s="3" t="s">
        <v>64</v>
      </c>
      <c r="P564" s="3" t="s">
        <v>65</v>
      </c>
    </row>
    <row r="565" customFormat="false" ht="15" hidden="false" customHeight="false" outlineLevel="0" collapsed="false">
      <c r="A565" s="3" t="s">
        <v>1074</v>
      </c>
      <c r="B565" s="3" t="s">
        <v>164</v>
      </c>
      <c r="C565" s="3" t="s">
        <v>165</v>
      </c>
      <c r="D565" s="4" t="n">
        <v>1450.4</v>
      </c>
      <c r="E565" s="3" t="s">
        <v>60</v>
      </c>
      <c r="F565" s="3" t="n">
        <v>46.73</v>
      </c>
      <c r="G565" s="3" t="s">
        <v>60</v>
      </c>
      <c r="H565" s="3" t="s">
        <v>60</v>
      </c>
      <c r="I565" s="3" t="n">
        <v>7809000</v>
      </c>
      <c r="J565" s="3" t="n">
        <v>184000</v>
      </c>
      <c r="K565" s="3" t="s">
        <v>61</v>
      </c>
      <c r="L565" s="3" t="s">
        <v>62</v>
      </c>
      <c r="M565" s="3" t="s">
        <v>1080</v>
      </c>
      <c r="N565" s="3" t="n">
        <v>5</v>
      </c>
      <c r="O565" s="3" t="s">
        <v>64</v>
      </c>
      <c r="P565" s="3" t="s">
        <v>65</v>
      </c>
    </row>
    <row r="566" customFormat="false" ht="15" hidden="false" customHeight="false" outlineLevel="0" collapsed="false">
      <c r="A566" s="3" t="s">
        <v>1081</v>
      </c>
      <c r="B566" s="3" t="s">
        <v>71</v>
      </c>
      <c r="C566" s="3" t="s">
        <v>72</v>
      </c>
      <c r="D566" s="4" t="n">
        <v>952.35</v>
      </c>
      <c r="E566" s="3" t="s">
        <v>60</v>
      </c>
      <c r="F566" s="3" t="n">
        <v>53.27</v>
      </c>
      <c r="G566" s="3" t="s">
        <v>60</v>
      </c>
      <c r="H566" s="3" t="s">
        <v>60</v>
      </c>
      <c r="I566" s="3" t="n">
        <v>7612050</v>
      </c>
      <c r="J566" s="3" t="n">
        <v>139500</v>
      </c>
      <c r="K566" s="3" t="s">
        <v>61</v>
      </c>
      <c r="L566" s="3" t="s">
        <v>62</v>
      </c>
      <c r="M566" s="3" t="s">
        <v>1082</v>
      </c>
      <c r="N566" s="3" t="n">
        <v>1</v>
      </c>
      <c r="O566" s="3" t="s">
        <v>64</v>
      </c>
      <c r="P566" s="3" t="s">
        <v>65</v>
      </c>
    </row>
    <row r="567" customFormat="false" ht="15" hidden="false" customHeight="false" outlineLevel="0" collapsed="false">
      <c r="A567" s="3" t="s">
        <v>1081</v>
      </c>
      <c r="B567" s="3" t="s">
        <v>142</v>
      </c>
      <c r="C567" s="3" t="s">
        <v>143</v>
      </c>
      <c r="D567" s="4" t="n">
        <v>1176.2</v>
      </c>
      <c r="E567" s="3" t="s">
        <v>60</v>
      </c>
      <c r="F567" s="3" t="n">
        <v>48.02</v>
      </c>
      <c r="G567" s="3" t="s">
        <v>60</v>
      </c>
      <c r="H567" s="3" t="s">
        <v>60</v>
      </c>
      <c r="I567" s="3" t="n">
        <v>9281250</v>
      </c>
      <c r="J567" s="3" t="n">
        <v>292600</v>
      </c>
      <c r="K567" s="3" t="s">
        <v>61</v>
      </c>
      <c r="L567" s="3" t="s">
        <v>62</v>
      </c>
      <c r="M567" s="3" t="s">
        <v>1083</v>
      </c>
      <c r="N567" s="3" t="n">
        <v>5</v>
      </c>
      <c r="O567" s="3" t="s">
        <v>64</v>
      </c>
      <c r="P567" s="3" t="s">
        <v>65</v>
      </c>
    </row>
    <row r="568" customFormat="false" ht="15" hidden="false" customHeight="false" outlineLevel="0" collapsed="false">
      <c r="A568" s="3" t="s">
        <v>1084</v>
      </c>
      <c r="B568" s="3" t="s">
        <v>199</v>
      </c>
      <c r="C568" s="3" t="s">
        <v>200</v>
      </c>
      <c r="D568" s="4" t="n">
        <v>390.45</v>
      </c>
      <c r="E568" s="3" t="s">
        <v>60</v>
      </c>
      <c r="F568" s="3" t="n">
        <v>46.83</v>
      </c>
      <c r="G568" s="3" t="s">
        <v>60</v>
      </c>
      <c r="H568" s="3" t="s">
        <v>60</v>
      </c>
      <c r="I568" s="3" t="n">
        <v>31352500</v>
      </c>
      <c r="J568" s="3" t="n">
        <v>2050000</v>
      </c>
      <c r="K568" s="3" t="s">
        <v>61</v>
      </c>
      <c r="L568" s="3" t="s">
        <v>62</v>
      </c>
      <c r="M568" s="3" t="s">
        <v>1085</v>
      </c>
      <c r="N568" s="3" t="n">
        <v>7</v>
      </c>
      <c r="O568" s="3" t="s">
        <v>64</v>
      </c>
      <c r="P568" s="3" t="s">
        <v>65</v>
      </c>
    </row>
    <row r="569" customFormat="false" ht="15" hidden="false" customHeight="false" outlineLevel="0" collapsed="false">
      <c r="A569" s="3" t="s">
        <v>1084</v>
      </c>
      <c r="B569" s="3" t="s">
        <v>139</v>
      </c>
      <c r="C569" s="3" t="s">
        <v>140</v>
      </c>
      <c r="D569" s="4" t="n">
        <v>2468.8</v>
      </c>
      <c r="E569" s="3" t="s">
        <v>60</v>
      </c>
      <c r="F569" s="3" t="n">
        <v>49.77</v>
      </c>
      <c r="G569" s="3" t="s">
        <v>60</v>
      </c>
      <c r="H569" s="3" t="s">
        <v>60</v>
      </c>
      <c r="I569" s="3" t="n">
        <v>3910275</v>
      </c>
      <c r="J569" s="3" t="n">
        <v>178200</v>
      </c>
      <c r="K569" s="3" t="s">
        <v>61</v>
      </c>
      <c r="L569" s="3" t="s">
        <v>62</v>
      </c>
      <c r="M569" s="3" t="s">
        <v>1086</v>
      </c>
      <c r="N569" s="3" t="n">
        <v>5</v>
      </c>
      <c r="O569" s="3" t="s">
        <v>64</v>
      </c>
      <c r="P569" s="3" t="s">
        <v>65</v>
      </c>
    </row>
    <row r="570" customFormat="false" ht="15" hidden="false" customHeight="false" outlineLevel="0" collapsed="false">
      <c r="A570" s="3" t="s">
        <v>1084</v>
      </c>
      <c r="B570" s="3" t="s">
        <v>453</v>
      </c>
      <c r="C570" s="3" t="s">
        <v>454</v>
      </c>
      <c r="D570" s="4" t="n">
        <v>593.55</v>
      </c>
      <c r="E570" s="3" t="s">
        <v>60</v>
      </c>
      <c r="F570" s="3" t="n">
        <v>54.7</v>
      </c>
      <c r="G570" s="3" t="s">
        <v>60</v>
      </c>
      <c r="H570" s="3" t="s">
        <v>60</v>
      </c>
      <c r="I570" s="3" t="n">
        <v>16042600</v>
      </c>
      <c r="J570" s="3" t="n">
        <v>676200</v>
      </c>
      <c r="K570" s="3" t="s">
        <v>61</v>
      </c>
      <c r="L570" s="3" t="s">
        <v>62</v>
      </c>
      <c r="M570" s="3" t="s">
        <v>1087</v>
      </c>
      <c r="N570" s="3" t="n">
        <v>5</v>
      </c>
      <c r="O570" s="3" t="s">
        <v>64</v>
      </c>
      <c r="P570" s="3" t="s">
        <v>65</v>
      </c>
    </row>
    <row r="571" customFormat="false" ht="15" hidden="false" customHeight="false" outlineLevel="0" collapsed="false">
      <c r="A571" s="3" t="s">
        <v>1088</v>
      </c>
      <c r="B571" s="3" t="s">
        <v>126</v>
      </c>
      <c r="C571" s="3" t="s">
        <v>127</v>
      </c>
      <c r="D571" s="4" t="n">
        <v>305.05</v>
      </c>
      <c r="E571" s="3" t="s">
        <v>60</v>
      </c>
      <c r="F571" s="3" t="n">
        <v>46.53</v>
      </c>
      <c r="G571" s="3" t="s">
        <v>60</v>
      </c>
      <c r="H571" s="3" t="s">
        <v>60</v>
      </c>
      <c r="I571" s="3" t="n">
        <v>30437050</v>
      </c>
      <c r="J571" s="3" t="n">
        <v>2961250</v>
      </c>
      <c r="K571" s="3" t="s">
        <v>61</v>
      </c>
      <c r="L571" s="3" t="s">
        <v>62</v>
      </c>
      <c r="M571" s="3" t="s">
        <v>1089</v>
      </c>
      <c r="N571" s="3" t="n">
        <v>2</v>
      </c>
      <c r="O571" s="3" t="s">
        <v>64</v>
      </c>
      <c r="P571" s="3" t="s">
        <v>65</v>
      </c>
    </row>
    <row r="572" customFormat="false" ht="15" hidden="false" customHeight="false" outlineLevel="0" collapsed="false">
      <c r="A572" s="3" t="s">
        <v>1090</v>
      </c>
      <c r="B572" s="3" t="s">
        <v>380</v>
      </c>
      <c r="C572" s="3" t="s">
        <v>381</v>
      </c>
      <c r="D572" s="4" t="n">
        <v>1497.5</v>
      </c>
      <c r="E572" s="3" t="s">
        <v>60</v>
      </c>
      <c r="F572" s="3" t="n">
        <v>66.43</v>
      </c>
      <c r="G572" s="3" t="s">
        <v>60</v>
      </c>
      <c r="H572" s="3" t="s">
        <v>60</v>
      </c>
      <c r="I572" s="3" t="n">
        <v>18476700</v>
      </c>
      <c r="J572" s="3" t="n">
        <v>60500</v>
      </c>
      <c r="K572" s="3" t="s">
        <v>61</v>
      </c>
      <c r="L572" s="3" t="s">
        <v>62</v>
      </c>
      <c r="M572" s="3" t="s">
        <v>1091</v>
      </c>
      <c r="N572" s="3" t="n">
        <v>4</v>
      </c>
      <c r="O572" s="3" t="s">
        <v>64</v>
      </c>
      <c r="P572" s="3" t="s">
        <v>65</v>
      </c>
    </row>
    <row r="573" customFormat="false" ht="15" hidden="false" customHeight="false" outlineLevel="0" collapsed="false">
      <c r="A573" s="3" t="s">
        <v>1090</v>
      </c>
      <c r="B573" s="3" t="s">
        <v>66</v>
      </c>
      <c r="C573" s="3" t="s">
        <v>67</v>
      </c>
      <c r="D573" s="4" t="n">
        <v>6796</v>
      </c>
      <c r="E573" s="3" t="s">
        <v>60</v>
      </c>
      <c r="F573" s="3" t="n">
        <v>59.92</v>
      </c>
      <c r="G573" s="3" t="s">
        <v>60</v>
      </c>
      <c r="H573" s="3" t="s">
        <v>60</v>
      </c>
      <c r="I573" s="3" t="n">
        <v>2112700</v>
      </c>
      <c r="J573" s="3" t="n">
        <v>30800</v>
      </c>
      <c r="K573" s="3" t="s">
        <v>61</v>
      </c>
      <c r="L573" s="3" t="s">
        <v>62</v>
      </c>
      <c r="M573" s="3" t="s">
        <v>1092</v>
      </c>
      <c r="N573" s="3" t="n">
        <v>3</v>
      </c>
      <c r="O573" s="3" t="s">
        <v>64</v>
      </c>
      <c r="P573" s="3" t="s">
        <v>65</v>
      </c>
    </row>
    <row r="574" customFormat="false" ht="15" hidden="false" customHeight="false" outlineLevel="0" collapsed="false">
      <c r="A574" s="3" t="s">
        <v>1090</v>
      </c>
      <c r="B574" s="3" t="s">
        <v>562</v>
      </c>
      <c r="C574" s="3" t="s">
        <v>563</v>
      </c>
      <c r="D574" s="4" t="n">
        <v>2945.6</v>
      </c>
      <c r="E574" s="3" t="s">
        <v>60</v>
      </c>
      <c r="F574" s="3" t="n">
        <v>58.08</v>
      </c>
      <c r="G574" s="3" t="s">
        <v>60</v>
      </c>
      <c r="H574" s="3" t="s">
        <v>60</v>
      </c>
      <c r="I574" s="3" t="n">
        <v>14795500</v>
      </c>
      <c r="J574" s="3" t="n">
        <v>272000</v>
      </c>
      <c r="K574" s="3" t="s">
        <v>61</v>
      </c>
      <c r="L574" s="3" t="s">
        <v>62</v>
      </c>
      <c r="M574" s="3" t="s">
        <v>1093</v>
      </c>
      <c r="N574" s="3" t="n">
        <v>3</v>
      </c>
      <c r="O574" s="3" t="s">
        <v>64</v>
      </c>
      <c r="P574" s="3" t="s">
        <v>65</v>
      </c>
    </row>
    <row r="575" customFormat="false" ht="15" hidden="false" customHeight="false" outlineLevel="0" collapsed="false">
      <c r="A575" s="3" t="s">
        <v>1090</v>
      </c>
      <c r="B575" s="3" t="s">
        <v>403</v>
      </c>
      <c r="C575" s="3" t="s">
        <v>404</v>
      </c>
      <c r="D575" s="4" t="n">
        <v>585.65</v>
      </c>
      <c r="E575" s="3" t="s">
        <v>60</v>
      </c>
      <c r="F575" s="3" t="n">
        <v>51.74</v>
      </c>
      <c r="G575" s="3" t="s">
        <v>60</v>
      </c>
      <c r="H575" s="3" t="s">
        <v>60</v>
      </c>
      <c r="I575" s="3" t="n">
        <v>33911000</v>
      </c>
      <c r="J575" s="3" t="n">
        <v>2333000</v>
      </c>
      <c r="K575" s="3" t="s">
        <v>61</v>
      </c>
      <c r="L575" s="3" t="s">
        <v>62</v>
      </c>
      <c r="M575" s="3" t="s">
        <v>1094</v>
      </c>
      <c r="N575" s="3" t="n">
        <v>3</v>
      </c>
      <c r="O575" s="3" t="s">
        <v>64</v>
      </c>
      <c r="P575" s="3" t="s">
        <v>65</v>
      </c>
    </row>
    <row r="576" customFormat="false" ht="15" hidden="false" customHeight="false" outlineLevel="0" collapsed="false">
      <c r="A576" s="3" t="s">
        <v>1090</v>
      </c>
      <c r="B576" s="3" t="s">
        <v>541</v>
      </c>
      <c r="C576" s="3" t="s">
        <v>542</v>
      </c>
      <c r="D576" s="4" t="n">
        <v>3506.4</v>
      </c>
      <c r="E576" s="3" t="s">
        <v>60</v>
      </c>
      <c r="F576" s="3" t="n">
        <v>48.17</v>
      </c>
      <c r="G576" s="3" t="s">
        <v>60</v>
      </c>
      <c r="H576" s="3" t="s">
        <v>60</v>
      </c>
      <c r="I576" s="3" t="n">
        <v>3655850</v>
      </c>
      <c r="J576" s="3" t="n">
        <v>48400</v>
      </c>
      <c r="K576" s="3" t="s">
        <v>61</v>
      </c>
      <c r="L576" s="3" t="s">
        <v>62</v>
      </c>
      <c r="M576" s="3" t="s">
        <v>1095</v>
      </c>
      <c r="N576" s="3" t="n">
        <v>2</v>
      </c>
      <c r="O576" s="3" t="s">
        <v>64</v>
      </c>
      <c r="P576" s="3" t="s">
        <v>65</v>
      </c>
    </row>
    <row r="577" customFormat="false" ht="15" hidden="false" customHeight="false" outlineLevel="0" collapsed="false">
      <c r="A577" s="3" t="s">
        <v>1090</v>
      </c>
      <c r="B577" s="3" t="s">
        <v>114</v>
      </c>
      <c r="C577" s="3" t="s">
        <v>115</v>
      </c>
      <c r="D577" s="4" t="n">
        <v>91.11</v>
      </c>
      <c r="E577" s="3" t="s">
        <v>60</v>
      </c>
      <c r="F577" s="3" t="n">
        <v>45.52</v>
      </c>
      <c r="G577" s="3" t="s">
        <v>60</v>
      </c>
      <c r="H577" s="3" t="s">
        <v>60</v>
      </c>
      <c r="I577" s="3" t="n">
        <v>318323250</v>
      </c>
      <c r="J577" s="3" t="n">
        <v>4725000</v>
      </c>
      <c r="K577" s="3" t="s">
        <v>61</v>
      </c>
      <c r="L577" s="3" t="s">
        <v>62</v>
      </c>
      <c r="M577" s="3" t="s">
        <v>1096</v>
      </c>
      <c r="N577" s="3" t="n">
        <v>5</v>
      </c>
      <c r="O577" s="3" t="s">
        <v>64</v>
      </c>
      <c r="P577" s="3" t="s">
        <v>65</v>
      </c>
    </row>
    <row r="578" customFormat="false" ht="15" hidden="false" customHeight="false" outlineLevel="0" collapsed="false">
      <c r="A578" s="3" t="s">
        <v>1090</v>
      </c>
      <c r="B578" s="3" t="s">
        <v>275</v>
      </c>
      <c r="C578" s="3" t="s">
        <v>276</v>
      </c>
      <c r="D578" s="4" t="n">
        <v>446.65</v>
      </c>
      <c r="E578" s="3" t="s">
        <v>60</v>
      </c>
      <c r="F578" s="3" t="n">
        <v>49.6</v>
      </c>
      <c r="G578" s="3" t="s">
        <v>60</v>
      </c>
      <c r="H578" s="3" t="s">
        <v>60</v>
      </c>
      <c r="I578" s="3" t="n">
        <v>32935500</v>
      </c>
      <c r="J578" s="3" t="n">
        <v>369900</v>
      </c>
      <c r="K578" s="3" t="s">
        <v>61</v>
      </c>
      <c r="L578" s="3" t="s">
        <v>62</v>
      </c>
      <c r="M578" s="3" t="s">
        <v>1097</v>
      </c>
      <c r="N578" s="3" t="n">
        <v>4</v>
      </c>
      <c r="O578" s="3" t="s">
        <v>64</v>
      </c>
      <c r="P578" s="3" t="s">
        <v>65</v>
      </c>
    </row>
    <row r="579" customFormat="false" ht="15" hidden="false" customHeight="false" outlineLevel="0" collapsed="false">
      <c r="A579" s="3" t="s">
        <v>1098</v>
      </c>
      <c r="B579" s="3" t="s">
        <v>199</v>
      </c>
      <c r="C579" s="3" t="s">
        <v>200</v>
      </c>
      <c r="D579" s="4" t="n">
        <v>419</v>
      </c>
      <c r="E579" s="3" t="s">
        <v>60</v>
      </c>
      <c r="F579" s="3" t="n">
        <v>54.65</v>
      </c>
      <c r="G579" s="3" t="s">
        <v>60</v>
      </c>
      <c r="H579" s="3" t="s">
        <v>60</v>
      </c>
      <c r="I579" s="3" t="n">
        <v>34527500</v>
      </c>
      <c r="J579" s="3" t="n">
        <v>1185000</v>
      </c>
      <c r="K579" s="3" t="s">
        <v>61</v>
      </c>
      <c r="L579" s="3" t="s">
        <v>62</v>
      </c>
      <c r="M579" s="3" t="s">
        <v>1099</v>
      </c>
      <c r="N579" s="3" t="n">
        <v>8</v>
      </c>
      <c r="O579" s="3" t="s">
        <v>64</v>
      </c>
      <c r="P579" s="3" t="s">
        <v>65</v>
      </c>
    </row>
    <row r="580" customFormat="false" ht="15" hidden="false" customHeight="false" outlineLevel="0" collapsed="false">
      <c r="A580" s="3" t="s">
        <v>1098</v>
      </c>
      <c r="B580" s="3" t="s">
        <v>187</v>
      </c>
      <c r="C580" s="3" t="s">
        <v>188</v>
      </c>
      <c r="D580" s="4" t="n">
        <v>68.54</v>
      </c>
      <c r="E580" s="3" t="s">
        <v>60</v>
      </c>
      <c r="F580" s="3" t="n">
        <v>53.79</v>
      </c>
      <c r="G580" s="3" t="s">
        <v>60</v>
      </c>
      <c r="H580" s="3" t="s">
        <v>60</v>
      </c>
      <c r="I580" s="3" t="n">
        <v>387073575</v>
      </c>
      <c r="J580" s="3" t="n">
        <v>259700</v>
      </c>
      <c r="K580" s="3" t="s">
        <v>61</v>
      </c>
      <c r="L580" s="3" t="s">
        <v>62</v>
      </c>
      <c r="M580" s="3" t="s">
        <v>1100</v>
      </c>
      <c r="N580" s="3" t="n">
        <v>2</v>
      </c>
      <c r="O580" s="3" t="s">
        <v>64</v>
      </c>
      <c r="P580" s="3" t="s">
        <v>65</v>
      </c>
    </row>
    <row r="581" customFormat="false" ht="15" hidden="false" customHeight="false" outlineLevel="0" collapsed="false">
      <c r="A581" s="3" t="s">
        <v>1098</v>
      </c>
      <c r="B581" s="3" t="s">
        <v>765</v>
      </c>
      <c r="C581" s="3" t="s">
        <v>766</v>
      </c>
      <c r="D581" s="4" t="n">
        <v>273</v>
      </c>
      <c r="E581" s="3" t="s">
        <v>60</v>
      </c>
      <c r="F581" s="3" t="n">
        <v>46.58</v>
      </c>
      <c r="G581" s="3" t="s">
        <v>60</v>
      </c>
      <c r="H581" s="3" t="s">
        <v>60</v>
      </c>
      <c r="I581" s="3" t="n">
        <v>48778125</v>
      </c>
      <c r="J581" s="3" t="n">
        <v>412500</v>
      </c>
      <c r="K581" s="3" t="s">
        <v>61</v>
      </c>
      <c r="L581" s="3" t="s">
        <v>62</v>
      </c>
      <c r="M581" s="3" t="s">
        <v>1101</v>
      </c>
      <c r="N581" s="3" t="n">
        <v>2</v>
      </c>
      <c r="O581" s="3" t="s">
        <v>64</v>
      </c>
      <c r="P581" s="3" t="s">
        <v>65</v>
      </c>
    </row>
    <row r="582" customFormat="false" ht="15" hidden="false" customHeight="false" outlineLevel="0" collapsed="false">
      <c r="A582" s="3" t="s">
        <v>1102</v>
      </c>
      <c r="B582" s="3" t="s">
        <v>96</v>
      </c>
      <c r="C582" s="3" t="s">
        <v>97</v>
      </c>
      <c r="D582" s="4" t="n">
        <v>475.75</v>
      </c>
      <c r="E582" s="3" t="s">
        <v>60</v>
      </c>
      <c r="F582" s="3" t="n">
        <v>47.27</v>
      </c>
      <c r="G582" s="3" t="s">
        <v>60</v>
      </c>
      <c r="H582" s="3" t="s">
        <v>60</v>
      </c>
      <c r="I582" s="3" t="n">
        <v>28624625</v>
      </c>
      <c r="J582" s="3" t="n">
        <v>852825</v>
      </c>
      <c r="K582" s="3" t="s">
        <v>61</v>
      </c>
      <c r="L582" s="3" t="s">
        <v>62</v>
      </c>
      <c r="M582" s="3" t="s">
        <v>1103</v>
      </c>
      <c r="N582" s="3" t="n">
        <v>9</v>
      </c>
      <c r="O582" s="3" t="s">
        <v>64</v>
      </c>
      <c r="P582" s="3" t="s">
        <v>65</v>
      </c>
    </row>
    <row r="583" customFormat="false" ht="15" hidden="false" customHeight="false" outlineLevel="0" collapsed="false">
      <c r="A583" s="3" t="s">
        <v>1102</v>
      </c>
      <c r="B583" s="3" t="s">
        <v>139</v>
      </c>
      <c r="C583" s="3" t="s">
        <v>140</v>
      </c>
      <c r="D583" s="4" t="n">
        <v>2503</v>
      </c>
      <c r="E583" s="3" t="s">
        <v>60</v>
      </c>
      <c r="F583" s="3" t="n">
        <v>50.12</v>
      </c>
      <c r="G583" s="3" t="s">
        <v>60</v>
      </c>
      <c r="H583" s="3" t="s">
        <v>60</v>
      </c>
      <c r="I583" s="3" t="n">
        <v>4257900</v>
      </c>
      <c r="J583" s="3" t="n">
        <v>147375</v>
      </c>
      <c r="K583" s="3" t="s">
        <v>61</v>
      </c>
      <c r="L583" s="3" t="s">
        <v>62</v>
      </c>
      <c r="M583" s="3" t="s">
        <v>1104</v>
      </c>
      <c r="N583" s="3" t="n">
        <v>6</v>
      </c>
      <c r="O583" s="3" t="s">
        <v>64</v>
      </c>
      <c r="P583" s="3" t="s">
        <v>65</v>
      </c>
    </row>
    <row r="584" customFormat="false" ht="15" hidden="false" customHeight="false" outlineLevel="0" collapsed="false">
      <c r="A584" s="3" t="s">
        <v>1105</v>
      </c>
      <c r="B584" s="3" t="s">
        <v>388</v>
      </c>
      <c r="C584" s="3" t="s">
        <v>389</v>
      </c>
      <c r="D584" s="4" t="n">
        <v>1748.3</v>
      </c>
      <c r="E584" s="3" t="s">
        <v>60</v>
      </c>
      <c r="F584" s="3" t="n">
        <v>53.02</v>
      </c>
      <c r="G584" s="3" t="s">
        <v>60</v>
      </c>
      <c r="H584" s="3" t="s">
        <v>60</v>
      </c>
      <c r="I584" s="3" t="n">
        <v>7195650</v>
      </c>
      <c r="J584" s="3" t="n">
        <v>257250</v>
      </c>
      <c r="K584" s="3" t="s">
        <v>61</v>
      </c>
      <c r="L584" s="3" t="s">
        <v>62</v>
      </c>
      <c r="M584" s="3" t="s">
        <v>1106</v>
      </c>
      <c r="N584" s="3" t="n">
        <v>2</v>
      </c>
      <c r="O584" s="3" t="s">
        <v>299</v>
      </c>
      <c r="P584" s="3" t="s">
        <v>70</v>
      </c>
    </row>
    <row r="585" customFormat="false" ht="15" hidden="false" customHeight="false" outlineLevel="0" collapsed="false">
      <c r="A585" s="3" t="s">
        <v>1107</v>
      </c>
      <c r="B585" s="3" t="s">
        <v>871</v>
      </c>
      <c r="C585" s="3" t="s">
        <v>872</v>
      </c>
      <c r="D585" s="4" t="n">
        <v>1196.9</v>
      </c>
      <c r="E585" s="3" t="s">
        <v>60</v>
      </c>
      <c r="F585" s="3" t="n">
        <v>68.69</v>
      </c>
      <c r="G585" s="3" t="s">
        <v>60</v>
      </c>
      <c r="H585" s="3" t="s">
        <v>60</v>
      </c>
      <c r="I585" s="3" t="n">
        <v>78787200</v>
      </c>
      <c r="J585" s="3" t="n">
        <v>3406800</v>
      </c>
      <c r="K585" s="3" t="s">
        <v>61</v>
      </c>
      <c r="L585" s="3" t="s">
        <v>62</v>
      </c>
      <c r="M585" s="3" t="s">
        <v>1108</v>
      </c>
      <c r="N585" s="3" t="n">
        <v>2</v>
      </c>
      <c r="O585" s="3" t="s">
        <v>64</v>
      </c>
      <c r="P585" s="3" t="s">
        <v>65</v>
      </c>
    </row>
    <row r="586" customFormat="false" ht="15" hidden="false" customHeight="false" outlineLevel="0" collapsed="false">
      <c r="A586" s="3" t="s">
        <v>1107</v>
      </c>
      <c r="B586" s="3" t="s">
        <v>368</v>
      </c>
      <c r="C586" s="3" t="s">
        <v>369</v>
      </c>
      <c r="D586" s="4" t="n">
        <v>131.49</v>
      </c>
      <c r="E586" s="3" t="s">
        <v>60</v>
      </c>
      <c r="F586" s="3" t="n">
        <v>52.05</v>
      </c>
      <c r="G586" s="3" t="s">
        <v>60</v>
      </c>
      <c r="H586" s="3" t="s">
        <v>60</v>
      </c>
      <c r="I586" s="3" t="n">
        <v>147077250</v>
      </c>
      <c r="J586" s="3" t="n">
        <v>4581750</v>
      </c>
      <c r="K586" s="3" t="s">
        <v>61</v>
      </c>
      <c r="L586" s="3" t="s">
        <v>62</v>
      </c>
      <c r="M586" s="3" t="s">
        <v>1109</v>
      </c>
      <c r="N586" s="3" t="n">
        <v>4</v>
      </c>
      <c r="O586" s="3" t="s">
        <v>64</v>
      </c>
      <c r="P586" s="3" t="s">
        <v>65</v>
      </c>
    </row>
    <row r="587" customFormat="false" ht="15" hidden="false" customHeight="false" outlineLevel="0" collapsed="false">
      <c r="A587" s="3" t="s">
        <v>1107</v>
      </c>
      <c r="B587" s="3" t="s">
        <v>388</v>
      </c>
      <c r="C587" s="3" t="s">
        <v>389</v>
      </c>
      <c r="D587" s="4" t="n">
        <v>1804.8</v>
      </c>
      <c r="E587" s="3" t="s">
        <v>60</v>
      </c>
      <c r="F587" s="3" t="n">
        <v>64.22</v>
      </c>
      <c r="G587" s="3" t="s">
        <v>60</v>
      </c>
      <c r="H587" s="3" t="s">
        <v>60</v>
      </c>
      <c r="I587" s="3" t="n">
        <v>7235200</v>
      </c>
      <c r="J587" s="3" t="n">
        <v>39550</v>
      </c>
      <c r="K587" s="3" t="s">
        <v>61</v>
      </c>
      <c r="L587" s="3" t="s">
        <v>315</v>
      </c>
      <c r="M587" s="3" t="s">
        <v>1110</v>
      </c>
      <c r="N587" s="3" t="n">
        <v>2</v>
      </c>
      <c r="O587" s="3" t="s">
        <v>317</v>
      </c>
      <c r="P587" s="3" t="s">
        <v>70</v>
      </c>
    </row>
    <row r="588" customFormat="false" ht="15" hidden="false" customHeight="false" outlineLevel="0" collapsed="false">
      <c r="A588" s="3" t="s">
        <v>1107</v>
      </c>
      <c r="B588" s="3" t="s">
        <v>923</v>
      </c>
      <c r="C588" s="3" t="s">
        <v>924</v>
      </c>
      <c r="D588" s="4" t="n">
        <v>2327.1</v>
      </c>
      <c r="E588" s="3" t="s">
        <v>60</v>
      </c>
      <c r="F588" s="3" t="n">
        <v>53.12</v>
      </c>
      <c r="G588" s="3" t="s">
        <v>60</v>
      </c>
      <c r="H588" s="3" t="s">
        <v>60</v>
      </c>
      <c r="I588" s="3" t="n">
        <v>38099425</v>
      </c>
      <c r="J588" s="3" t="n">
        <v>48475</v>
      </c>
      <c r="K588" s="3" t="s">
        <v>61</v>
      </c>
      <c r="L588" s="3" t="s">
        <v>62</v>
      </c>
      <c r="M588" s="3" t="s">
        <v>1111</v>
      </c>
      <c r="N588" s="3" t="n">
        <v>2</v>
      </c>
      <c r="O588" s="3" t="s">
        <v>64</v>
      </c>
      <c r="P588" s="3" t="s">
        <v>65</v>
      </c>
    </row>
    <row r="589" customFormat="false" ht="15" hidden="false" customHeight="false" outlineLevel="0" collapsed="false">
      <c r="A589" s="3" t="s">
        <v>1107</v>
      </c>
      <c r="B589" s="3" t="s">
        <v>145</v>
      </c>
      <c r="C589" s="3" t="s">
        <v>146</v>
      </c>
      <c r="D589" s="4" t="n">
        <v>1467.1</v>
      </c>
      <c r="E589" s="3" t="s">
        <v>60</v>
      </c>
      <c r="F589" s="3" t="n">
        <v>52.96</v>
      </c>
      <c r="G589" s="3" t="s">
        <v>60</v>
      </c>
      <c r="H589" s="3" t="s">
        <v>60</v>
      </c>
      <c r="I589" s="3" t="n">
        <v>18934200</v>
      </c>
      <c r="J589" s="3" t="n">
        <v>420600</v>
      </c>
      <c r="K589" s="3" t="s">
        <v>61</v>
      </c>
      <c r="L589" s="3" t="s">
        <v>62</v>
      </c>
      <c r="M589" s="3" t="s">
        <v>1112</v>
      </c>
      <c r="N589" s="3" t="n">
        <v>6</v>
      </c>
      <c r="O589" s="3" t="s">
        <v>64</v>
      </c>
      <c r="P589" s="3" t="s">
        <v>65</v>
      </c>
    </row>
    <row r="590" customFormat="false" ht="15" hidden="false" customHeight="false" outlineLevel="0" collapsed="false">
      <c r="A590" s="3" t="s">
        <v>1113</v>
      </c>
      <c r="B590" s="3" t="s">
        <v>484</v>
      </c>
      <c r="C590" s="3" t="s">
        <v>485</v>
      </c>
      <c r="D590" s="4" t="n">
        <v>353.1</v>
      </c>
      <c r="E590" s="3" t="s">
        <v>60</v>
      </c>
      <c r="F590" s="3" t="n">
        <v>57.4</v>
      </c>
      <c r="G590" s="3" t="s">
        <v>60</v>
      </c>
      <c r="H590" s="3" t="s">
        <v>60</v>
      </c>
      <c r="I590" s="3" t="n">
        <v>48170900</v>
      </c>
      <c r="J590" s="3" t="n">
        <v>1019900</v>
      </c>
      <c r="K590" s="3" t="s">
        <v>61</v>
      </c>
      <c r="L590" s="3" t="s">
        <v>62</v>
      </c>
      <c r="M590" s="3" t="s">
        <v>1114</v>
      </c>
      <c r="N590" s="3" t="n">
        <v>1</v>
      </c>
      <c r="O590" s="3" t="s">
        <v>64</v>
      </c>
      <c r="P590" s="3" t="s">
        <v>65</v>
      </c>
    </row>
    <row r="591" customFormat="false" ht="15" hidden="false" customHeight="false" outlineLevel="0" collapsed="false">
      <c r="A591" s="3" t="s">
        <v>1113</v>
      </c>
      <c r="B591" s="3" t="s">
        <v>388</v>
      </c>
      <c r="C591" s="3" t="s">
        <v>389</v>
      </c>
      <c r="D591" s="4" t="n">
        <v>1830</v>
      </c>
      <c r="E591" s="3" t="s">
        <v>60</v>
      </c>
      <c r="F591" s="3" t="n">
        <v>68.14</v>
      </c>
      <c r="G591" s="3" t="s">
        <v>60</v>
      </c>
      <c r="H591" s="3" t="s">
        <v>60</v>
      </c>
      <c r="I591" s="3" t="n">
        <v>7639800</v>
      </c>
      <c r="J591" s="3" t="n">
        <v>404600</v>
      </c>
      <c r="K591" s="3" t="s">
        <v>61</v>
      </c>
      <c r="L591" s="3" t="s">
        <v>62</v>
      </c>
      <c r="M591" s="3" t="s">
        <v>1115</v>
      </c>
      <c r="N591" s="3" t="n">
        <v>2</v>
      </c>
      <c r="O591" s="3" t="s">
        <v>324</v>
      </c>
      <c r="P591" s="3" t="s">
        <v>70</v>
      </c>
    </row>
    <row r="592" customFormat="false" ht="15" hidden="false" customHeight="false" outlineLevel="0" collapsed="false">
      <c r="A592" s="3" t="s">
        <v>1113</v>
      </c>
      <c r="B592" s="3" t="s">
        <v>680</v>
      </c>
      <c r="C592" s="3" t="s">
        <v>681</v>
      </c>
      <c r="D592" s="4" t="n">
        <v>2970.9</v>
      </c>
      <c r="E592" s="3" t="s">
        <v>60</v>
      </c>
      <c r="F592" s="3" t="n">
        <v>57.29</v>
      </c>
      <c r="G592" s="3" t="s">
        <v>60</v>
      </c>
      <c r="H592" s="3" t="s">
        <v>60</v>
      </c>
      <c r="I592" s="3" t="n">
        <v>2228400</v>
      </c>
      <c r="J592" s="3" t="n">
        <v>3600</v>
      </c>
      <c r="K592" s="3" t="s">
        <v>61</v>
      </c>
      <c r="L592" s="3" t="s">
        <v>62</v>
      </c>
      <c r="M592" s="3" t="s">
        <v>1116</v>
      </c>
      <c r="N592" s="3" t="n">
        <v>2</v>
      </c>
      <c r="O592" s="3" t="s">
        <v>64</v>
      </c>
      <c r="P592" s="3" t="s">
        <v>65</v>
      </c>
    </row>
    <row r="593" customFormat="false" ht="15" hidden="false" customHeight="false" outlineLevel="0" collapsed="false">
      <c r="A593" s="3" t="s">
        <v>1117</v>
      </c>
      <c r="B593" s="3" t="s">
        <v>1118</v>
      </c>
      <c r="C593" s="3" t="s">
        <v>1119</v>
      </c>
      <c r="D593" s="4" t="n">
        <v>5097.7</v>
      </c>
      <c r="E593" s="3" t="s">
        <v>60</v>
      </c>
      <c r="F593" s="3" t="n">
        <v>49.68</v>
      </c>
      <c r="G593" s="3" t="s">
        <v>60</v>
      </c>
      <c r="H593" s="3" t="s">
        <v>60</v>
      </c>
      <c r="I593" s="3" t="n">
        <v>115875</v>
      </c>
      <c r="J593" s="3" t="n">
        <v>115875</v>
      </c>
      <c r="K593" s="3" t="s">
        <v>61</v>
      </c>
      <c r="L593" s="3" t="s">
        <v>62</v>
      </c>
      <c r="M593" s="3" t="s">
        <v>1120</v>
      </c>
      <c r="N593" s="3" t="n">
        <v>0</v>
      </c>
      <c r="O593" s="3" t="s">
        <v>69</v>
      </c>
      <c r="P593" s="3" t="s">
        <v>70</v>
      </c>
    </row>
    <row r="594" customFormat="false" ht="15" hidden="false" customHeight="false" outlineLevel="0" collapsed="false">
      <c r="A594" s="3" t="s">
        <v>1117</v>
      </c>
      <c r="B594" s="3" t="s">
        <v>565</v>
      </c>
      <c r="C594" s="3" t="s">
        <v>566</v>
      </c>
      <c r="D594" s="4" t="n">
        <v>1211</v>
      </c>
      <c r="E594" s="3" t="s">
        <v>60</v>
      </c>
      <c r="F594" s="3" t="n">
        <v>65.94</v>
      </c>
      <c r="G594" s="3" t="s">
        <v>60</v>
      </c>
      <c r="H594" s="3" t="s">
        <v>60</v>
      </c>
      <c r="I594" s="3" t="n">
        <v>9778000</v>
      </c>
      <c r="J594" s="3" t="n">
        <v>303500</v>
      </c>
      <c r="K594" s="3" t="s">
        <v>61</v>
      </c>
      <c r="L594" s="3" t="s">
        <v>62</v>
      </c>
      <c r="M594" s="3" t="s">
        <v>1121</v>
      </c>
      <c r="N594" s="3" t="n">
        <v>3</v>
      </c>
      <c r="O594" s="3" t="s">
        <v>64</v>
      </c>
      <c r="P594" s="3" t="s">
        <v>65</v>
      </c>
    </row>
    <row r="595" customFormat="false" ht="15" hidden="false" customHeight="false" outlineLevel="0" collapsed="false">
      <c r="A595" s="3" t="s">
        <v>1117</v>
      </c>
      <c r="B595" s="3" t="s">
        <v>1122</v>
      </c>
      <c r="C595" s="3" t="s">
        <v>1123</v>
      </c>
      <c r="D595" s="4" t="n">
        <v>602.05</v>
      </c>
      <c r="E595" s="3" t="s">
        <v>60</v>
      </c>
      <c r="F595" s="3" t="n">
        <v>45.54</v>
      </c>
      <c r="G595" s="3" t="s">
        <v>60</v>
      </c>
      <c r="H595" s="3" t="s">
        <v>60</v>
      </c>
      <c r="I595" s="3" t="n">
        <v>23832000</v>
      </c>
      <c r="J595" s="3" t="n">
        <v>1942000</v>
      </c>
      <c r="K595" s="3" t="s">
        <v>61</v>
      </c>
      <c r="L595" s="3" t="s">
        <v>62</v>
      </c>
      <c r="M595" s="3" t="s">
        <v>1124</v>
      </c>
      <c r="N595" s="3" t="n">
        <v>0</v>
      </c>
      <c r="O595" s="3" t="s">
        <v>64</v>
      </c>
      <c r="P595" s="3" t="s">
        <v>65</v>
      </c>
    </row>
    <row r="596" customFormat="false" ht="15" hidden="false" customHeight="false" outlineLevel="0" collapsed="false">
      <c r="A596" s="3" t="s">
        <v>1117</v>
      </c>
      <c r="B596" s="3" t="s">
        <v>368</v>
      </c>
      <c r="C596" s="3" t="s">
        <v>369</v>
      </c>
      <c r="D596" s="4" t="n">
        <v>142.41</v>
      </c>
      <c r="E596" s="3" t="s">
        <v>60</v>
      </c>
      <c r="F596" s="3" t="n">
        <v>59.44</v>
      </c>
      <c r="G596" s="3" t="s">
        <v>60</v>
      </c>
      <c r="H596" s="3" t="s">
        <v>60</v>
      </c>
      <c r="I596" s="3" t="n">
        <v>147809100</v>
      </c>
      <c r="J596" s="3" t="n">
        <v>1205400</v>
      </c>
      <c r="K596" s="3" t="s">
        <v>61</v>
      </c>
      <c r="L596" s="3" t="s">
        <v>62</v>
      </c>
      <c r="M596" s="3" t="s">
        <v>1125</v>
      </c>
      <c r="N596" s="3" t="n">
        <v>5</v>
      </c>
      <c r="O596" s="3" t="s">
        <v>69</v>
      </c>
      <c r="P596" s="3" t="s">
        <v>70</v>
      </c>
    </row>
    <row r="597" customFormat="false" ht="15" hidden="false" customHeight="false" outlineLevel="0" collapsed="false">
      <c r="A597" s="3" t="s">
        <v>1117</v>
      </c>
      <c r="B597" s="3" t="s">
        <v>1126</v>
      </c>
      <c r="C597" s="3" t="s">
        <v>1127</v>
      </c>
      <c r="D597" s="4" t="n">
        <v>57.53</v>
      </c>
      <c r="E597" s="3" t="s">
        <v>60</v>
      </c>
      <c r="F597" s="3" t="n">
        <v>45.2</v>
      </c>
      <c r="G597" s="3" t="s">
        <v>60</v>
      </c>
      <c r="H597" s="3" t="s">
        <v>60</v>
      </c>
      <c r="I597" s="3" t="n">
        <v>317535600</v>
      </c>
      <c r="J597" s="3" t="n">
        <v>279775</v>
      </c>
      <c r="K597" s="3" t="s">
        <v>61</v>
      </c>
      <c r="L597" s="3" t="s">
        <v>62</v>
      </c>
      <c r="M597" s="3" t="s">
        <v>1128</v>
      </c>
      <c r="N597" s="3" t="n">
        <v>0</v>
      </c>
      <c r="O597" s="3" t="s">
        <v>64</v>
      </c>
      <c r="P597" s="3" t="s">
        <v>65</v>
      </c>
    </row>
    <row r="598" customFormat="false" ht="15" hidden="false" customHeight="false" outlineLevel="0" collapsed="false">
      <c r="A598" s="3" t="s">
        <v>1129</v>
      </c>
      <c r="B598" s="3" t="s">
        <v>333</v>
      </c>
      <c r="C598" s="3" t="s">
        <v>334</v>
      </c>
      <c r="D598" s="4" t="n">
        <v>5498</v>
      </c>
      <c r="E598" s="3" t="s">
        <v>60</v>
      </c>
      <c r="F598" s="3" t="n">
        <v>49.17</v>
      </c>
      <c r="G598" s="3" t="s">
        <v>60</v>
      </c>
      <c r="H598" s="3" t="s">
        <v>60</v>
      </c>
      <c r="I598" s="3" t="n">
        <v>1281625</v>
      </c>
      <c r="J598" s="3" t="n">
        <v>36125</v>
      </c>
      <c r="K598" s="3" t="s">
        <v>61</v>
      </c>
      <c r="L598" s="3" t="s">
        <v>62</v>
      </c>
      <c r="M598" s="3" t="s">
        <v>1130</v>
      </c>
      <c r="N598" s="3" t="n">
        <v>5</v>
      </c>
      <c r="O598" s="3" t="s">
        <v>64</v>
      </c>
      <c r="P598" s="3" t="s">
        <v>65</v>
      </c>
    </row>
    <row r="599" customFormat="false" ht="15" hidden="false" customHeight="false" outlineLevel="0" collapsed="false">
      <c r="A599" s="3" t="s">
        <v>1129</v>
      </c>
      <c r="B599" s="3" t="s">
        <v>664</v>
      </c>
      <c r="C599" s="3" t="s">
        <v>665</v>
      </c>
      <c r="D599" s="4" t="n">
        <v>1957.2</v>
      </c>
      <c r="E599" s="3" t="s">
        <v>60</v>
      </c>
      <c r="F599" s="3" t="n">
        <v>67.72</v>
      </c>
      <c r="G599" s="3" t="s">
        <v>60</v>
      </c>
      <c r="H599" s="3" t="s">
        <v>60</v>
      </c>
      <c r="I599" s="3" t="n">
        <v>6896000</v>
      </c>
      <c r="J599" s="3" t="n">
        <v>15500</v>
      </c>
      <c r="K599" s="3" t="s">
        <v>61</v>
      </c>
      <c r="L599" s="3" t="s">
        <v>62</v>
      </c>
      <c r="M599" s="3" t="s">
        <v>1131</v>
      </c>
      <c r="N599" s="3" t="n">
        <v>3</v>
      </c>
      <c r="O599" s="3" t="s">
        <v>64</v>
      </c>
      <c r="P599" s="3" t="s">
        <v>65</v>
      </c>
    </row>
    <row r="600" customFormat="false" ht="15" hidden="false" customHeight="false" outlineLevel="0" collapsed="false">
      <c r="A600" s="3" t="s">
        <v>1129</v>
      </c>
      <c r="B600" s="3" t="s">
        <v>260</v>
      </c>
      <c r="C600" s="3" t="s">
        <v>261</v>
      </c>
      <c r="D600" s="4" t="n">
        <v>100.37</v>
      </c>
      <c r="E600" s="3" t="s">
        <v>60</v>
      </c>
      <c r="F600" s="3" t="n">
        <v>48.64</v>
      </c>
      <c r="G600" s="3" t="s">
        <v>60</v>
      </c>
      <c r="H600" s="3" t="s">
        <v>60</v>
      </c>
      <c r="I600" s="3" t="n">
        <v>122299650</v>
      </c>
      <c r="J600" s="3" t="n">
        <v>4819725</v>
      </c>
      <c r="K600" s="3" t="s">
        <v>61</v>
      </c>
      <c r="L600" s="3" t="s">
        <v>62</v>
      </c>
      <c r="M600" s="3" t="s">
        <v>1132</v>
      </c>
      <c r="N600" s="3" t="n">
        <v>7</v>
      </c>
      <c r="O600" s="3" t="s">
        <v>64</v>
      </c>
      <c r="P600" s="3" t="s">
        <v>65</v>
      </c>
    </row>
    <row r="601" customFormat="false" ht="15" hidden="false" customHeight="false" outlineLevel="0" collapsed="false">
      <c r="A601" s="3" t="s">
        <v>1129</v>
      </c>
      <c r="B601" s="3" t="s">
        <v>1118</v>
      </c>
      <c r="C601" s="3" t="s">
        <v>1119</v>
      </c>
      <c r="D601" s="4" t="n">
        <v>5148.6</v>
      </c>
      <c r="E601" s="3" t="s">
        <v>60</v>
      </c>
      <c r="F601" s="3" t="n">
        <v>63.19</v>
      </c>
      <c r="G601" s="3" t="s">
        <v>60</v>
      </c>
      <c r="H601" s="3" t="s">
        <v>60</v>
      </c>
      <c r="I601" s="3" t="n">
        <v>180125</v>
      </c>
      <c r="J601" s="3" t="n">
        <v>64250</v>
      </c>
      <c r="K601" s="3" t="s">
        <v>61</v>
      </c>
      <c r="L601" s="3" t="s">
        <v>62</v>
      </c>
      <c r="M601" s="3" t="s">
        <v>1133</v>
      </c>
      <c r="N601" s="3" t="n">
        <v>0</v>
      </c>
      <c r="O601" s="3" t="s">
        <v>100</v>
      </c>
      <c r="P601" s="3" t="s">
        <v>70</v>
      </c>
    </row>
    <row r="602" customFormat="false" ht="15" hidden="false" customHeight="false" outlineLevel="0" collapsed="false">
      <c r="A602" s="3" t="s">
        <v>1129</v>
      </c>
      <c r="B602" s="3" t="s">
        <v>591</v>
      </c>
      <c r="C602" s="3" t="s">
        <v>592</v>
      </c>
      <c r="D602" s="4" t="n">
        <v>1183.8</v>
      </c>
      <c r="E602" s="3" t="s">
        <v>60</v>
      </c>
      <c r="F602" s="3" t="n">
        <v>56.34</v>
      </c>
      <c r="G602" s="3" t="s">
        <v>60</v>
      </c>
      <c r="H602" s="3" t="s">
        <v>60</v>
      </c>
      <c r="I602" s="3" t="n">
        <v>39912250</v>
      </c>
      <c r="J602" s="3" t="n">
        <v>789600</v>
      </c>
      <c r="K602" s="3" t="s">
        <v>61</v>
      </c>
      <c r="L602" s="3" t="s">
        <v>62</v>
      </c>
      <c r="M602" s="3" t="s">
        <v>1134</v>
      </c>
      <c r="N602" s="3" t="n">
        <v>4</v>
      </c>
      <c r="O602" s="3" t="s">
        <v>64</v>
      </c>
      <c r="P602" s="3" t="s">
        <v>65</v>
      </c>
    </row>
    <row r="603" customFormat="false" ht="15" hidden="false" customHeight="false" outlineLevel="0" collapsed="false">
      <c r="A603" s="3" t="s">
        <v>1129</v>
      </c>
      <c r="B603" s="3" t="s">
        <v>1135</v>
      </c>
      <c r="C603" s="3" t="s">
        <v>1136</v>
      </c>
      <c r="D603" s="4" t="n">
        <v>133.25</v>
      </c>
      <c r="E603" s="3" t="s">
        <v>60</v>
      </c>
      <c r="F603" s="3" t="n">
        <v>60.01</v>
      </c>
      <c r="G603" s="3" t="s">
        <v>60</v>
      </c>
      <c r="H603" s="3" t="s">
        <v>60</v>
      </c>
      <c r="I603" s="3" t="n">
        <v>52788450</v>
      </c>
      <c r="J603" s="3" t="n">
        <v>9880800</v>
      </c>
      <c r="K603" s="3" t="s">
        <v>61</v>
      </c>
      <c r="L603" s="3" t="s">
        <v>62</v>
      </c>
      <c r="M603" s="3" t="s">
        <v>1137</v>
      </c>
      <c r="N603" s="3" t="n">
        <v>0</v>
      </c>
      <c r="O603" s="3" t="s">
        <v>64</v>
      </c>
      <c r="P603" s="3" t="s">
        <v>65</v>
      </c>
    </row>
    <row r="604" customFormat="false" ht="15" hidden="false" customHeight="false" outlineLevel="0" collapsed="false">
      <c r="A604" s="3" t="s">
        <v>1129</v>
      </c>
      <c r="B604" s="3" t="s">
        <v>111</v>
      </c>
      <c r="C604" s="3" t="s">
        <v>112</v>
      </c>
      <c r="D604" s="4" t="n">
        <v>286.6</v>
      </c>
      <c r="E604" s="3" t="s">
        <v>60</v>
      </c>
      <c r="F604" s="3" t="n">
        <v>53.67</v>
      </c>
      <c r="G604" s="3" t="s">
        <v>60</v>
      </c>
      <c r="H604" s="3" t="s">
        <v>60</v>
      </c>
      <c r="I604" s="3" t="n">
        <v>42819750</v>
      </c>
      <c r="J604" s="3" t="n">
        <v>2074500</v>
      </c>
      <c r="K604" s="3" t="s">
        <v>61</v>
      </c>
      <c r="L604" s="3" t="s">
        <v>62</v>
      </c>
      <c r="M604" s="3" t="s">
        <v>1138</v>
      </c>
      <c r="N604" s="3" t="n">
        <v>1</v>
      </c>
      <c r="O604" s="3" t="s">
        <v>64</v>
      </c>
      <c r="P604" s="3" t="s">
        <v>65</v>
      </c>
    </row>
    <row r="605" customFormat="false" ht="15" hidden="false" customHeight="false" outlineLevel="0" collapsed="false">
      <c r="A605" s="3" t="s">
        <v>1129</v>
      </c>
      <c r="B605" s="3" t="s">
        <v>368</v>
      </c>
      <c r="C605" s="3" t="s">
        <v>369</v>
      </c>
      <c r="D605" s="4" t="n">
        <v>145.74</v>
      </c>
      <c r="E605" s="3" t="s">
        <v>60</v>
      </c>
      <c r="F605" s="3" t="n">
        <v>63.54</v>
      </c>
      <c r="G605" s="3" t="s">
        <v>60</v>
      </c>
      <c r="H605" s="3" t="s">
        <v>60</v>
      </c>
      <c r="I605" s="3" t="n">
        <v>148282650</v>
      </c>
      <c r="J605" s="3" t="n">
        <v>473550</v>
      </c>
      <c r="K605" s="3" t="s">
        <v>61</v>
      </c>
      <c r="L605" s="3" t="s">
        <v>62</v>
      </c>
      <c r="M605" s="3" t="s">
        <v>1139</v>
      </c>
      <c r="N605" s="3" t="n">
        <v>5</v>
      </c>
      <c r="O605" s="3" t="s">
        <v>100</v>
      </c>
      <c r="P605" s="3" t="s">
        <v>70</v>
      </c>
    </row>
    <row r="606" customFormat="false" ht="15" hidden="false" customHeight="false" outlineLevel="0" collapsed="false">
      <c r="A606" s="3" t="s">
        <v>1129</v>
      </c>
      <c r="B606" s="3" t="s">
        <v>266</v>
      </c>
      <c r="C606" s="3" t="s">
        <v>267</v>
      </c>
      <c r="D606" s="4" t="n">
        <v>2271.4</v>
      </c>
      <c r="E606" s="3" t="s">
        <v>60</v>
      </c>
      <c r="F606" s="3" t="n">
        <v>55.44</v>
      </c>
      <c r="G606" s="3" t="s">
        <v>60</v>
      </c>
      <c r="H606" s="3" t="s">
        <v>60</v>
      </c>
      <c r="I606" s="3" t="n">
        <v>4239125</v>
      </c>
      <c r="J606" s="3" t="n">
        <v>41525</v>
      </c>
      <c r="K606" s="3" t="s">
        <v>61</v>
      </c>
      <c r="L606" s="3" t="s">
        <v>62</v>
      </c>
      <c r="M606" s="3" t="s">
        <v>1140</v>
      </c>
      <c r="N606" s="3" t="n">
        <v>1</v>
      </c>
      <c r="O606" s="3" t="s">
        <v>64</v>
      </c>
      <c r="P606" s="3" t="s">
        <v>65</v>
      </c>
    </row>
    <row r="607" customFormat="false" ht="15" hidden="false" customHeight="false" outlineLevel="0" collapsed="false">
      <c r="A607" s="3" t="s">
        <v>1129</v>
      </c>
      <c r="B607" s="3" t="s">
        <v>541</v>
      </c>
      <c r="C607" s="3" t="s">
        <v>542</v>
      </c>
      <c r="D607" s="4" t="n">
        <v>3342.9</v>
      </c>
      <c r="E607" s="3" t="s">
        <v>60</v>
      </c>
      <c r="F607" s="3" t="n">
        <v>60.19</v>
      </c>
      <c r="G607" s="3" t="s">
        <v>60</v>
      </c>
      <c r="H607" s="3" t="s">
        <v>60</v>
      </c>
      <c r="I607" s="3" t="n">
        <v>3903350</v>
      </c>
      <c r="J607" s="3" t="n">
        <v>235400</v>
      </c>
      <c r="K607" s="3" t="s">
        <v>61</v>
      </c>
      <c r="L607" s="3" t="s">
        <v>62</v>
      </c>
      <c r="M607" s="3" t="s">
        <v>1141</v>
      </c>
      <c r="N607" s="3" t="n">
        <v>3</v>
      </c>
      <c r="O607" s="3" t="s">
        <v>64</v>
      </c>
      <c r="P607" s="3" t="s">
        <v>65</v>
      </c>
    </row>
    <row r="608" customFormat="false" ht="15" hidden="false" customHeight="false" outlineLevel="0" collapsed="false">
      <c r="A608" s="3" t="s">
        <v>1129</v>
      </c>
      <c r="B608" s="3" t="s">
        <v>1142</v>
      </c>
      <c r="C608" s="3" t="s">
        <v>1143</v>
      </c>
      <c r="D608" s="4" t="n">
        <v>1707.1</v>
      </c>
      <c r="E608" s="3" t="s">
        <v>60</v>
      </c>
      <c r="F608" s="3" t="n">
        <v>60.63</v>
      </c>
      <c r="G608" s="3" t="s">
        <v>60</v>
      </c>
      <c r="H608" s="3" t="s">
        <v>60</v>
      </c>
      <c r="I608" s="3" t="n">
        <v>6371750</v>
      </c>
      <c r="J608" s="3" t="n">
        <v>164500</v>
      </c>
      <c r="K608" s="3" t="s">
        <v>61</v>
      </c>
      <c r="L608" s="3" t="s">
        <v>62</v>
      </c>
      <c r="M608" s="3" t="s">
        <v>1144</v>
      </c>
      <c r="N608" s="3" t="n">
        <v>0</v>
      </c>
      <c r="O608" s="3" t="s">
        <v>64</v>
      </c>
      <c r="P608" s="3" t="s">
        <v>65</v>
      </c>
    </row>
    <row r="609" customFormat="false" ht="15" hidden="false" customHeight="false" outlineLevel="0" collapsed="false">
      <c r="A609" s="3" t="s">
        <v>1129</v>
      </c>
      <c r="B609" s="3" t="s">
        <v>1145</v>
      </c>
      <c r="C609" s="3" t="s">
        <v>1146</v>
      </c>
      <c r="D609" s="4" t="n">
        <v>3518.6</v>
      </c>
      <c r="E609" s="3" t="s">
        <v>60</v>
      </c>
      <c r="F609" s="3" t="n">
        <v>53.51</v>
      </c>
      <c r="G609" s="3" t="s">
        <v>60</v>
      </c>
      <c r="H609" s="3" t="s">
        <v>60</v>
      </c>
      <c r="I609" s="3" t="n">
        <v>108150</v>
      </c>
      <c r="J609" s="3" t="n">
        <v>52200</v>
      </c>
      <c r="K609" s="3" t="s">
        <v>61</v>
      </c>
      <c r="L609" s="3" t="s">
        <v>62</v>
      </c>
      <c r="M609" s="3" t="s">
        <v>1147</v>
      </c>
      <c r="N609" s="3" t="n">
        <v>0</v>
      </c>
      <c r="O609" s="3" t="s">
        <v>64</v>
      </c>
      <c r="P609" s="3" t="s">
        <v>65</v>
      </c>
    </row>
    <row r="610" customFormat="false" ht="15" hidden="false" customHeight="false" outlineLevel="0" collapsed="false">
      <c r="A610" s="3" t="s">
        <v>1129</v>
      </c>
      <c r="B610" s="3" t="s">
        <v>145</v>
      </c>
      <c r="C610" s="3" t="s">
        <v>146</v>
      </c>
      <c r="D610" s="4" t="n">
        <v>1483.9</v>
      </c>
      <c r="E610" s="3" t="s">
        <v>60</v>
      </c>
      <c r="F610" s="3" t="n">
        <v>60.49</v>
      </c>
      <c r="G610" s="3" t="s">
        <v>60</v>
      </c>
      <c r="H610" s="3" t="s">
        <v>60</v>
      </c>
      <c r="I610" s="3" t="n">
        <v>19700400</v>
      </c>
      <c r="J610" s="3" t="n">
        <v>882000</v>
      </c>
      <c r="K610" s="3" t="s">
        <v>61</v>
      </c>
      <c r="L610" s="3" t="s">
        <v>62</v>
      </c>
      <c r="M610" s="3" t="s">
        <v>1148</v>
      </c>
      <c r="N610" s="3" t="n">
        <v>7</v>
      </c>
      <c r="O610" s="3" t="s">
        <v>64</v>
      </c>
      <c r="P610" s="3" t="s">
        <v>65</v>
      </c>
    </row>
    <row r="611" customFormat="false" ht="15" hidden="false" customHeight="false" outlineLevel="0" collapsed="false">
      <c r="A611" s="3" t="s">
        <v>1129</v>
      </c>
      <c r="B611" s="3" t="s">
        <v>86</v>
      </c>
      <c r="C611" s="3" t="s">
        <v>87</v>
      </c>
      <c r="D611" s="4" t="n">
        <v>23.15</v>
      </c>
      <c r="E611" s="3" t="s">
        <v>60</v>
      </c>
      <c r="F611" s="3" t="n">
        <v>56.11</v>
      </c>
      <c r="G611" s="3" t="s">
        <v>60</v>
      </c>
      <c r="H611" s="3" t="s">
        <v>60</v>
      </c>
      <c r="I611" s="3" t="n">
        <v>1204845100</v>
      </c>
      <c r="J611" s="3" t="n">
        <v>56011100</v>
      </c>
      <c r="K611" s="3" t="s">
        <v>61</v>
      </c>
      <c r="L611" s="3" t="s">
        <v>62</v>
      </c>
      <c r="M611" s="3" t="s">
        <v>1149</v>
      </c>
      <c r="N611" s="3" t="n">
        <v>2</v>
      </c>
      <c r="O611" s="3" t="s">
        <v>64</v>
      </c>
      <c r="P611" s="3" t="s">
        <v>65</v>
      </c>
    </row>
    <row r="612" customFormat="false" ht="15" hidden="false" customHeight="false" outlineLevel="0" collapsed="false">
      <c r="A612" s="3" t="s">
        <v>1150</v>
      </c>
      <c r="B612" s="3" t="s">
        <v>686</v>
      </c>
      <c r="C612" s="3" t="s">
        <v>687</v>
      </c>
      <c r="D612" s="4" t="n">
        <v>472.6</v>
      </c>
      <c r="E612" s="3" t="s">
        <v>60</v>
      </c>
      <c r="F612" s="3" t="n">
        <v>54.39</v>
      </c>
      <c r="G612" s="3" t="s">
        <v>60</v>
      </c>
      <c r="H612" s="3" t="s">
        <v>60</v>
      </c>
      <c r="I612" s="3" t="n">
        <v>73993500</v>
      </c>
      <c r="J612" s="3" t="n">
        <v>5904900</v>
      </c>
      <c r="K612" s="3" t="s">
        <v>61</v>
      </c>
      <c r="L612" s="3" t="s">
        <v>62</v>
      </c>
      <c r="M612" s="3" t="s">
        <v>1151</v>
      </c>
      <c r="N612" s="3" t="n">
        <v>3</v>
      </c>
      <c r="O612" s="3" t="s">
        <v>64</v>
      </c>
      <c r="P612" s="3" t="s">
        <v>65</v>
      </c>
    </row>
    <row r="613" customFormat="false" ht="15" hidden="false" customHeight="false" outlineLevel="0" collapsed="false">
      <c r="A613" s="3" t="s">
        <v>1150</v>
      </c>
      <c r="B613" s="3" t="s">
        <v>1152</v>
      </c>
      <c r="C613" s="3" t="s">
        <v>1153</v>
      </c>
      <c r="D613" s="4" t="n">
        <v>1461.2</v>
      </c>
      <c r="E613" s="3" t="s">
        <v>60</v>
      </c>
      <c r="F613" s="3" t="n">
        <v>45.35</v>
      </c>
      <c r="G613" s="3" t="s">
        <v>60</v>
      </c>
      <c r="H613" s="3" t="s">
        <v>60</v>
      </c>
      <c r="I613" s="3" t="n">
        <v>15570000</v>
      </c>
      <c r="J613" s="3" t="n">
        <v>367500</v>
      </c>
      <c r="K613" s="3" t="s">
        <v>61</v>
      </c>
      <c r="L613" s="3" t="s">
        <v>62</v>
      </c>
      <c r="M613" s="3" t="s">
        <v>1154</v>
      </c>
      <c r="N613" s="3" t="n">
        <v>0</v>
      </c>
      <c r="O613" s="3" t="s">
        <v>69</v>
      </c>
      <c r="P613" s="3" t="s">
        <v>70</v>
      </c>
    </row>
    <row r="614" customFormat="false" ht="15" hidden="false" customHeight="false" outlineLevel="0" collapsed="false">
      <c r="A614" s="3" t="s">
        <v>1155</v>
      </c>
      <c r="B614" s="3" t="s">
        <v>1152</v>
      </c>
      <c r="C614" s="3" t="s">
        <v>1153</v>
      </c>
      <c r="D614" s="4" t="n">
        <v>1519.5</v>
      </c>
      <c r="E614" s="3" t="s">
        <v>60</v>
      </c>
      <c r="F614" s="3" t="n">
        <v>47.33</v>
      </c>
      <c r="G614" s="3" t="s">
        <v>60</v>
      </c>
      <c r="H614" s="3" t="s">
        <v>60</v>
      </c>
      <c r="I614" s="3" t="n">
        <v>15613875</v>
      </c>
      <c r="J614" s="3" t="n">
        <v>43875</v>
      </c>
      <c r="K614" s="3" t="s">
        <v>61</v>
      </c>
      <c r="L614" s="3" t="s">
        <v>62</v>
      </c>
      <c r="M614" s="3" t="s">
        <v>1156</v>
      </c>
      <c r="N614" s="3" t="n">
        <v>0</v>
      </c>
      <c r="O614" s="3" t="s">
        <v>100</v>
      </c>
      <c r="P614" s="3" t="s">
        <v>70</v>
      </c>
    </row>
    <row r="615" customFormat="false" ht="15" hidden="false" customHeight="false" outlineLevel="0" collapsed="false">
      <c r="A615" s="3" t="s">
        <v>1155</v>
      </c>
      <c r="B615" s="3" t="s">
        <v>309</v>
      </c>
      <c r="C615" s="3" t="s">
        <v>310</v>
      </c>
      <c r="D615" s="4" t="n">
        <v>5708</v>
      </c>
      <c r="E615" s="3" t="s">
        <v>60</v>
      </c>
      <c r="F615" s="3" t="n">
        <v>56.13</v>
      </c>
      <c r="G615" s="3" t="s">
        <v>60</v>
      </c>
      <c r="H615" s="3" t="s">
        <v>60</v>
      </c>
      <c r="I615" s="3" t="n">
        <v>3589800</v>
      </c>
      <c r="J615" s="3" t="n">
        <v>238800</v>
      </c>
      <c r="K615" s="3" t="s">
        <v>61</v>
      </c>
      <c r="L615" s="3" t="s">
        <v>62</v>
      </c>
      <c r="M615" s="3" t="s">
        <v>1157</v>
      </c>
      <c r="N615" s="3" t="n">
        <v>3</v>
      </c>
      <c r="O615" s="3" t="s">
        <v>64</v>
      </c>
      <c r="P615" s="3" t="s">
        <v>65</v>
      </c>
    </row>
    <row r="616" customFormat="false" ht="15" hidden="false" customHeight="false" outlineLevel="0" collapsed="false">
      <c r="A616" s="3" t="s">
        <v>1155</v>
      </c>
      <c r="B616" s="3" t="s">
        <v>1118</v>
      </c>
      <c r="C616" s="3" t="s">
        <v>1119</v>
      </c>
      <c r="D616" s="4" t="n">
        <v>4781</v>
      </c>
      <c r="E616" s="3" t="s">
        <v>60</v>
      </c>
      <c r="F616" s="3" t="n">
        <v>51.06</v>
      </c>
      <c r="G616" s="3" t="s">
        <v>60</v>
      </c>
      <c r="H616" s="3" t="s">
        <v>60</v>
      </c>
      <c r="I616" s="3" t="n">
        <v>420000</v>
      </c>
      <c r="J616" s="3" t="n">
        <v>201500</v>
      </c>
      <c r="K616" s="3" t="s">
        <v>61</v>
      </c>
      <c r="L616" s="3" t="s">
        <v>62</v>
      </c>
      <c r="M616" s="3" t="s">
        <v>1158</v>
      </c>
      <c r="N616" s="3" t="n">
        <v>1</v>
      </c>
      <c r="O616" s="3" t="s">
        <v>64</v>
      </c>
      <c r="P616" s="3" t="s">
        <v>65</v>
      </c>
    </row>
    <row r="617" customFormat="false" ht="15" hidden="false" customHeight="false" outlineLevel="0" collapsed="false">
      <c r="A617" s="3" t="s">
        <v>1155</v>
      </c>
      <c r="B617" s="3" t="s">
        <v>579</v>
      </c>
      <c r="C617" s="3" t="s">
        <v>580</v>
      </c>
      <c r="D617" s="4" t="n">
        <v>537</v>
      </c>
      <c r="E617" s="3" t="s">
        <v>60</v>
      </c>
      <c r="F617" s="3" t="n">
        <v>60.13</v>
      </c>
      <c r="G617" s="3" t="s">
        <v>60</v>
      </c>
      <c r="H617" s="3" t="s">
        <v>60</v>
      </c>
      <c r="I617" s="3" t="n">
        <v>47860875</v>
      </c>
      <c r="J617" s="3" t="n">
        <v>3474000</v>
      </c>
      <c r="K617" s="3" t="s">
        <v>61</v>
      </c>
      <c r="L617" s="3" t="s">
        <v>62</v>
      </c>
      <c r="M617" s="3" t="s">
        <v>1159</v>
      </c>
      <c r="N617" s="3" t="n">
        <v>1</v>
      </c>
      <c r="O617" s="3" t="s">
        <v>64</v>
      </c>
      <c r="P617" s="3" t="s">
        <v>65</v>
      </c>
    </row>
    <row r="618" customFormat="false" ht="15" hidden="false" customHeight="false" outlineLevel="0" collapsed="false">
      <c r="A618" s="3" t="s">
        <v>1155</v>
      </c>
      <c r="B618" s="3" t="s">
        <v>223</v>
      </c>
      <c r="C618" s="3" t="s">
        <v>224</v>
      </c>
      <c r="D618" s="4" t="n">
        <v>209.84</v>
      </c>
      <c r="E618" s="3" t="s">
        <v>60</v>
      </c>
      <c r="F618" s="3" t="n">
        <v>50.86</v>
      </c>
      <c r="G618" s="3" t="s">
        <v>60</v>
      </c>
      <c r="H618" s="3" t="s">
        <v>60</v>
      </c>
      <c r="I618" s="3" t="n">
        <v>251568000</v>
      </c>
      <c r="J618" s="3" t="n">
        <v>2595000</v>
      </c>
      <c r="K618" s="3" t="s">
        <v>61</v>
      </c>
      <c r="L618" s="3" t="s">
        <v>62</v>
      </c>
      <c r="M618" s="3" t="s">
        <v>1160</v>
      </c>
      <c r="N618" s="3" t="n">
        <v>4</v>
      </c>
      <c r="O618" s="3" t="s">
        <v>64</v>
      </c>
      <c r="P618" s="3" t="s">
        <v>65</v>
      </c>
    </row>
    <row r="619" customFormat="false" ht="15" hidden="false" customHeight="false" outlineLevel="0" collapsed="false">
      <c r="A619" s="3" t="s">
        <v>1161</v>
      </c>
      <c r="B619" s="3" t="s">
        <v>519</v>
      </c>
      <c r="C619" s="3" t="s">
        <v>520</v>
      </c>
      <c r="D619" s="4" t="n">
        <v>131.85</v>
      </c>
      <c r="E619" s="3" t="s">
        <v>60</v>
      </c>
      <c r="F619" s="3" t="n">
        <v>50.67</v>
      </c>
      <c r="G619" s="3" t="s">
        <v>60</v>
      </c>
      <c r="H619" s="3" t="s">
        <v>60</v>
      </c>
      <c r="I619" s="3" t="n">
        <v>275980500</v>
      </c>
      <c r="J619" s="3" t="n">
        <v>11954250</v>
      </c>
      <c r="K619" s="3" t="s">
        <v>61</v>
      </c>
      <c r="L619" s="3" t="s">
        <v>62</v>
      </c>
      <c r="M619" s="3" t="s">
        <v>1162</v>
      </c>
      <c r="N619" s="3" t="n">
        <v>1</v>
      </c>
      <c r="O619" s="3" t="s">
        <v>64</v>
      </c>
      <c r="P619" s="3" t="s">
        <v>65</v>
      </c>
    </row>
    <row r="620" customFormat="false" ht="15" hidden="false" customHeight="false" outlineLevel="0" collapsed="false">
      <c r="A620" s="3" t="s">
        <v>1161</v>
      </c>
      <c r="B620" s="3" t="s">
        <v>300</v>
      </c>
      <c r="C620" s="3" t="s">
        <v>301</v>
      </c>
      <c r="D620" s="4" t="n">
        <v>970.45</v>
      </c>
      <c r="E620" s="3" t="s">
        <v>60</v>
      </c>
      <c r="F620" s="3" t="n">
        <v>51.31</v>
      </c>
      <c r="G620" s="3" t="s">
        <v>60</v>
      </c>
      <c r="H620" s="3" t="s">
        <v>60</v>
      </c>
      <c r="I620" s="3" t="n">
        <v>94294500</v>
      </c>
      <c r="J620" s="3" t="n">
        <v>1825500</v>
      </c>
      <c r="K620" s="3" t="s">
        <v>61</v>
      </c>
      <c r="L620" s="3" t="s">
        <v>62</v>
      </c>
      <c r="M620" s="3" t="s">
        <v>1163</v>
      </c>
      <c r="N620" s="3" t="n">
        <v>6</v>
      </c>
      <c r="O620" s="3" t="s">
        <v>64</v>
      </c>
      <c r="P620" s="3" t="s">
        <v>65</v>
      </c>
    </row>
    <row r="621" customFormat="false" ht="15" hidden="false" customHeight="false" outlineLevel="0" collapsed="false">
      <c r="A621" s="3" t="s">
        <v>1164</v>
      </c>
      <c r="B621" s="3" t="s">
        <v>360</v>
      </c>
      <c r="C621" s="3" t="s">
        <v>361</v>
      </c>
      <c r="D621" s="4" t="n">
        <v>256.5</v>
      </c>
      <c r="E621" s="3" t="s">
        <v>60</v>
      </c>
      <c r="F621" s="3" t="n">
        <v>47.91</v>
      </c>
      <c r="G621" s="3" t="s">
        <v>60</v>
      </c>
      <c r="H621" s="3" t="s">
        <v>60</v>
      </c>
      <c r="I621" s="3" t="n">
        <v>222423425</v>
      </c>
      <c r="J621" s="3" t="n">
        <v>8492350</v>
      </c>
      <c r="K621" s="3" t="s">
        <v>61</v>
      </c>
      <c r="L621" s="3" t="s">
        <v>62</v>
      </c>
      <c r="M621" s="3" t="s">
        <v>1165</v>
      </c>
      <c r="N621" s="3" t="n">
        <v>3</v>
      </c>
      <c r="O621" s="3" t="s">
        <v>64</v>
      </c>
      <c r="P621" s="3" t="s">
        <v>65</v>
      </c>
    </row>
    <row r="622" customFormat="false" ht="15" hidden="false" customHeight="false" outlineLevel="0" collapsed="false">
      <c r="A622" s="3" t="s">
        <v>1164</v>
      </c>
      <c r="B622" s="3" t="s">
        <v>120</v>
      </c>
      <c r="C622" s="3" t="s">
        <v>121</v>
      </c>
      <c r="D622" s="4" t="n">
        <v>431.75</v>
      </c>
      <c r="E622" s="3" t="s">
        <v>60</v>
      </c>
      <c r="F622" s="3" t="n">
        <v>45.14</v>
      </c>
      <c r="G622" s="3" t="s">
        <v>60</v>
      </c>
      <c r="H622" s="3" t="s">
        <v>60</v>
      </c>
      <c r="I622" s="3" t="n">
        <v>50935300</v>
      </c>
      <c r="J622" s="3" t="n">
        <v>822900</v>
      </c>
      <c r="K622" s="3" t="s">
        <v>61</v>
      </c>
      <c r="L622" s="3" t="s">
        <v>62</v>
      </c>
      <c r="M622" s="3" t="s">
        <v>1166</v>
      </c>
      <c r="N622" s="3" t="n">
        <v>3</v>
      </c>
      <c r="O622" s="3" t="s">
        <v>64</v>
      </c>
      <c r="P622" s="3" t="s">
        <v>65</v>
      </c>
    </row>
    <row r="623" customFormat="false" ht="15" hidden="false" customHeight="false" outlineLevel="0" collapsed="false">
      <c r="A623" s="3" t="s">
        <v>1164</v>
      </c>
      <c r="B623" s="3" t="s">
        <v>1032</v>
      </c>
      <c r="C623" s="3" t="s">
        <v>1033</v>
      </c>
      <c r="D623" s="4" t="n">
        <v>118.73</v>
      </c>
      <c r="E623" s="3" t="s">
        <v>60</v>
      </c>
      <c r="F623" s="3" t="n">
        <v>59.11</v>
      </c>
      <c r="G623" s="3" t="s">
        <v>60</v>
      </c>
      <c r="H623" s="3" t="s">
        <v>60</v>
      </c>
      <c r="I623" s="3" t="n">
        <v>34202200</v>
      </c>
      <c r="J623" s="3" t="n">
        <v>1561700</v>
      </c>
      <c r="K623" s="3" t="s">
        <v>61</v>
      </c>
      <c r="L623" s="3" t="s">
        <v>62</v>
      </c>
      <c r="M623" s="3" t="s">
        <v>1167</v>
      </c>
      <c r="N623" s="3" t="n">
        <v>1</v>
      </c>
      <c r="O623" s="3" t="s">
        <v>64</v>
      </c>
      <c r="P623" s="3" t="s">
        <v>65</v>
      </c>
    </row>
    <row r="624" customFormat="false" ht="15" hidden="false" customHeight="false" outlineLevel="0" collapsed="false">
      <c r="A624" s="3" t="s">
        <v>1168</v>
      </c>
      <c r="B624" s="3" t="s">
        <v>585</v>
      </c>
      <c r="C624" s="3" t="s">
        <v>586</v>
      </c>
      <c r="D624" s="4" t="n">
        <v>8524</v>
      </c>
      <c r="E624" s="3" t="s">
        <v>60</v>
      </c>
      <c r="F624" s="3" t="n">
        <v>69.87</v>
      </c>
      <c r="G624" s="3" t="s">
        <v>60</v>
      </c>
      <c r="H624" s="3" t="s">
        <v>60</v>
      </c>
      <c r="I624" s="3" t="n">
        <v>1935000</v>
      </c>
      <c r="J624" s="3" t="n">
        <v>223250</v>
      </c>
      <c r="K624" s="3" t="s">
        <v>61</v>
      </c>
      <c r="L624" s="3" t="s">
        <v>62</v>
      </c>
      <c r="M624" s="3" t="s">
        <v>1169</v>
      </c>
      <c r="N624" s="3" t="n">
        <v>2</v>
      </c>
      <c r="O624" s="3" t="s">
        <v>64</v>
      </c>
      <c r="P624" s="3" t="s">
        <v>65</v>
      </c>
    </row>
    <row r="625" customFormat="false" ht="15" hidden="false" customHeight="false" outlineLevel="0" collapsed="false">
      <c r="A625" s="3" t="s">
        <v>1168</v>
      </c>
      <c r="B625" s="3" t="s">
        <v>513</v>
      </c>
      <c r="C625" s="3" t="s">
        <v>514</v>
      </c>
      <c r="D625" s="4" t="n">
        <v>273.75</v>
      </c>
      <c r="E625" s="3" t="s">
        <v>60</v>
      </c>
      <c r="F625" s="3" t="n">
        <v>54.1</v>
      </c>
      <c r="G625" s="3" t="s">
        <v>60</v>
      </c>
      <c r="H625" s="3" t="s">
        <v>60</v>
      </c>
      <c r="I625" s="3" t="n">
        <v>128316825</v>
      </c>
      <c r="J625" s="3" t="n">
        <v>4141800</v>
      </c>
      <c r="K625" s="3" t="s">
        <v>61</v>
      </c>
      <c r="L625" s="3" t="s">
        <v>62</v>
      </c>
      <c r="M625" s="3" t="s">
        <v>1170</v>
      </c>
      <c r="N625" s="3" t="n">
        <v>3</v>
      </c>
      <c r="O625" s="3" t="s">
        <v>64</v>
      </c>
      <c r="P625" s="3" t="s">
        <v>65</v>
      </c>
    </row>
    <row r="626" customFormat="false" ht="15" hidden="false" customHeight="false" outlineLevel="0" collapsed="false">
      <c r="A626" s="3" t="s">
        <v>1168</v>
      </c>
      <c r="B626" s="3" t="s">
        <v>639</v>
      </c>
      <c r="C626" s="3" t="s">
        <v>640</v>
      </c>
      <c r="D626" s="4" t="n">
        <v>147.72</v>
      </c>
      <c r="E626" s="3" t="s">
        <v>60</v>
      </c>
      <c r="F626" s="3" t="n">
        <v>51.45</v>
      </c>
      <c r="G626" s="3" t="s">
        <v>60</v>
      </c>
      <c r="H626" s="3" t="s">
        <v>60</v>
      </c>
      <c r="I626" s="3" t="n">
        <v>75909600</v>
      </c>
      <c r="J626" s="3" t="n">
        <v>5366400</v>
      </c>
      <c r="K626" s="3" t="s">
        <v>61</v>
      </c>
      <c r="L626" s="3" t="s">
        <v>62</v>
      </c>
      <c r="M626" s="3" t="s">
        <v>1171</v>
      </c>
      <c r="N626" s="3" t="n">
        <v>1</v>
      </c>
      <c r="O626" s="3" t="s">
        <v>64</v>
      </c>
      <c r="P626" s="3" t="s">
        <v>65</v>
      </c>
    </row>
    <row r="627" customFormat="false" ht="15" hidden="false" customHeight="false" outlineLevel="0" collapsed="false">
      <c r="A627" s="3" t="s">
        <v>1168</v>
      </c>
      <c r="B627" s="3" t="s">
        <v>519</v>
      </c>
      <c r="C627" s="3" t="s">
        <v>520</v>
      </c>
      <c r="D627" s="4" t="n">
        <v>137.51</v>
      </c>
      <c r="E627" s="3" t="s">
        <v>60</v>
      </c>
      <c r="F627" s="3" t="n">
        <v>46.94</v>
      </c>
      <c r="G627" s="3" t="s">
        <v>60</v>
      </c>
      <c r="H627" s="3" t="s">
        <v>60</v>
      </c>
      <c r="I627" s="3" t="n">
        <v>285795000</v>
      </c>
      <c r="J627" s="3" t="n">
        <v>1282500</v>
      </c>
      <c r="K627" s="3" t="s">
        <v>61</v>
      </c>
      <c r="L627" s="3" t="s">
        <v>62</v>
      </c>
      <c r="M627" s="3" t="s">
        <v>1172</v>
      </c>
      <c r="N627" s="3" t="n">
        <v>2</v>
      </c>
      <c r="O627" s="3" t="s">
        <v>64</v>
      </c>
      <c r="P627" s="3" t="s">
        <v>65</v>
      </c>
    </row>
    <row r="628" customFormat="false" ht="15" hidden="false" customHeight="false" outlineLevel="0" collapsed="false">
      <c r="A628" s="3" t="s">
        <v>1168</v>
      </c>
      <c r="B628" s="3" t="s">
        <v>66</v>
      </c>
      <c r="C628" s="3" t="s">
        <v>67</v>
      </c>
      <c r="D628" s="4" t="n">
        <v>6753</v>
      </c>
      <c r="E628" s="3" t="s">
        <v>60</v>
      </c>
      <c r="F628" s="3" t="n">
        <v>56.96</v>
      </c>
      <c r="G628" s="3" t="s">
        <v>60</v>
      </c>
      <c r="H628" s="3" t="s">
        <v>60</v>
      </c>
      <c r="I628" s="3" t="n">
        <v>2912200</v>
      </c>
      <c r="J628" s="3" t="n">
        <v>111000</v>
      </c>
      <c r="K628" s="3" t="s">
        <v>61</v>
      </c>
      <c r="L628" s="3" t="s">
        <v>62</v>
      </c>
      <c r="M628" s="3" t="s">
        <v>1173</v>
      </c>
      <c r="N628" s="3" t="n">
        <v>4</v>
      </c>
      <c r="O628" s="3" t="s">
        <v>64</v>
      </c>
      <c r="P628" s="3" t="s">
        <v>65</v>
      </c>
    </row>
    <row r="629" customFormat="false" ht="15" hidden="false" customHeight="false" outlineLevel="0" collapsed="false">
      <c r="A629" s="3" t="s">
        <v>1168</v>
      </c>
      <c r="B629" s="3" t="s">
        <v>901</v>
      </c>
      <c r="C629" s="3" t="s">
        <v>902</v>
      </c>
      <c r="D629" s="4" t="n">
        <v>1084.8</v>
      </c>
      <c r="E629" s="3" t="s">
        <v>60</v>
      </c>
      <c r="F629" s="3" t="n">
        <v>47.23</v>
      </c>
      <c r="G629" s="3" t="s">
        <v>60</v>
      </c>
      <c r="H629" s="3" t="s">
        <v>60</v>
      </c>
      <c r="I629" s="3" t="n">
        <v>6769375</v>
      </c>
      <c r="J629" s="3" t="n">
        <v>286875</v>
      </c>
      <c r="K629" s="3" t="s">
        <v>61</v>
      </c>
      <c r="L629" s="3" t="s">
        <v>62</v>
      </c>
      <c r="M629" s="3" t="s">
        <v>1174</v>
      </c>
      <c r="N629" s="3" t="n">
        <v>5</v>
      </c>
      <c r="O629" s="3" t="s">
        <v>64</v>
      </c>
      <c r="P629" s="3" t="s">
        <v>65</v>
      </c>
    </row>
    <row r="630" customFormat="false" ht="15" hidden="false" customHeight="false" outlineLevel="0" collapsed="false">
      <c r="A630" s="3" t="s">
        <v>1175</v>
      </c>
      <c r="B630" s="3" t="s">
        <v>237</v>
      </c>
      <c r="C630" s="3" t="s">
        <v>238</v>
      </c>
      <c r="D630" s="4" t="n">
        <v>1765.7</v>
      </c>
      <c r="E630" s="3" t="s">
        <v>60</v>
      </c>
      <c r="F630" s="3" t="n">
        <v>54.42</v>
      </c>
      <c r="G630" s="3" t="s">
        <v>60</v>
      </c>
      <c r="H630" s="3" t="s">
        <v>60</v>
      </c>
      <c r="I630" s="3" t="n">
        <v>3916500</v>
      </c>
      <c r="J630" s="3" t="n">
        <v>17850</v>
      </c>
      <c r="K630" s="3" t="s">
        <v>61</v>
      </c>
      <c r="L630" s="3" t="s">
        <v>62</v>
      </c>
      <c r="M630" s="3" t="s">
        <v>1176</v>
      </c>
      <c r="N630" s="3" t="n">
        <v>6</v>
      </c>
      <c r="O630" s="3" t="s">
        <v>64</v>
      </c>
      <c r="P630" s="3" t="s">
        <v>65</v>
      </c>
    </row>
    <row r="631" customFormat="false" ht="15" hidden="false" customHeight="false" outlineLevel="0" collapsed="false">
      <c r="A631" s="3" t="s">
        <v>1177</v>
      </c>
      <c r="B631" s="3" t="s">
        <v>210</v>
      </c>
      <c r="C631" s="3" t="s">
        <v>211</v>
      </c>
      <c r="D631" s="4" t="n">
        <v>1689.1</v>
      </c>
      <c r="E631" s="3" t="s">
        <v>60</v>
      </c>
      <c r="F631" s="3" t="n">
        <v>59.46</v>
      </c>
      <c r="G631" s="3" t="s">
        <v>60</v>
      </c>
      <c r="H631" s="3" t="s">
        <v>60</v>
      </c>
      <c r="I631" s="3" t="n">
        <v>10354750</v>
      </c>
      <c r="J631" s="3" t="n">
        <v>280500</v>
      </c>
      <c r="K631" s="3" t="s">
        <v>61</v>
      </c>
      <c r="L631" s="3" t="s">
        <v>62</v>
      </c>
      <c r="M631" s="3" t="s">
        <v>1178</v>
      </c>
      <c r="N631" s="3" t="n">
        <v>3</v>
      </c>
      <c r="O631" s="3" t="s">
        <v>64</v>
      </c>
      <c r="P631" s="3" t="s">
        <v>65</v>
      </c>
    </row>
    <row r="632" customFormat="false" ht="15" hidden="false" customHeight="false" outlineLevel="0" collapsed="false">
      <c r="A632" s="3" t="s">
        <v>1177</v>
      </c>
      <c r="B632" s="3" t="s">
        <v>319</v>
      </c>
      <c r="C632" s="3" t="s">
        <v>320</v>
      </c>
      <c r="D632" s="4" t="n">
        <v>1568.1</v>
      </c>
      <c r="E632" s="3" t="s">
        <v>60</v>
      </c>
      <c r="F632" s="3" t="n">
        <v>53.31</v>
      </c>
      <c r="G632" s="3" t="s">
        <v>60</v>
      </c>
      <c r="H632" s="3" t="s">
        <v>60</v>
      </c>
      <c r="I632" s="3" t="n">
        <v>16388125</v>
      </c>
      <c r="J632" s="3" t="n">
        <v>213125</v>
      </c>
      <c r="K632" s="3" t="s">
        <v>61</v>
      </c>
      <c r="L632" s="3" t="s">
        <v>62</v>
      </c>
      <c r="M632" s="3" t="s">
        <v>1179</v>
      </c>
      <c r="N632" s="3" t="n">
        <v>4</v>
      </c>
      <c r="O632" s="3" t="s">
        <v>64</v>
      </c>
      <c r="P632" s="3" t="s">
        <v>65</v>
      </c>
    </row>
    <row r="633" customFormat="false" ht="15" hidden="false" customHeight="false" outlineLevel="0" collapsed="false">
      <c r="A633" s="3" t="s">
        <v>1177</v>
      </c>
      <c r="B633" s="3" t="s">
        <v>522</v>
      </c>
      <c r="C633" s="3" t="s">
        <v>523</v>
      </c>
      <c r="D633" s="4" t="n">
        <v>256.2</v>
      </c>
      <c r="E633" s="3" t="s">
        <v>60</v>
      </c>
      <c r="F633" s="3" t="n">
        <v>53.33</v>
      </c>
      <c r="G633" s="3" t="s">
        <v>60</v>
      </c>
      <c r="H633" s="3" t="s">
        <v>60</v>
      </c>
      <c r="I633" s="3" t="n">
        <v>51400800</v>
      </c>
      <c r="J633" s="3" t="n">
        <v>925200</v>
      </c>
      <c r="K633" s="3" t="s">
        <v>61</v>
      </c>
      <c r="L633" s="3" t="s">
        <v>62</v>
      </c>
      <c r="M633" s="3" t="s">
        <v>1180</v>
      </c>
      <c r="N633" s="3" t="n">
        <v>2</v>
      </c>
      <c r="O633" s="3" t="s">
        <v>64</v>
      </c>
      <c r="P633" s="3" t="s">
        <v>65</v>
      </c>
    </row>
    <row r="634" customFormat="false" ht="15" hidden="false" customHeight="false" outlineLevel="0" collapsed="false">
      <c r="A634" s="3" t="s">
        <v>1177</v>
      </c>
      <c r="B634" s="3" t="s">
        <v>1181</v>
      </c>
      <c r="C634" s="3" t="s">
        <v>1182</v>
      </c>
      <c r="D634" s="4" t="n">
        <v>4709.7</v>
      </c>
      <c r="E634" s="3" t="s">
        <v>60</v>
      </c>
      <c r="F634" s="3" t="n">
        <v>50.17</v>
      </c>
      <c r="G634" s="3" t="s">
        <v>60</v>
      </c>
      <c r="H634" s="3" t="s">
        <v>60</v>
      </c>
      <c r="I634" s="3" t="n">
        <v>7233000</v>
      </c>
      <c r="J634" s="3" t="n">
        <v>14550</v>
      </c>
      <c r="K634" s="3" t="s">
        <v>61</v>
      </c>
      <c r="L634" s="3" t="s">
        <v>62</v>
      </c>
      <c r="M634" s="3" t="s">
        <v>1183</v>
      </c>
      <c r="N634" s="3" t="n">
        <v>0</v>
      </c>
      <c r="O634" s="3" t="s">
        <v>64</v>
      </c>
      <c r="P634" s="3" t="s">
        <v>65</v>
      </c>
    </row>
    <row r="635" customFormat="false" ht="15" hidden="false" customHeight="false" outlineLevel="0" collapsed="false">
      <c r="A635" s="3" t="s">
        <v>1177</v>
      </c>
      <c r="B635" s="3" t="s">
        <v>509</v>
      </c>
      <c r="C635" s="3" t="s">
        <v>510</v>
      </c>
      <c r="D635" s="4" t="n">
        <v>917.35</v>
      </c>
      <c r="E635" s="3" t="s">
        <v>60</v>
      </c>
      <c r="F635" s="3" t="n">
        <v>46.98</v>
      </c>
      <c r="G635" s="3" t="s">
        <v>60</v>
      </c>
      <c r="H635" s="3" t="s">
        <v>60</v>
      </c>
      <c r="I635" s="3" t="n">
        <v>35422100</v>
      </c>
      <c r="J635" s="3" t="n">
        <v>50400</v>
      </c>
      <c r="K635" s="3" t="s">
        <v>61</v>
      </c>
      <c r="L635" s="3" t="s">
        <v>62</v>
      </c>
      <c r="M635" s="3" t="s">
        <v>1184</v>
      </c>
      <c r="N635" s="3" t="n">
        <v>3</v>
      </c>
      <c r="O635" s="3" t="s">
        <v>64</v>
      </c>
      <c r="P635" s="3" t="s">
        <v>65</v>
      </c>
    </row>
    <row r="636" customFormat="false" ht="15" hidden="false" customHeight="false" outlineLevel="0" collapsed="false">
      <c r="A636" s="3" t="s">
        <v>1177</v>
      </c>
      <c r="B636" s="3" t="s">
        <v>480</v>
      </c>
      <c r="C636" s="3" t="s">
        <v>481</v>
      </c>
      <c r="D636" s="4" t="n">
        <v>13366</v>
      </c>
      <c r="E636" s="3" t="s">
        <v>60</v>
      </c>
      <c r="F636" s="3" t="n">
        <v>49.86</v>
      </c>
      <c r="G636" s="3" t="s">
        <v>60</v>
      </c>
      <c r="H636" s="3" t="s">
        <v>60</v>
      </c>
      <c r="I636" s="3" t="n">
        <v>3193650</v>
      </c>
      <c r="J636" s="3" t="n">
        <v>212150</v>
      </c>
      <c r="K636" s="3" t="s">
        <v>61</v>
      </c>
      <c r="L636" s="3" t="s">
        <v>62</v>
      </c>
      <c r="M636" s="3" t="s">
        <v>1185</v>
      </c>
      <c r="N636" s="3" t="n">
        <v>2</v>
      </c>
      <c r="O636" s="3" t="s">
        <v>64</v>
      </c>
      <c r="P636" s="3" t="s">
        <v>65</v>
      </c>
    </row>
    <row r="637" customFormat="false" ht="15" hidden="false" customHeight="false" outlineLevel="0" collapsed="false">
      <c r="A637" s="3" t="s">
        <v>1177</v>
      </c>
      <c r="B637" s="3" t="s">
        <v>1142</v>
      </c>
      <c r="C637" s="3" t="s">
        <v>1143</v>
      </c>
      <c r="D637" s="4" t="n">
        <v>1622.8</v>
      </c>
      <c r="E637" s="3" t="s">
        <v>60</v>
      </c>
      <c r="F637" s="3" t="n">
        <v>56.52</v>
      </c>
      <c r="G637" s="3" t="s">
        <v>60</v>
      </c>
      <c r="H637" s="3" t="s">
        <v>60</v>
      </c>
      <c r="I637" s="3" t="n">
        <v>6460650</v>
      </c>
      <c r="J637" s="3" t="n">
        <v>29400</v>
      </c>
      <c r="K637" s="3" t="s">
        <v>61</v>
      </c>
      <c r="L637" s="3" t="s">
        <v>62</v>
      </c>
      <c r="M637" s="3" t="s">
        <v>1186</v>
      </c>
      <c r="N637" s="3" t="n">
        <v>1</v>
      </c>
      <c r="O637" s="3" t="s">
        <v>299</v>
      </c>
      <c r="P637" s="3" t="s">
        <v>70</v>
      </c>
    </row>
    <row r="638" customFormat="false" ht="15" hidden="false" customHeight="false" outlineLevel="0" collapsed="false">
      <c r="A638" s="3" t="s">
        <v>1177</v>
      </c>
      <c r="B638" s="3" t="s">
        <v>164</v>
      </c>
      <c r="C638" s="3" t="s">
        <v>165</v>
      </c>
      <c r="D638" s="4" t="n">
        <v>1535.5</v>
      </c>
      <c r="E638" s="3" t="s">
        <v>60</v>
      </c>
      <c r="F638" s="3" t="n">
        <v>49.76</v>
      </c>
      <c r="G638" s="3" t="s">
        <v>60</v>
      </c>
      <c r="H638" s="3" t="s">
        <v>60</v>
      </c>
      <c r="I638" s="3" t="n">
        <v>7127000</v>
      </c>
      <c r="J638" s="3" t="n">
        <v>165500</v>
      </c>
      <c r="K638" s="3" t="s">
        <v>61</v>
      </c>
      <c r="L638" s="3" t="s">
        <v>62</v>
      </c>
      <c r="M638" s="3" t="s">
        <v>1187</v>
      </c>
      <c r="N638" s="3" t="n">
        <v>6</v>
      </c>
      <c r="O638" s="3" t="s">
        <v>69</v>
      </c>
      <c r="P638" s="3" t="s">
        <v>70</v>
      </c>
    </row>
    <row r="639" customFormat="false" ht="15" hidden="false" customHeight="false" outlineLevel="0" collapsed="false">
      <c r="A639" s="3" t="s">
        <v>1177</v>
      </c>
      <c r="B639" s="3" t="s">
        <v>441</v>
      </c>
      <c r="C639" s="3" t="s">
        <v>442</v>
      </c>
      <c r="D639" s="4" t="n">
        <v>989.9</v>
      </c>
      <c r="E639" s="3" t="s">
        <v>60</v>
      </c>
      <c r="F639" s="3" t="n">
        <v>60.8</v>
      </c>
      <c r="G639" s="3" t="s">
        <v>60</v>
      </c>
      <c r="H639" s="3" t="s">
        <v>60</v>
      </c>
      <c r="I639" s="3" t="n">
        <v>10301850</v>
      </c>
      <c r="J639" s="3" t="n">
        <v>319150</v>
      </c>
      <c r="K639" s="3" t="s">
        <v>61</v>
      </c>
      <c r="L639" s="3" t="s">
        <v>62</v>
      </c>
      <c r="M639" s="3" t="s">
        <v>1188</v>
      </c>
      <c r="N639" s="3" t="n">
        <v>4</v>
      </c>
      <c r="O639" s="3" t="s">
        <v>64</v>
      </c>
      <c r="P639" s="3" t="s">
        <v>65</v>
      </c>
    </row>
    <row r="640" customFormat="false" ht="15" hidden="false" customHeight="false" outlineLevel="0" collapsed="false">
      <c r="A640" s="3" t="s">
        <v>1177</v>
      </c>
      <c r="B640" s="3" t="s">
        <v>700</v>
      </c>
      <c r="C640" s="3" t="s">
        <v>701</v>
      </c>
      <c r="D640" s="4" t="n">
        <v>3312.8</v>
      </c>
      <c r="E640" s="3" t="s">
        <v>60</v>
      </c>
      <c r="F640" s="3" t="n">
        <v>65.4</v>
      </c>
      <c r="G640" s="3" t="s">
        <v>60</v>
      </c>
      <c r="H640" s="3" t="s">
        <v>60</v>
      </c>
      <c r="I640" s="3" t="n">
        <v>11876550</v>
      </c>
      <c r="J640" s="3" t="n">
        <v>611975</v>
      </c>
      <c r="K640" s="3" t="s">
        <v>61</v>
      </c>
      <c r="L640" s="3" t="s">
        <v>62</v>
      </c>
      <c r="M640" s="3" t="s">
        <v>1189</v>
      </c>
      <c r="N640" s="3" t="n">
        <v>1</v>
      </c>
      <c r="O640" s="3" t="s">
        <v>64</v>
      </c>
      <c r="P640" s="3" t="s">
        <v>65</v>
      </c>
    </row>
    <row r="641" customFormat="false" ht="15" hidden="false" customHeight="false" outlineLevel="0" collapsed="false">
      <c r="A641" s="3" t="s">
        <v>1190</v>
      </c>
      <c r="B641" s="3" t="s">
        <v>207</v>
      </c>
      <c r="C641" s="3" t="s">
        <v>208</v>
      </c>
      <c r="D641" s="4" t="n">
        <v>1130.8</v>
      </c>
      <c r="E641" s="3" t="s">
        <v>60</v>
      </c>
      <c r="F641" s="3" t="n">
        <v>60.46</v>
      </c>
      <c r="G641" s="3" t="s">
        <v>60</v>
      </c>
      <c r="H641" s="3" t="s">
        <v>60</v>
      </c>
      <c r="I641" s="3" t="n">
        <v>5792500</v>
      </c>
      <c r="J641" s="3" t="n">
        <v>157000</v>
      </c>
      <c r="K641" s="3" t="s">
        <v>61</v>
      </c>
      <c r="L641" s="3" t="s">
        <v>62</v>
      </c>
      <c r="M641" s="3" t="s">
        <v>1191</v>
      </c>
      <c r="N641" s="3" t="n">
        <v>6</v>
      </c>
      <c r="O641" s="3" t="s">
        <v>64</v>
      </c>
      <c r="P641" s="3" t="s">
        <v>65</v>
      </c>
    </row>
    <row r="642" customFormat="false" ht="15" hidden="false" customHeight="false" outlineLevel="0" collapsed="false">
      <c r="A642" s="3" t="s">
        <v>1190</v>
      </c>
      <c r="B642" s="3" t="s">
        <v>58</v>
      </c>
      <c r="C642" s="3" t="s">
        <v>59</v>
      </c>
      <c r="D642" s="4" t="n">
        <v>1833.8</v>
      </c>
      <c r="E642" s="3" t="s">
        <v>60</v>
      </c>
      <c r="F642" s="3" t="n">
        <v>67.42</v>
      </c>
      <c r="G642" s="3" t="s">
        <v>60</v>
      </c>
      <c r="H642" s="3" t="s">
        <v>60</v>
      </c>
      <c r="I642" s="3" t="n">
        <v>5901350</v>
      </c>
      <c r="J642" s="3" t="n">
        <v>285600</v>
      </c>
      <c r="K642" s="3" t="s">
        <v>61</v>
      </c>
      <c r="L642" s="3" t="s">
        <v>62</v>
      </c>
      <c r="M642" s="3" t="s">
        <v>1192</v>
      </c>
      <c r="N642" s="3" t="n">
        <v>4</v>
      </c>
      <c r="O642" s="3" t="s">
        <v>64</v>
      </c>
      <c r="P642" s="3" t="s">
        <v>65</v>
      </c>
    </row>
    <row r="643" customFormat="false" ht="15" hidden="false" customHeight="false" outlineLevel="0" collapsed="false">
      <c r="A643" s="3" t="s">
        <v>1190</v>
      </c>
      <c r="B643" s="3" t="s">
        <v>93</v>
      </c>
      <c r="C643" s="3" t="s">
        <v>94</v>
      </c>
      <c r="D643" s="4" t="n">
        <v>1719.4</v>
      </c>
      <c r="E643" s="3" t="s">
        <v>60</v>
      </c>
      <c r="F643" s="3" t="n">
        <v>53.02</v>
      </c>
      <c r="G643" s="3" t="s">
        <v>60</v>
      </c>
      <c r="H643" s="3" t="s">
        <v>60</v>
      </c>
      <c r="I643" s="3" t="n">
        <v>4584450</v>
      </c>
      <c r="J643" s="3" t="n">
        <v>86450</v>
      </c>
      <c r="K643" s="3" t="s">
        <v>61</v>
      </c>
      <c r="L643" s="3" t="s">
        <v>62</v>
      </c>
      <c r="M643" s="3" t="s">
        <v>1193</v>
      </c>
      <c r="N643" s="3" t="n">
        <v>5</v>
      </c>
      <c r="O643" s="3" t="s">
        <v>64</v>
      </c>
      <c r="P643" s="3" t="s">
        <v>65</v>
      </c>
    </row>
    <row r="644" customFormat="false" ht="15" hidden="false" customHeight="false" outlineLevel="0" collapsed="false">
      <c r="A644" s="3" t="s">
        <v>1190</v>
      </c>
      <c r="B644" s="3" t="s">
        <v>254</v>
      </c>
      <c r="C644" s="3" t="s">
        <v>255</v>
      </c>
      <c r="D644" s="4" t="n">
        <v>614.45</v>
      </c>
      <c r="E644" s="3" t="s">
        <v>60</v>
      </c>
      <c r="F644" s="3" t="n">
        <v>50.66</v>
      </c>
      <c r="G644" s="3" t="s">
        <v>60</v>
      </c>
      <c r="H644" s="3" t="s">
        <v>60</v>
      </c>
      <c r="I644" s="3" t="n">
        <v>41721900</v>
      </c>
      <c r="J644" s="3" t="n">
        <v>1178925</v>
      </c>
      <c r="K644" s="3" t="s">
        <v>61</v>
      </c>
      <c r="L644" s="3" t="s">
        <v>62</v>
      </c>
      <c r="M644" s="3" t="s">
        <v>1194</v>
      </c>
      <c r="N644" s="3" t="n">
        <v>2</v>
      </c>
      <c r="O644" s="3" t="s">
        <v>64</v>
      </c>
      <c r="P644" s="3" t="s">
        <v>65</v>
      </c>
    </row>
    <row r="645" customFormat="false" ht="15" hidden="false" customHeight="false" outlineLevel="0" collapsed="false">
      <c r="A645" s="3" t="s">
        <v>1190</v>
      </c>
      <c r="B645" s="3" t="s">
        <v>257</v>
      </c>
      <c r="C645" s="3" t="s">
        <v>258</v>
      </c>
      <c r="D645" s="4" t="n">
        <v>175.41</v>
      </c>
      <c r="E645" s="3" t="s">
        <v>60</v>
      </c>
      <c r="F645" s="3" t="n">
        <v>59.24</v>
      </c>
      <c r="G645" s="3" t="s">
        <v>60</v>
      </c>
      <c r="H645" s="3" t="s">
        <v>60</v>
      </c>
      <c r="I645" s="3" t="n">
        <v>73432800</v>
      </c>
      <c r="J645" s="3" t="n">
        <v>1278900</v>
      </c>
      <c r="K645" s="3" t="s">
        <v>61</v>
      </c>
      <c r="L645" s="3" t="s">
        <v>62</v>
      </c>
      <c r="M645" s="3" t="s">
        <v>1195</v>
      </c>
      <c r="N645" s="3" t="n">
        <v>3</v>
      </c>
      <c r="O645" s="3" t="s">
        <v>64</v>
      </c>
      <c r="P645" s="3" t="s">
        <v>65</v>
      </c>
    </row>
    <row r="646" customFormat="false" ht="15" hidden="false" customHeight="false" outlineLevel="0" collapsed="false">
      <c r="A646" s="3" t="s">
        <v>1190</v>
      </c>
      <c r="B646" s="3" t="s">
        <v>136</v>
      </c>
      <c r="C646" s="3" t="s">
        <v>137</v>
      </c>
      <c r="D646" s="4" t="n">
        <v>144.49</v>
      </c>
      <c r="E646" s="3" t="s">
        <v>60</v>
      </c>
      <c r="F646" s="3" t="n">
        <v>45.4</v>
      </c>
      <c r="G646" s="3" t="s">
        <v>60</v>
      </c>
      <c r="H646" s="3" t="s">
        <v>60</v>
      </c>
      <c r="I646" s="3" t="n">
        <v>116731875</v>
      </c>
      <c r="J646" s="3" t="n">
        <v>2106000</v>
      </c>
      <c r="K646" s="3" t="s">
        <v>61</v>
      </c>
      <c r="L646" s="3" t="s">
        <v>62</v>
      </c>
      <c r="M646" s="3" t="s">
        <v>1196</v>
      </c>
      <c r="N646" s="3" t="n">
        <v>11</v>
      </c>
      <c r="O646" s="3" t="s">
        <v>64</v>
      </c>
      <c r="P646" s="3" t="s">
        <v>65</v>
      </c>
    </row>
    <row r="647" customFormat="false" ht="15" hidden="false" customHeight="false" outlineLevel="0" collapsed="false">
      <c r="A647" s="3" t="s">
        <v>1190</v>
      </c>
      <c r="B647" s="3" t="s">
        <v>525</v>
      </c>
      <c r="C647" s="3" t="s">
        <v>526</v>
      </c>
      <c r="D647" s="4" t="n">
        <v>239.52</v>
      </c>
      <c r="E647" s="3" t="s">
        <v>60</v>
      </c>
      <c r="F647" s="3" t="n">
        <v>45.32</v>
      </c>
      <c r="G647" s="3" t="s">
        <v>60</v>
      </c>
      <c r="H647" s="3" t="s">
        <v>60</v>
      </c>
      <c r="I647" s="3" t="n">
        <v>160737650</v>
      </c>
      <c r="J647" s="3" t="n">
        <v>1457000</v>
      </c>
      <c r="K647" s="3" t="s">
        <v>61</v>
      </c>
      <c r="L647" s="3" t="s">
        <v>62</v>
      </c>
      <c r="M647" s="3" t="s">
        <v>1197</v>
      </c>
      <c r="N647" s="3" t="n">
        <v>3</v>
      </c>
      <c r="O647" s="3" t="s">
        <v>64</v>
      </c>
      <c r="P647" s="3" t="s">
        <v>65</v>
      </c>
    </row>
    <row r="648" customFormat="false" ht="15" hidden="false" customHeight="false" outlineLevel="0" collapsed="false">
      <c r="A648" s="3" t="s">
        <v>1190</v>
      </c>
      <c r="B648" s="3" t="s">
        <v>1142</v>
      </c>
      <c r="C648" s="3" t="s">
        <v>1143</v>
      </c>
      <c r="D648" s="4" t="n">
        <v>1669.4</v>
      </c>
      <c r="E648" s="3" t="s">
        <v>60</v>
      </c>
      <c r="F648" s="3" t="n">
        <v>57.04</v>
      </c>
      <c r="G648" s="3" t="s">
        <v>60</v>
      </c>
      <c r="H648" s="3" t="s">
        <v>60</v>
      </c>
      <c r="I648" s="3" t="n">
        <v>6590150</v>
      </c>
      <c r="J648" s="3" t="n">
        <v>129500</v>
      </c>
      <c r="K648" s="3" t="s">
        <v>61</v>
      </c>
      <c r="L648" s="3" t="s">
        <v>315</v>
      </c>
      <c r="M648" s="3" t="s">
        <v>1198</v>
      </c>
      <c r="N648" s="3" t="n">
        <v>1</v>
      </c>
      <c r="O648" s="3" t="s">
        <v>317</v>
      </c>
      <c r="P648" s="3" t="s">
        <v>70</v>
      </c>
    </row>
    <row r="649" customFormat="false" ht="15" hidden="false" customHeight="false" outlineLevel="0" collapsed="false">
      <c r="A649" s="3" t="s">
        <v>1190</v>
      </c>
      <c r="B649" s="3" t="s">
        <v>237</v>
      </c>
      <c r="C649" s="3" t="s">
        <v>238</v>
      </c>
      <c r="D649" s="4" t="n">
        <v>1846.9</v>
      </c>
      <c r="E649" s="3" t="s">
        <v>60</v>
      </c>
      <c r="F649" s="3" t="n">
        <v>50.03</v>
      </c>
      <c r="G649" s="3" t="s">
        <v>60</v>
      </c>
      <c r="H649" s="3" t="s">
        <v>60</v>
      </c>
      <c r="I649" s="3" t="n">
        <v>4052650</v>
      </c>
      <c r="J649" s="3" t="n">
        <v>128100</v>
      </c>
      <c r="K649" s="3" t="s">
        <v>61</v>
      </c>
      <c r="L649" s="3" t="s">
        <v>62</v>
      </c>
      <c r="M649" s="3" t="s">
        <v>1199</v>
      </c>
      <c r="N649" s="3" t="n">
        <v>7</v>
      </c>
      <c r="O649" s="3" t="s">
        <v>64</v>
      </c>
      <c r="P649" s="3" t="s">
        <v>65</v>
      </c>
    </row>
    <row r="650" customFormat="false" ht="15" hidden="false" customHeight="false" outlineLevel="0" collapsed="false">
      <c r="A650" s="3" t="s">
        <v>1190</v>
      </c>
      <c r="B650" s="3" t="s">
        <v>164</v>
      </c>
      <c r="C650" s="3" t="s">
        <v>165</v>
      </c>
      <c r="D650" s="4" t="n">
        <v>1571</v>
      </c>
      <c r="E650" s="3" t="s">
        <v>60</v>
      </c>
      <c r="F650" s="3" t="n">
        <v>65.26</v>
      </c>
      <c r="G650" s="3" t="s">
        <v>60</v>
      </c>
      <c r="H650" s="3" t="s">
        <v>60</v>
      </c>
      <c r="I650" s="3" t="n">
        <v>7236000</v>
      </c>
      <c r="J650" s="3" t="n">
        <v>109000</v>
      </c>
      <c r="K650" s="3" t="s">
        <v>61</v>
      </c>
      <c r="L650" s="3" t="s">
        <v>62</v>
      </c>
      <c r="M650" s="3" t="s">
        <v>1200</v>
      </c>
      <c r="N650" s="3" t="n">
        <v>6</v>
      </c>
      <c r="O650" s="3" t="s">
        <v>100</v>
      </c>
      <c r="P650" s="3" t="s">
        <v>70</v>
      </c>
    </row>
    <row r="651" customFormat="false" ht="15" hidden="false" customHeight="false" outlineLevel="0" collapsed="false">
      <c r="A651" s="3" t="s">
        <v>1190</v>
      </c>
      <c r="B651" s="3" t="s">
        <v>550</v>
      </c>
      <c r="C651" s="3" t="s">
        <v>551</v>
      </c>
      <c r="D651" s="4" t="n">
        <v>1472.5</v>
      </c>
      <c r="E651" s="3" t="s">
        <v>60</v>
      </c>
      <c r="F651" s="3" t="n">
        <v>52.52</v>
      </c>
      <c r="G651" s="3" t="s">
        <v>60</v>
      </c>
      <c r="H651" s="3" t="s">
        <v>60</v>
      </c>
      <c r="I651" s="3" t="n">
        <v>5903550</v>
      </c>
      <c r="J651" s="3" t="n">
        <v>268650</v>
      </c>
      <c r="K651" s="3" t="s">
        <v>61</v>
      </c>
      <c r="L651" s="3" t="s">
        <v>62</v>
      </c>
      <c r="M651" s="3" t="s">
        <v>1201</v>
      </c>
      <c r="N651" s="3" t="n">
        <v>3</v>
      </c>
      <c r="O651" s="3" t="s">
        <v>64</v>
      </c>
      <c r="P651" s="3" t="s">
        <v>65</v>
      </c>
    </row>
    <row r="652" customFormat="false" ht="15" hidden="false" customHeight="false" outlineLevel="0" collapsed="false">
      <c r="A652" s="3" t="s">
        <v>1190</v>
      </c>
      <c r="B652" s="3" t="s">
        <v>178</v>
      </c>
      <c r="C652" s="3" t="s">
        <v>179</v>
      </c>
      <c r="D652" s="4" t="n">
        <v>404.1</v>
      </c>
      <c r="E652" s="3" t="s">
        <v>60</v>
      </c>
      <c r="F652" s="3" t="n">
        <v>45</v>
      </c>
      <c r="G652" s="3" t="s">
        <v>60</v>
      </c>
      <c r="H652" s="3" t="s">
        <v>60</v>
      </c>
      <c r="I652" s="3" t="n">
        <v>53922600</v>
      </c>
      <c r="J652" s="3" t="n">
        <v>4244150</v>
      </c>
      <c r="K652" s="3" t="s">
        <v>61</v>
      </c>
      <c r="L652" s="3" t="s">
        <v>62</v>
      </c>
      <c r="M652" s="3" t="s">
        <v>1202</v>
      </c>
      <c r="N652" s="3" t="n">
        <v>2</v>
      </c>
      <c r="O652" s="3" t="s">
        <v>64</v>
      </c>
      <c r="P652" s="3" t="s">
        <v>65</v>
      </c>
    </row>
    <row r="653" customFormat="false" ht="15" hidden="false" customHeight="false" outlineLevel="0" collapsed="false">
      <c r="A653" s="3" t="s">
        <v>1190</v>
      </c>
      <c r="B653" s="3" t="s">
        <v>579</v>
      </c>
      <c r="C653" s="3" t="s">
        <v>580</v>
      </c>
      <c r="D653" s="4" t="n">
        <v>541</v>
      </c>
      <c r="E653" s="3" t="s">
        <v>60</v>
      </c>
      <c r="F653" s="3" t="n">
        <v>61.96</v>
      </c>
      <c r="G653" s="3" t="s">
        <v>60</v>
      </c>
      <c r="H653" s="3" t="s">
        <v>60</v>
      </c>
      <c r="I653" s="3" t="n">
        <v>50203125</v>
      </c>
      <c r="J653" s="3" t="n">
        <v>1854000</v>
      </c>
      <c r="K653" s="3" t="s">
        <v>61</v>
      </c>
      <c r="L653" s="3" t="s">
        <v>62</v>
      </c>
      <c r="M653" s="3" t="s">
        <v>1203</v>
      </c>
      <c r="N653" s="3" t="n">
        <v>2</v>
      </c>
      <c r="O653" s="3" t="s">
        <v>64</v>
      </c>
      <c r="P653" s="3" t="s">
        <v>65</v>
      </c>
    </row>
    <row r="654" customFormat="false" ht="15" hidden="false" customHeight="false" outlineLevel="0" collapsed="false">
      <c r="A654" s="3" t="s">
        <v>1204</v>
      </c>
      <c r="B654" s="3" t="s">
        <v>794</v>
      </c>
      <c r="C654" s="3" t="s">
        <v>795</v>
      </c>
      <c r="D654" s="4" t="n">
        <v>2096.9</v>
      </c>
      <c r="E654" s="3" t="s">
        <v>60</v>
      </c>
      <c r="F654" s="3" t="n">
        <v>55.34</v>
      </c>
      <c r="G654" s="3" t="s">
        <v>60</v>
      </c>
      <c r="H654" s="3" t="s">
        <v>60</v>
      </c>
      <c r="I654" s="3" t="n">
        <v>4518675</v>
      </c>
      <c r="J654" s="3" t="n">
        <v>20925</v>
      </c>
      <c r="K654" s="3" t="s">
        <v>61</v>
      </c>
      <c r="L654" s="3" t="s">
        <v>62</v>
      </c>
      <c r="M654" s="3" t="s">
        <v>1205</v>
      </c>
      <c r="N654" s="3" t="n">
        <v>1</v>
      </c>
      <c r="O654" s="3" t="s">
        <v>64</v>
      </c>
      <c r="P654" s="3" t="s">
        <v>65</v>
      </c>
    </row>
    <row r="655" customFormat="false" ht="15" hidden="false" customHeight="false" outlineLevel="0" collapsed="false">
      <c r="A655" s="3" t="s">
        <v>1204</v>
      </c>
      <c r="B655" s="3" t="s">
        <v>1142</v>
      </c>
      <c r="C655" s="3" t="s">
        <v>1143</v>
      </c>
      <c r="D655" s="4" t="n">
        <v>1704.8</v>
      </c>
      <c r="E655" s="3" t="s">
        <v>60</v>
      </c>
      <c r="F655" s="3" t="n">
        <v>57.12</v>
      </c>
      <c r="G655" s="3" t="s">
        <v>60</v>
      </c>
      <c r="H655" s="3" t="s">
        <v>60</v>
      </c>
      <c r="I655" s="3" t="n">
        <v>6690950</v>
      </c>
      <c r="J655" s="3" t="n">
        <v>100800</v>
      </c>
      <c r="K655" s="3" t="s">
        <v>61</v>
      </c>
      <c r="L655" s="3" t="s">
        <v>62</v>
      </c>
      <c r="M655" s="3" t="s">
        <v>1206</v>
      </c>
      <c r="N655" s="3" t="n">
        <v>1</v>
      </c>
      <c r="O655" s="3" t="s">
        <v>324</v>
      </c>
      <c r="P655" s="3" t="s">
        <v>70</v>
      </c>
    </row>
    <row r="656" customFormat="false" ht="15" hidden="false" customHeight="false" outlineLevel="0" collapsed="false">
      <c r="A656" s="3" t="s">
        <v>1204</v>
      </c>
      <c r="B656" s="3" t="s">
        <v>83</v>
      </c>
      <c r="C656" s="3" t="s">
        <v>84</v>
      </c>
      <c r="D656" s="4" t="n">
        <v>2744</v>
      </c>
      <c r="E656" s="3" t="s">
        <v>60</v>
      </c>
      <c r="F656" s="3" t="n">
        <v>58.15</v>
      </c>
      <c r="G656" s="3" t="s">
        <v>60</v>
      </c>
      <c r="H656" s="3" t="s">
        <v>60</v>
      </c>
      <c r="I656" s="3" t="n">
        <v>2929000</v>
      </c>
      <c r="J656" s="3" t="n">
        <v>64400</v>
      </c>
      <c r="K656" s="3" t="s">
        <v>61</v>
      </c>
      <c r="L656" s="3" t="s">
        <v>62</v>
      </c>
      <c r="M656" s="3" t="s">
        <v>1207</v>
      </c>
      <c r="N656" s="3" t="n">
        <v>5</v>
      </c>
      <c r="O656" s="3" t="s">
        <v>64</v>
      </c>
      <c r="P656" s="3" t="s">
        <v>65</v>
      </c>
    </row>
    <row r="657" customFormat="false" ht="15" hidden="false" customHeight="false" outlineLevel="0" collapsed="false">
      <c r="A657" s="3" t="s">
        <v>1208</v>
      </c>
      <c r="B657" s="3" t="s">
        <v>227</v>
      </c>
      <c r="C657" s="3" t="s">
        <v>228</v>
      </c>
      <c r="D657" s="4" t="n">
        <v>1828.6</v>
      </c>
      <c r="E657" s="3" t="s">
        <v>60</v>
      </c>
      <c r="F657" s="3" t="n">
        <v>67.45</v>
      </c>
      <c r="G657" s="3" t="s">
        <v>60</v>
      </c>
      <c r="H657" s="3" t="s">
        <v>60</v>
      </c>
      <c r="I657" s="3" t="n">
        <v>20949875</v>
      </c>
      <c r="J657" s="3" t="n">
        <v>220400</v>
      </c>
      <c r="K657" s="3" t="s">
        <v>61</v>
      </c>
      <c r="L657" s="3" t="s">
        <v>62</v>
      </c>
      <c r="M657" s="3" t="s">
        <v>1209</v>
      </c>
      <c r="N657" s="3" t="n">
        <v>2</v>
      </c>
      <c r="O657" s="3" t="s">
        <v>64</v>
      </c>
      <c r="P657" s="3" t="s">
        <v>65</v>
      </c>
    </row>
    <row r="658" customFormat="false" ht="15" hidden="false" customHeight="false" outlineLevel="0" collapsed="false">
      <c r="A658" s="3" t="s">
        <v>1208</v>
      </c>
      <c r="B658" s="3" t="s">
        <v>642</v>
      </c>
      <c r="C658" s="3" t="s">
        <v>643</v>
      </c>
      <c r="D658" s="4" t="n">
        <v>419.85</v>
      </c>
      <c r="E658" s="3" t="s">
        <v>60</v>
      </c>
      <c r="F658" s="3" t="n">
        <v>61.88</v>
      </c>
      <c r="G658" s="3" t="s">
        <v>60</v>
      </c>
      <c r="H658" s="3" t="s">
        <v>60</v>
      </c>
      <c r="I658" s="3" t="n">
        <v>112778775</v>
      </c>
      <c r="J658" s="3" t="n">
        <v>4644075</v>
      </c>
      <c r="K658" s="3" t="s">
        <v>61</v>
      </c>
      <c r="L658" s="3" t="s">
        <v>62</v>
      </c>
      <c r="M658" s="3" t="s">
        <v>1210</v>
      </c>
      <c r="N658" s="3" t="n">
        <v>1</v>
      </c>
      <c r="O658" s="3" t="s">
        <v>64</v>
      </c>
      <c r="P658" s="3" t="s">
        <v>65</v>
      </c>
    </row>
    <row r="659" customFormat="false" ht="15" hidden="false" customHeight="false" outlineLevel="0" collapsed="false">
      <c r="A659" s="3" t="s">
        <v>1208</v>
      </c>
      <c r="B659" s="3" t="s">
        <v>519</v>
      </c>
      <c r="C659" s="3" t="s">
        <v>520</v>
      </c>
      <c r="D659" s="4" t="n">
        <v>135.24</v>
      </c>
      <c r="E659" s="3" t="s">
        <v>60</v>
      </c>
      <c r="F659" s="3" t="n">
        <v>46.79</v>
      </c>
      <c r="G659" s="3" t="s">
        <v>60</v>
      </c>
      <c r="H659" s="3" t="s">
        <v>60</v>
      </c>
      <c r="I659" s="3" t="n">
        <v>284451750</v>
      </c>
      <c r="J659" s="3" t="n">
        <v>1019250</v>
      </c>
      <c r="K659" s="3" t="s">
        <v>61</v>
      </c>
      <c r="L659" s="3" t="s">
        <v>62</v>
      </c>
      <c r="M659" s="3" t="s">
        <v>1211</v>
      </c>
      <c r="N659" s="3" t="n">
        <v>3</v>
      </c>
      <c r="O659" s="3" t="s">
        <v>64</v>
      </c>
      <c r="P659" s="3" t="s">
        <v>65</v>
      </c>
    </row>
    <row r="660" customFormat="false" ht="15" hidden="false" customHeight="false" outlineLevel="0" collapsed="false">
      <c r="A660" s="3" t="s">
        <v>1208</v>
      </c>
      <c r="B660" s="3" t="s">
        <v>74</v>
      </c>
      <c r="C660" s="3" t="s">
        <v>75</v>
      </c>
      <c r="D660" s="4" t="n">
        <v>1790.5</v>
      </c>
      <c r="E660" s="3" t="s">
        <v>60</v>
      </c>
      <c r="F660" s="3" t="n">
        <v>81.21</v>
      </c>
      <c r="G660" s="3" t="s">
        <v>60</v>
      </c>
      <c r="H660" s="3" t="s">
        <v>60</v>
      </c>
      <c r="I660" s="3" t="n">
        <v>4376125</v>
      </c>
      <c r="J660" s="3" t="n">
        <v>72150</v>
      </c>
      <c r="K660" s="3" t="s">
        <v>61</v>
      </c>
      <c r="L660" s="3" t="s">
        <v>62</v>
      </c>
      <c r="M660" s="3" t="s">
        <v>1212</v>
      </c>
      <c r="N660" s="3" t="n">
        <v>3</v>
      </c>
      <c r="O660" s="3" t="s">
        <v>64</v>
      </c>
      <c r="P660" s="3" t="s">
        <v>65</v>
      </c>
    </row>
    <row r="661" customFormat="false" ht="15" hidden="false" customHeight="false" outlineLevel="0" collapsed="false">
      <c r="A661" s="3" t="s">
        <v>1208</v>
      </c>
      <c r="B661" s="3" t="s">
        <v>266</v>
      </c>
      <c r="C661" s="3" t="s">
        <v>267</v>
      </c>
      <c r="D661" s="4" t="n">
        <v>2340.2</v>
      </c>
      <c r="E661" s="3" t="s">
        <v>60</v>
      </c>
      <c r="F661" s="3" t="n">
        <v>50.1</v>
      </c>
      <c r="G661" s="3" t="s">
        <v>60</v>
      </c>
      <c r="H661" s="3" t="s">
        <v>60</v>
      </c>
      <c r="I661" s="3" t="n">
        <v>4951375</v>
      </c>
      <c r="J661" s="3" t="n">
        <v>135575</v>
      </c>
      <c r="K661" s="3" t="s">
        <v>61</v>
      </c>
      <c r="L661" s="3" t="s">
        <v>62</v>
      </c>
      <c r="M661" s="3" t="s">
        <v>1213</v>
      </c>
      <c r="N661" s="3" t="n">
        <v>2</v>
      </c>
      <c r="O661" s="3" t="s">
        <v>64</v>
      </c>
      <c r="P661" s="3" t="s">
        <v>65</v>
      </c>
    </row>
    <row r="662" customFormat="false" ht="15" hidden="false" customHeight="false" outlineLevel="0" collapsed="false">
      <c r="A662" s="3" t="s">
        <v>1208</v>
      </c>
      <c r="B662" s="3" t="s">
        <v>765</v>
      </c>
      <c r="C662" s="3" t="s">
        <v>766</v>
      </c>
      <c r="D662" s="4" t="n">
        <v>280.95</v>
      </c>
      <c r="E662" s="3" t="s">
        <v>60</v>
      </c>
      <c r="F662" s="3" t="n">
        <v>57.71</v>
      </c>
      <c r="G662" s="3" t="s">
        <v>60</v>
      </c>
      <c r="H662" s="3" t="s">
        <v>60</v>
      </c>
      <c r="I662" s="3" t="n">
        <v>46265625</v>
      </c>
      <c r="J662" s="3" t="n">
        <v>334375</v>
      </c>
      <c r="K662" s="3" t="s">
        <v>61</v>
      </c>
      <c r="L662" s="3" t="s">
        <v>62</v>
      </c>
      <c r="M662" s="3" t="s">
        <v>1214</v>
      </c>
      <c r="N662" s="3" t="n">
        <v>3</v>
      </c>
      <c r="O662" s="3" t="s">
        <v>64</v>
      </c>
      <c r="P662" s="3" t="s">
        <v>65</v>
      </c>
    </row>
    <row r="663" customFormat="false" ht="15" hidden="false" customHeight="false" outlineLevel="0" collapsed="false">
      <c r="A663" s="3" t="s">
        <v>1215</v>
      </c>
      <c r="B663" s="3" t="s">
        <v>254</v>
      </c>
      <c r="C663" s="3" t="s">
        <v>255</v>
      </c>
      <c r="D663" s="4" t="n">
        <v>640.7</v>
      </c>
      <c r="E663" s="3" t="s">
        <v>60</v>
      </c>
      <c r="F663" s="3" t="n">
        <v>57.25</v>
      </c>
      <c r="G663" s="3" t="s">
        <v>60</v>
      </c>
      <c r="H663" s="3" t="s">
        <v>60</v>
      </c>
      <c r="I663" s="3" t="n">
        <v>42671475</v>
      </c>
      <c r="J663" s="3" t="n">
        <v>258225</v>
      </c>
      <c r="K663" s="3" t="s">
        <v>61</v>
      </c>
      <c r="L663" s="3" t="s">
        <v>62</v>
      </c>
      <c r="M663" s="3" t="s">
        <v>1216</v>
      </c>
      <c r="N663" s="3" t="n">
        <v>3</v>
      </c>
      <c r="O663" s="3" t="s">
        <v>64</v>
      </c>
      <c r="P663" s="3" t="s">
        <v>65</v>
      </c>
    </row>
    <row r="664" customFormat="false" ht="15" hidden="false" customHeight="false" outlineLevel="0" collapsed="false">
      <c r="A664" s="3" t="s">
        <v>1215</v>
      </c>
      <c r="B664" s="3" t="s">
        <v>1145</v>
      </c>
      <c r="C664" s="3" t="s">
        <v>1146</v>
      </c>
      <c r="D664" s="4" t="n">
        <v>3690</v>
      </c>
      <c r="E664" s="3" t="s">
        <v>60</v>
      </c>
      <c r="F664" s="3" t="n">
        <v>46.59</v>
      </c>
      <c r="G664" s="3" t="s">
        <v>60</v>
      </c>
      <c r="H664" s="3" t="s">
        <v>60</v>
      </c>
      <c r="I664" s="3" t="n">
        <v>458250</v>
      </c>
      <c r="J664" s="3" t="n">
        <v>213450</v>
      </c>
      <c r="K664" s="3" t="s">
        <v>61</v>
      </c>
      <c r="L664" s="3" t="s">
        <v>62</v>
      </c>
      <c r="M664" s="3" t="s">
        <v>1217</v>
      </c>
      <c r="N664" s="3" t="n">
        <v>1</v>
      </c>
      <c r="O664" s="3" t="s">
        <v>64</v>
      </c>
      <c r="P664" s="3" t="s">
        <v>65</v>
      </c>
    </row>
    <row r="665" customFormat="false" ht="15" hidden="false" customHeight="false" outlineLevel="0" collapsed="false">
      <c r="A665" s="3" t="s">
        <v>1218</v>
      </c>
      <c r="B665" s="3" t="s">
        <v>207</v>
      </c>
      <c r="C665" s="3" t="s">
        <v>208</v>
      </c>
      <c r="D665" s="4" t="n">
        <v>1145.1</v>
      </c>
      <c r="E665" s="3" t="s">
        <v>60</v>
      </c>
      <c r="F665" s="3" t="n">
        <v>67.67</v>
      </c>
      <c r="G665" s="3" t="s">
        <v>60</v>
      </c>
      <c r="H665" s="3" t="s">
        <v>60</v>
      </c>
      <c r="I665" s="3" t="n">
        <v>6072500</v>
      </c>
      <c r="J665" s="3" t="n">
        <v>100000</v>
      </c>
      <c r="K665" s="3" t="s">
        <v>61</v>
      </c>
      <c r="L665" s="3" t="s">
        <v>62</v>
      </c>
      <c r="M665" s="3" t="s">
        <v>1219</v>
      </c>
      <c r="N665" s="3" t="n">
        <v>7</v>
      </c>
      <c r="O665" s="3" t="s">
        <v>64</v>
      </c>
      <c r="P665" s="3" t="s">
        <v>65</v>
      </c>
    </row>
    <row r="666" customFormat="false" ht="15" hidden="false" customHeight="false" outlineLevel="0" collapsed="false">
      <c r="A666" s="3" t="s">
        <v>1218</v>
      </c>
      <c r="B666" s="3" t="s">
        <v>213</v>
      </c>
      <c r="C666" s="3" t="s">
        <v>214</v>
      </c>
      <c r="D666" s="4" t="n">
        <v>961.8</v>
      </c>
      <c r="E666" s="3" t="s">
        <v>60</v>
      </c>
      <c r="F666" s="3" t="n">
        <v>76.31</v>
      </c>
      <c r="G666" s="3" t="s">
        <v>60</v>
      </c>
      <c r="H666" s="3" t="s">
        <v>60</v>
      </c>
      <c r="I666" s="3" t="n">
        <v>73788750</v>
      </c>
      <c r="J666" s="3" t="n">
        <v>2197500</v>
      </c>
      <c r="K666" s="3" t="s">
        <v>61</v>
      </c>
      <c r="L666" s="3" t="s">
        <v>62</v>
      </c>
      <c r="M666" s="3" t="s">
        <v>1220</v>
      </c>
      <c r="N666" s="3" t="n">
        <v>2</v>
      </c>
      <c r="O666" s="3" t="s">
        <v>64</v>
      </c>
      <c r="P666" s="3" t="s">
        <v>65</v>
      </c>
    </row>
    <row r="667" customFormat="false" ht="15" hidden="false" customHeight="false" outlineLevel="0" collapsed="false">
      <c r="A667" s="3" t="s">
        <v>1218</v>
      </c>
      <c r="B667" s="3" t="s">
        <v>664</v>
      </c>
      <c r="C667" s="3" t="s">
        <v>665</v>
      </c>
      <c r="D667" s="4" t="n">
        <v>2041.4</v>
      </c>
      <c r="E667" s="3" t="s">
        <v>60</v>
      </c>
      <c r="F667" s="3" t="n">
        <v>49.89</v>
      </c>
      <c r="G667" s="3" t="s">
        <v>60</v>
      </c>
      <c r="H667" s="3" t="s">
        <v>60</v>
      </c>
      <c r="I667" s="3" t="n">
        <v>7675500</v>
      </c>
      <c r="J667" s="3" t="n">
        <v>364000</v>
      </c>
      <c r="K667" s="3" t="s">
        <v>61</v>
      </c>
      <c r="L667" s="3" t="s">
        <v>62</v>
      </c>
      <c r="M667" s="3" t="s">
        <v>1221</v>
      </c>
      <c r="N667" s="3" t="n">
        <v>4</v>
      </c>
      <c r="O667" s="3" t="s">
        <v>64</v>
      </c>
      <c r="P667" s="3" t="s">
        <v>65</v>
      </c>
    </row>
    <row r="668" customFormat="false" ht="15" hidden="false" customHeight="false" outlineLevel="0" collapsed="false">
      <c r="A668" s="3" t="s">
        <v>1218</v>
      </c>
      <c r="B668" s="3" t="s">
        <v>1118</v>
      </c>
      <c r="C668" s="3" t="s">
        <v>1119</v>
      </c>
      <c r="D668" s="4" t="n">
        <v>5533.5</v>
      </c>
      <c r="E668" s="3" t="s">
        <v>60</v>
      </c>
      <c r="F668" s="3" t="n">
        <v>48.86</v>
      </c>
      <c r="G668" s="3" t="s">
        <v>60</v>
      </c>
      <c r="H668" s="3" t="s">
        <v>60</v>
      </c>
      <c r="I668" s="3" t="n">
        <v>1069000</v>
      </c>
      <c r="J668" s="3" t="n">
        <v>94875</v>
      </c>
      <c r="K668" s="3" t="s">
        <v>61</v>
      </c>
      <c r="L668" s="3" t="s">
        <v>62</v>
      </c>
      <c r="M668" s="3" t="s">
        <v>1222</v>
      </c>
      <c r="N668" s="3" t="n">
        <v>2</v>
      </c>
      <c r="O668" s="3" t="s">
        <v>64</v>
      </c>
      <c r="P668" s="3" t="s">
        <v>65</v>
      </c>
    </row>
    <row r="669" customFormat="false" ht="15" hidden="false" customHeight="false" outlineLevel="0" collapsed="false">
      <c r="A669" s="3" t="s">
        <v>1218</v>
      </c>
      <c r="B669" s="3" t="s">
        <v>765</v>
      </c>
      <c r="C669" s="3" t="s">
        <v>766</v>
      </c>
      <c r="D669" s="4" t="n">
        <v>302.3</v>
      </c>
      <c r="E669" s="3" t="s">
        <v>60</v>
      </c>
      <c r="F669" s="3" t="n">
        <v>51.14</v>
      </c>
      <c r="G669" s="3" t="s">
        <v>60</v>
      </c>
      <c r="H669" s="3" t="s">
        <v>60</v>
      </c>
      <c r="I669" s="3" t="n">
        <v>50846875</v>
      </c>
      <c r="J669" s="3" t="n">
        <v>143750</v>
      </c>
      <c r="K669" s="3" t="s">
        <v>61</v>
      </c>
      <c r="L669" s="3" t="s">
        <v>62</v>
      </c>
      <c r="M669" s="3" t="s">
        <v>1223</v>
      </c>
      <c r="N669" s="3" t="n">
        <v>4</v>
      </c>
      <c r="O669" s="3" t="s">
        <v>64</v>
      </c>
      <c r="P669" s="3" t="s">
        <v>65</v>
      </c>
    </row>
    <row r="670" customFormat="false" ht="15" hidden="false" customHeight="false" outlineLevel="0" collapsed="false">
      <c r="A670" s="3" t="s">
        <v>1218</v>
      </c>
      <c r="B670" s="3" t="s">
        <v>1224</v>
      </c>
      <c r="C670" s="3" t="s">
        <v>1225</v>
      </c>
      <c r="D670" s="4" t="n">
        <v>3205.8</v>
      </c>
      <c r="E670" s="3" t="s">
        <v>60</v>
      </c>
      <c r="F670" s="3" t="n">
        <v>48.73</v>
      </c>
      <c r="G670" s="3" t="s">
        <v>60</v>
      </c>
      <c r="H670" s="3" t="s">
        <v>60</v>
      </c>
      <c r="I670" s="3" t="n">
        <v>10945200</v>
      </c>
      <c r="J670" s="3" t="n">
        <v>521400</v>
      </c>
      <c r="K670" s="3" t="s">
        <v>61</v>
      </c>
      <c r="L670" s="3" t="s">
        <v>62</v>
      </c>
      <c r="M670" s="3" t="s">
        <v>1226</v>
      </c>
      <c r="N670" s="3" t="n">
        <v>0</v>
      </c>
      <c r="O670" s="3" t="s">
        <v>64</v>
      </c>
      <c r="P670" s="3" t="s">
        <v>65</v>
      </c>
    </row>
    <row r="671" customFormat="false" ht="15" hidden="false" customHeight="false" outlineLevel="0" collapsed="false">
      <c r="A671" s="3" t="s">
        <v>1227</v>
      </c>
      <c r="B671" s="3" t="s">
        <v>90</v>
      </c>
      <c r="C671" s="3" t="s">
        <v>91</v>
      </c>
      <c r="D671" s="4" t="n">
        <v>10191</v>
      </c>
      <c r="E671" s="3" t="s">
        <v>60</v>
      </c>
      <c r="F671" s="3" t="n">
        <v>63.88</v>
      </c>
      <c r="G671" s="3" t="s">
        <v>60</v>
      </c>
      <c r="H671" s="3" t="s">
        <v>60</v>
      </c>
      <c r="I671" s="3" t="n">
        <v>3177375</v>
      </c>
      <c r="J671" s="3" t="n">
        <v>29850</v>
      </c>
      <c r="K671" s="3" t="s">
        <v>61</v>
      </c>
      <c r="L671" s="3" t="s">
        <v>62</v>
      </c>
      <c r="M671" s="3" t="s">
        <v>1228</v>
      </c>
      <c r="N671" s="3" t="n">
        <v>2</v>
      </c>
      <c r="O671" s="3" t="s">
        <v>64</v>
      </c>
      <c r="P671" s="3" t="s">
        <v>65</v>
      </c>
    </row>
    <row r="672" customFormat="false" ht="15" hidden="false" customHeight="false" outlineLevel="0" collapsed="false">
      <c r="A672" s="3" t="s">
        <v>1227</v>
      </c>
      <c r="B672" s="3" t="s">
        <v>364</v>
      </c>
      <c r="C672" s="3" t="s">
        <v>365</v>
      </c>
      <c r="D672" s="4" t="n">
        <v>506.3</v>
      </c>
      <c r="E672" s="3" t="s">
        <v>60</v>
      </c>
      <c r="F672" s="3" t="n">
        <v>54.64</v>
      </c>
      <c r="G672" s="3" t="s">
        <v>60</v>
      </c>
      <c r="H672" s="3" t="s">
        <v>60</v>
      </c>
      <c r="I672" s="3" t="n">
        <v>17731325</v>
      </c>
      <c r="J672" s="3" t="n">
        <v>103600</v>
      </c>
      <c r="K672" s="3" t="s">
        <v>61</v>
      </c>
      <c r="L672" s="3" t="s">
        <v>62</v>
      </c>
      <c r="M672" s="3" t="s">
        <v>1229</v>
      </c>
      <c r="N672" s="3" t="n">
        <v>7</v>
      </c>
      <c r="O672" s="3" t="s">
        <v>64</v>
      </c>
      <c r="P672" s="3" t="s">
        <v>65</v>
      </c>
    </row>
    <row r="673" customFormat="false" ht="15" hidden="false" customHeight="false" outlineLevel="0" collapsed="false">
      <c r="A673" s="3" t="s">
        <v>1227</v>
      </c>
      <c r="B673" s="3" t="s">
        <v>120</v>
      </c>
      <c r="C673" s="3" t="s">
        <v>121</v>
      </c>
      <c r="D673" s="4" t="n">
        <v>440.95</v>
      </c>
      <c r="E673" s="3" t="s">
        <v>60</v>
      </c>
      <c r="F673" s="3" t="n">
        <v>59.43</v>
      </c>
      <c r="G673" s="3" t="s">
        <v>60</v>
      </c>
      <c r="H673" s="3" t="s">
        <v>60</v>
      </c>
      <c r="I673" s="3" t="n">
        <v>49452000</v>
      </c>
      <c r="J673" s="3" t="n">
        <v>668200</v>
      </c>
      <c r="K673" s="3" t="s">
        <v>61</v>
      </c>
      <c r="L673" s="3" t="s">
        <v>62</v>
      </c>
      <c r="M673" s="3" t="s">
        <v>1230</v>
      </c>
      <c r="N673" s="3" t="n">
        <v>4</v>
      </c>
      <c r="O673" s="3" t="s">
        <v>64</v>
      </c>
      <c r="P673" s="3" t="s">
        <v>65</v>
      </c>
    </row>
    <row r="674" customFormat="false" ht="15" hidden="false" customHeight="false" outlineLevel="0" collapsed="false">
      <c r="A674" s="3" t="s">
        <v>1227</v>
      </c>
      <c r="B674" s="3" t="s">
        <v>388</v>
      </c>
      <c r="C674" s="3" t="s">
        <v>389</v>
      </c>
      <c r="D674" s="4" t="n">
        <v>1668.8</v>
      </c>
      <c r="E674" s="3" t="s">
        <v>60</v>
      </c>
      <c r="F674" s="3" t="n">
        <v>55.11</v>
      </c>
      <c r="G674" s="3" t="s">
        <v>60</v>
      </c>
      <c r="H674" s="3" t="s">
        <v>60</v>
      </c>
      <c r="I674" s="3" t="n">
        <v>6752900</v>
      </c>
      <c r="J674" s="3" t="n">
        <v>297150</v>
      </c>
      <c r="K674" s="3" t="s">
        <v>61</v>
      </c>
      <c r="L674" s="3" t="s">
        <v>62</v>
      </c>
      <c r="M674" s="3" t="s">
        <v>1231</v>
      </c>
      <c r="N674" s="3" t="n">
        <v>3</v>
      </c>
      <c r="O674" s="3" t="s">
        <v>64</v>
      </c>
      <c r="P674" s="3" t="s">
        <v>65</v>
      </c>
    </row>
    <row r="675" customFormat="false" ht="15" hidden="false" customHeight="false" outlineLevel="0" collapsed="false">
      <c r="A675" s="3" t="s">
        <v>1232</v>
      </c>
      <c r="B675" s="3" t="s">
        <v>664</v>
      </c>
      <c r="C675" s="3" t="s">
        <v>665</v>
      </c>
      <c r="D675" s="4" t="n">
        <v>2152.3</v>
      </c>
      <c r="E675" s="3" t="s">
        <v>60</v>
      </c>
      <c r="F675" s="3" t="n">
        <v>53.83</v>
      </c>
      <c r="G675" s="3" t="s">
        <v>60</v>
      </c>
      <c r="H675" s="3" t="s">
        <v>60</v>
      </c>
      <c r="I675" s="3" t="n">
        <v>8007000</v>
      </c>
      <c r="J675" s="3" t="n">
        <v>253000</v>
      </c>
      <c r="K675" s="3" t="s">
        <v>61</v>
      </c>
      <c r="L675" s="3" t="s">
        <v>62</v>
      </c>
      <c r="M675" s="3" t="s">
        <v>1233</v>
      </c>
      <c r="N675" s="3" t="n">
        <v>5</v>
      </c>
      <c r="O675" s="3" t="s">
        <v>64</v>
      </c>
      <c r="P675" s="3" t="s">
        <v>65</v>
      </c>
    </row>
    <row r="676" customFormat="false" ht="15" hidden="false" customHeight="false" outlineLevel="0" collapsed="false">
      <c r="A676" s="3" t="s">
        <v>1234</v>
      </c>
      <c r="B676" s="3" t="s">
        <v>333</v>
      </c>
      <c r="C676" s="3" t="s">
        <v>334</v>
      </c>
      <c r="D676" s="4" t="n">
        <v>5570</v>
      </c>
      <c r="E676" s="3" t="s">
        <v>60</v>
      </c>
      <c r="F676" s="3" t="n">
        <v>52.46</v>
      </c>
      <c r="G676" s="3" t="s">
        <v>60</v>
      </c>
      <c r="H676" s="3" t="s">
        <v>60</v>
      </c>
      <c r="I676" s="3" t="n">
        <v>505125</v>
      </c>
      <c r="J676" s="3" t="n">
        <v>88000</v>
      </c>
      <c r="K676" s="3" t="s">
        <v>61</v>
      </c>
      <c r="L676" s="3" t="s">
        <v>62</v>
      </c>
      <c r="M676" s="3" t="s">
        <v>1235</v>
      </c>
      <c r="N676" s="3" t="n">
        <v>6</v>
      </c>
      <c r="O676" s="3" t="s">
        <v>64</v>
      </c>
      <c r="P676" s="3" t="s">
        <v>65</v>
      </c>
    </row>
    <row r="677" customFormat="false" ht="15" hidden="false" customHeight="false" outlineLevel="0" collapsed="false">
      <c r="A677" s="3" t="s">
        <v>1234</v>
      </c>
      <c r="B677" s="3" t="s">
        <v>480</v>
      </c>
      <c r="C677" s="3" t="s">
        <v>481</v>
      </c>
      <c r="D677" s="4" t="n">
        <v>14115</v>
      </c>
      <c r="E677" s="3" t="s">
        <v>60</v>
      </c>
      <c r="F677" s="3" t="n">
        <v>46.85</v>
      </c>
      <c r="G677" s="3" t="s">
        <v>60</v>
      </c>
      <c r="H677" s="3" t="s">
        <v>60</v>
      </c>
      <c r="I677" s="3" t="n">
        <v>723350</v>
      </c>
      <c r="J677" s="3" t="n">
        <v>166650</v>
      </c>
      <c r="K677" s="3" t="s">
        <v>61</v>
      </c>
      <c r="L677" s="3" t="s">
        <v>62</v>
      </c>
      <c r="M677" s="3" t="s">
        <v>1236</v>
      </c>
      <c r="N677" s="3" t="n">
        <v>3</v>
      </c>
      <c r="O677" s="3" t="s">
        <v>64</v>
      </c>
      <c r="P677" s="3" t="s">
        <v>65</v>
      </c>
    </row>
    <row r="678" customFormat="false" ht="15" hidden="false" customHeight="false" outlineLevel="0" collapsed="false">
      <c r="A678" s="3" t="s">
        <v>1237</v>
      </c>
      <c r="B678" s="3" t="s">
        <v>426</v>
      </c>
      <c r="C678" s="3" t="s">
        <v>427</v>
      </c>
      <c r="D678" s="4" t="n">
        <v>3143.6</v>
      </c>
      <c r="E678" s="3" t="s">
        <v>60</v>
      </c>
      <c r="F678" s="3" t="n">
        <v>46.41</v>
      </c>
      <c r="G678" s="3" t="s">
        <v>60</v>
      </c>
      <c r="H678" s="3" t="s">
        <v>60</v>
      </c>
      <c r="I678" s="3" t="n">
        <v>17785731</v>
      </c>
      <c r="J678" s="3" t="n">
        <v>180765</v>
      </c>
      <c r="K678" s="3" t="s">
        <v>61</v>
      </c>
      <c r="L678" s="3" t="s">
        <v>62</v>
      </c>
      <c r="M678" s="3" t="s">
        <v>1238</v>
      </c>
      <c r="N678" s="3" t="n">
        <v>1</v>
      </c>
      <c r="O678" s="3" t="s">
        <v>64</v>
      </c>
      <c r="P678" s="3" t="s">
        <v>65</v>
      </c>
    </row>
    <row r="679" customFormat="false" ht="15" hidden="false" customHeight="false" outlineLevel="0" collapsed="false">
      <c r="A679" s="3" t="s">
        <v>1237</v>
      </c>
      <c r="B679" s="3" t="s">
        <v>210</v>
      </c>
      <c r="C679" s="3" t="s">
        <v>211</v>
      </c>
      <c r="D679" s="4" t="n">
        <v>1797.6</v>
      </c>
      <c r="E679" s="3" t="s">
        <v>60</v>
      </c>
      <c r="F679" s="3" t="n">
        <v>57.16</v>
      </c>
      <c r="G679" s="3" t="s">
        <v>60</v>
      </c>
      <c r="H679" s="3" t="s">
        <v>60</v>
      </c>
      <c r="I679" s="3" t="n">
        <v>14749200</v>
      </c>
      <c r="J679" s="3" t="n">
        <v>648000</v>
      </c>
      <c r="K679" s="3" t="s">
        <v>61</v>
      </c>
      <c r="L679" s="3" t="s">
        <v>62</v>
      </c>
      <c r="M679" s="3" t="s">
        <v>1239</v>
      </c>
      <c r="N679" s="3" t="n">
        <v>4</v>
      </c>
      <c r="O679" s="3" t="s">
        <v>64</v>
      </c>
      <c r="P679" s="3" t="s">
        <v>65</v>
      </c>
    </row>
    <row r="680" customFormat="false" ht="15" hidden="false" customHeight="false" outlineLevel="0" collapsed="false">
      <c r="A680" s="3" t="s">
        <v>1237</v>
      </c>
      <c r="B680" s="3" t="s">
        <v>487</v>
      </c>
      <c r="C680" s="3" t="s">
        <v>488</v>
      </c>
      <c r="D680" s="4" t="n">
        <v>10719</v>
      </c>
      <c r="E680" s="3" t="s">
        <v>60</v>
      </c>
      <c r="F680" s="3" t="n">
        <v>47.9</v>
      </c>
      <c r="G680" s="3" t="s">
        <v>60</v>
      </c>
      <c r="H680" s="3" t="s">
        <v>60</v>
      </c>
      <c r="I680" s="3" t="n">
        <v>293850</v>
      </c>
      <c r="J680" s="3" t="n">
        <v>10800</v>
      </c>
      <c r="K680" s="3" t="s">
        <v>61</v>
      </c>
      <c r="L680" s="3" t="s">
        <v>62</v>
      </c>
      <c r="M680" s="3" t="s">
        <v>1240</v>
      </c>
      <c r="N680" s="3" t="n">
        <v>2</v>
      </c>
      <c r="O680" s="3" t="s">
        <v>64</v>
      </c>
      <c r="P680" s="3" t="s">
        <v>65</v>
      </c>
    </row>
    <row r="681" customFormat="false" ht="15" hidden="false" customHeight="false" outlineLevel="0" collapsed="false">
      <c r="A681" s="3" t="s">
        <v>1237</v>
      </c>
      <c r="B681" s="3" t="s">
        <v>328</v>
      </c>
      <c r="C681" s="3" t="s">
        <v>329</v>
      </c>
      <c r="D681" s="4" t="n">
        <v>5262</v>
      </c>
      <c r="E681" s="3" t="s">
        <v>60</v>
      </c>
      <c r="F681" s="3" t="n">
        <v>56.35</v>
      </c>
      <c r="G681" s="3" t="s">
        <v>60</v>
      </c>
      <c r="H681" s="3" t="s">
        <v>60</v>
      </c>
      <c r="I681" s="3" t="n">
        <v>2373875</v>
      </c>
      <c r="J681" s="3" t="n">
        <v>87250</v>
      </c>
      <c r="K681" s="3" t="s">
        <v>61</v>
      </c>
      <c r="L681" s="3" t="s">
        <v>62</v>
      </c>
      <c r="M681" s="3" t="s">
        <v>1241</v>
      </c>
      <c r="N681" s="3" t="n">
        <v>5</v>
      </c>
      <c r="O681" s="3" t="s">
        <v>69</v>
      </c>
      <c r="P681" s="3" t="s">
        <v>70</v>
      </c>
    </row>
    <row r="682" customFormat="false" ht="15" hidden="false" customHeight="false" outlineLevel="0" collapsed="false">
      <c r="A682" s="3" t="s">
        <v>1242</v>
      </c>
      <c r="B682" s="3" t="s">
        <v>328</v>
      </c>
      <c r="C682" s="3" t="s">
        <v>329</v>
      </c>
      <c r="D682" s="4" t="n">
        <v>5374</v>
      </c>
      <c r="E682" s="3" t="s">
        <v>60</v>
      </c>
      <c r="F682" s="3" t="n">
        <v>56.63</v>
      </c>
      <c r="G682" s="3" t="s">
        <v>60</v>
      </c>
      <c r="H682" s="3" t="s">
        <v>60</v>
      </c>
      <c r="I682" s="3" t="n">
        <v>2377750</v>
      </c>
      <c r="J682" s="3" t="n">
        <v>3875</v>
      </c>
      <c r="K682" s="3" t="s">
        <v>61</v>
      </c>
      <c r="L682" s="3" t="s">
        <v>62</v>
      </c>
      <c r="M682" s="3" t="s">
        <v>1243</v>
      </c>
      <c r="N682" s="3" t="n">
        <v>5</v>
      </c>
      <c r="O682" s="3" t="s">
        <v>100</v>
      </c>
      <c r="P682" s="3" t="s">
        <v>70</v>
      </c>
    </row>
    <row r="683" customFormat="false" ht="15" hidden="false" customHeight="false" outlineLevel="0" collapsed="false">
      <c r="A683" s="3" t="s">
        <v>1242</v>
      </c>
      <c r="B683" s="3" t="s">
        <v>130</v>
      </c>
      <c r="C683" s="3" t="s">
        <v>131</v>
      </c>
      <c r="D683" s="4" t="n">
        <v>798.15</v>
      </c>
      <c r="E683" s="3" t="s">
        <v>60</v>
      </c>
      <c r="F683" s="3" t="n">
        <v>46.53</v>
      </c>
      <c r="G683" s="3" t="s">
        <v>60</v>
      </c>
      <c r="H683" s="3" t="s">
        <v>60</v>
      </c>
      <c r="I683" s="3" t="n">
        <v>6550500</v>
      </c>
      <c r="J683" s="3" t="n">
        <v>90750</v>
      </c>
      <c r="K683" s="3" t="s">
        <v>61</v>
      </c>
      <c r="L683" s="3" t="s">
        <v>62</v>
      </c>
      <c r="M683" s="3" t="s">
        <v>1244</v>
      </c>
      <c r="N683" s="3" t="n">
        <v>3</v>
      </c>
      <c r="O683" s="3" t="s">
        <v>64</v>
      </c>
      <c r="P683" s="3" t="s">
        <v>65</v>
      </c>
    </row>
    <row r="684" customFormat="false" ht="15" hidden="false" customHeight="false" outlineLevel="0" collapsed="false">
      <c r="A684" s="3" t="s">
        <v>1242</v>
      </c>
      <c r="B684" s="3" t="s">
        <v>493</v>
      </c>
      <c r="C684" s="3" t="s">
        <v>494</v>
      </c>
      <c r="D684" s="4" t="n">
        <v>447</v>
      </c>
      <c r="E684" s="3" t="s">
        <v>60</v>
      </c>
      <c r="F684" s="3" t="n">
        <v>49.66</v>
      </c>
      <c r="G684" s="3" t="s">
        <v>60</v>
      </c>
      <c r="H684" s="3" t="s">
        <v>60</v>
      </c>
      <c r="I684" s="3" t="n">
        <v>31422500</v>
      </c>
      <c r="J684" s="3" t="n">
        <v>822500</v>
      </c>
      <c r="K684" s="3" t="s">
        <v>61</v>
      </c>
      <c r="L684" s="3" t="s">
        <v>62</v>
      </c>
      <c r="M684" s="3" t="s">
        <v>1245</v>
      </c>
      <c r="N684" s="3" t="n">
        <v>2</v>
      </c>
      <c r="O684" s="3" t="s">
        <v>64</v>
      </c>
      <c r="P684" s="3" t="s">
        <v>65</v>
      </c>
    </row>
    <row r="685" customFormat="false" ht="15" hidden="false" customHeight="false" outlineLevel="0" collapsed="false">
      <c r="A685" s="3" t="s">
        <v>1242</v>
      </c>
      <c r="B685" s="3" t="s">
        <v>96</v>
      </c>
      <c r="C685" s="3" t="s">
        <v>97</v>
      </c>
      <c r="D685" s="4" t="n">
        <v>509.3</v>
      </c>
      <c r="E685" s="3" t="s">
        <v>60</v>
      </c>
      <c r="F685" s="3" t="n">
        <v>47.87</v>
      </c>
      <c r="G685" s="3" t="s">
        <v>60</v>
      </c>
      <c r="H685" s="3" t="s">
        <v>60</v>
      </c>
      <c r="I685" s="3" t="n">
        <v>28500125</v>
      </c>
      <c r="J685" s="3" t="n">
        <v>1923525</v>
      </c>
      <c r="K685" s="3" t="s">
        <v>61</v>
      </c>
      <c r="L685" s="3" t="s">
        <v>62</v>
      </c>
      <c r="M685" s="3" t="s">
        <v>1246</v>
      </c>
      <c r="N685" s="3" t="n">
        <v>10</v>
      </c>
      <c r="O685" s="3" t="s">
        <v>64</v>
      </c>
      <c r="P685" s="3" t="s">
        <v>65</v>
      </c>
    </row>
    <row r="686" customFormat="false" ht="15" hidden="false" customHeight="false" outlineLevel="0" collapsed="false">
      <c r="A686" s="3" t="s">
        <v>1242</v>
      </c>
      <c r="B686" s="3" t="s">
        <v>254</v>
      </c>
      <c r="C686" s="3" t="s">
        <v>255</v>
      </c>
      <c r="D686" s="4" t="n">
        <v>658.2</v>
      </c>
      <c r="E686" s="3" t="s">
        <v>60</v>
      </c>
      <c r="F686" s="3" t="n">
        <v>48.03</v>
      </c>
      <c r="G686" s="3" t="s">
        <v>60</v>
      </c>
      <c r="H686" s="3" t="s">
        <v>60</v>
      </c>
      <c r="I686" s="3" t="n">
        <v>39236900</v>
      </c>
      <c r="J686" s="3" t="n">
        <v>368600</v>
      </c>
      <c r="K686" s="3" t="s">
        <v>61</v>
      </c>
      <c r="L686" s="3" t="s">
        <v>62</v>
      </c>
      <c r="M686" s="3" t="s">
        <v>1247</v>
      </c>
      <c r="N686" s="3" t="n">
        <v>4</v>
      </c>
      <c r="O686" s="3" t="s">
        <v>69</v>
      </c>
      <c r="P686" s="3" t="s">
        <v>70</v>
      </c>
    </row>
    <row r="687" customFormat="false" ht="15" hidden="false" customHeight="false" outlineLevel="0" collapsed="false">
      <c r="A687" s="3" t="s">
        <v>1242</v>
      </c>
      <c r="B687" s="3" t="s">
        <v>245</v>
      </c>
      <c r="C687" s="3" t="s">
        <v>246</v>
      </c>
      <c r="D687" s="4" t="n">
        <v>2210.6</v>
      </c>
      <c r="E687" s="3" t="s">
        <v>60</v>
      </c>
      <c r="F687" s="3" t="n">
        <v>58.89</v>
      </c>
      <c r="G687" s="3" t="s">
        <v>60</v>
      </c>
      <c r="H687" s="3" t="s">
        <v>60</v>
      </c>
      <c r="I687" s="3" t="n">
        <v>18390900</v>
      </c>
      <c r="J687" s="3" t="n">
        <v>852900</v>
      </c>
      <c r="K687" s="3" t="s">
        <v>61</v>
      </c>
      <c r="L687" s="3" t="s">
        <v>62</v>
      </c>
      <c r="M687" s="3" t="s">
        <v>1248</v>
      </c>
      <c r="N687" s="3" t="n">
        <v>4</v>
      </c>
      <c r="O687" s="3" t="s">
        <v>64</v>
      </c>
      <c r="P687" s="3" t="s">
        <v>65</v>
      </c>
    </row>
    <row r="688" customFormat="false" ht="15" hidden="false" customHeight="false" outlineLevel="0" collapsed="false">
      <c r="A688" s="3" t="s">
        <v>1242</v>
      </c>
      <c r="B688" s="3" t="s">
        <v>136</v>
      </c>
      <c r="C688" s="3" t="s">
        <v>137</v>
      </c>
      <c r="D688" s="4" t="n">
        <v>141.62</v>
      </c>
      <c r="E688" s="3" t="s">
        <v>60</v>
      </c>
      <c r="F688" s="3" t="n">
        <v>56.84</v>
      </c>
      <c r="G688" s="3" t="s">
        <v>60</v>
      </c>
      <c r="H688" s="3" t="s">
        <v>60</v>
      </c>
      <c r="I688" s="3" t="n">
        <v>136894875</v>
      </c>
      <c r="J688" s="3" t="n">
        <v>9501375</v>
      </c>
      <c r="K688" s="3" t="s">
        <v>61</v>
      </c>
      <c r="L688" s="3" t="s">
        <v>62</v>
      </c>
      <c r="M688" s="3" t="s">
        <v>1249</v>
      </c>
      <c r="N688" s="3" t="n">
        <v>12</v>
      </c>
      <c r="O688" s="3" t="s">
        <v>64</v>
      </c>
      <c r="P688" s="3" t="s">
        <v>65</v>
      </c>
    </row>
    <row r="689" customFormat="false" ht="15" hidden="false" customHeight="false" outlineLevel="0" collapsed="false">
      <c r="A689" s="3" t="s">
        <v>1242</v>
      </c>
      <c r="B689" s="3" t="s">
        <v>142</v>
      </c>
      <c r="C689" s="3" t="s">
        <v>143</v>
      </c>
      <c r="D689" s="4" t="n">
        <v>1107.2</v>
      </c>
      <c r="E689" s="3" t="s">
        <v>60</v>
      </c>
      <c r="F689" s="3" t="n">
        <v>59.79</v>
      </c>
      <c r="G689" s="3" t="s">
        <v>60</v>
      </c>
      <c r="H689" s="3" t="s">
        <v>60</v>
      </c>
      <c r="I689" s="3" t="n">
        <v>16570400</v>
      </c>
      <c r="J689" s="3" t="n">
        <v>99550</v>
      </c>
      <c r="K689" s="3" t="s">
        <v>61</v>
      </c>
      <c r="L689" s="3" t="s">
        <v>62</v>
      </c>
      <c r="M689" s="3" t="s">
        <v>1250</v>
      </c>
      <c r="N689" s="3" t="n">
        <v>6</v>
      </c>
      <c r="O689" s="3" t="s">
        <v>64</v>
      </c>
      <c r="P689" s="3" t="s">
        <v>65</v>
      </c>
    </row>
    <row r="690" customFormat="false" ht="15" hidden="false" customHeight="false" outlineLevel="0" collapsed="false">
      <c r="A690" s="3" t="s">
        <v>1251</v>
      </c>
      <c r="B690" s="3" t="s">
        <v>333</v>
      </c>
      <c r="C690" s="3" t="s">
        <v>334</v>
      </c>
      <c r="D690" s="4" t="n">
        <v>5562.5</v>
      </c>
      <c r="E690" s="3" t="s">
        <v>60</v>
      </c>
      <c r="F690" s="3" t="n">
        <v>69.44</v>
      </c>
      <c r="G690" s="3" t="s">
        <v>60</v>
      </c>
      <c r="H690" s="3" t="s">
        <v>60</v>
      </c>
      <c r="I690" s="3" t="n">
        <v>1323250</v>
      </c>
      <c r="J690" s="3" t="n">
        <v>135250</v>
      </c>
      <c r="K690" s="3" t="s">
        <v>61</v>
      </c>
      <c r="L690" s="3" t="s">
        <v>62</v>
      </c>
      <c r="M690" s="3" t="s">
        <v>1252</v>
      </c>
      <c r="N690" s="3" t="n">
        <v>7</v>
      </c>
      <c r="O690" s="3" t="s">
        <v>64</v>
      </c>
      <c r="P690" s="3" t="s">
        <v>65</v>
      </c>
    </row>
    <row r="691" customFormat="false" ht="15" hidden="false" customHeight="false" outlineLevel="0" collapsed="false">
      <c r="A691" s="3" t="s">
        <v>1251</v>
      </c>
      <c r="B691" s="3" t="s">
        <v>199</v>
      </c>
      <c r="C691" s="3" t="s">
        <v>200</v>
      </c>
      <c r="D691" s="4" t="n">
        <v>426.8</v>
      </c>
      <c r="E691" s="3" t="s">
        <v>60</v>
      </c>
      <c r="F691" s="3" t="n">
        <v>54.32</v>
      </c>
      <c r="G691" s="3" t="s">
        <v>60</v>
      </c>
      <c r="H691" s="3" t="s">
        <v>60</v>
      </c>
      <c r="I691" s="3" t="n">
        <v>43405000</v>
      </c>
      <c r="J691" s="3" t="n">
        <v>2365000</v>
      </c>
      <c r="K691" s="3" t="s">
        <v>61</v>
      </c>
      <c r="L691" s="3" t="s">
        <v>62</v>
      </c>
      <c r="M691" s="3" t="s">
        <v>1253</v>
      </c>
      <c r="N691" s="3" t="n">
        <v>9</v>
      </c>
      <c r="O691" s="3" t="s">
        <v>64</v>
      </c>
      <c r="P691" s="3" t="s">
        <v>65</v>
      </c>
    </row>
    <row r="692" customFormat="false" ht="15" hidden="false" customHeight="false" outlineLevel="0" collapsed="false">
      <c r="A692" s="3" t="s">
        <v>1251</v>
      </c>
      <c r="B692" s="3" t="s">
        <v>254</v>
      </c>
      <c r="C692" s="3" t="s">
        <v>255</v>
      </c>
      <c r="D692" s="4" t="n">
        <v>675.9</v>
      </c>
      <c r="E692" s="3" t="s">
        <v>60</v>
      </c>
      <c r="F692" s="3" t="n">
        <v>53.64</v>
      </c>
      <c r="G692" s="3" t="s">
        <v>60</v>
      </c>
      <c r="H692" s="3" t="s">
        <v>60</v>
      </c>
      <c r="I692" s="3" t="n">
        <v>39420250</v>
      </c>
      <c r="J692" s="3" t="n">
        <v>183350</v>
      </c>
      <c r="K692" s="3" t="s">
        <v>61</v>
      </c>
      <c r="L692" s="3" t="s">
        <v>62</v>
      </c>
      <c r="M692" s="3" t="s">
        <v>1254</v>
      </c>
      <c r="N692" s="3" t="n">
        <v>4</v>
      </c>
      <c r="O692" s="3" t="s">
        <v>100</v>
      </c>
      <c r="P692" s="3" t="s">
        <v>70</v>
      </c>
    </row>
    <row r="693" customFormat="false" ht="15" hidden="false" customHeight="false" outlineLevel="0" collapsed="false">
      <c r="A693" s="3" t="s">
        <v>1251</v>
      </c>
      <c r="B693" s="3" t="s">
        <v>203</v>
      </c>
      <c r="C693" s="3" t="s">
        <v>204</v>
      </c>
      <c r="D693" s="4" t="n">
        <v>1542.3</v>
      </c>
      <c r="E693" s="3" t="s">
        <v>60</v>
      </c>
      <c r="F693" s="3" t="n">
        <v>63.47</v>
      </c>
      <c r="G693" s="3" t="s">
        <v>60</v>
      </c>
      <c r="H693" s="3" t="s">
        <v>60</v>
      </c>
      <c r="I693" s="3" t="n">
        <v>15742850</v>
      </c>
      <c r="J693" s="3" t="n">
        <v>290700</v>
      </c>
      <c r="K693" s="3" t="s">
        <v>61</v>
      </c>
      <c r="L693" s="3" t="s">
        <v>62</v>
      </c>
      <c r="M693" s="3" t="s">
        <v>1255</v>
      </c>
      <c r="N693" s="3" t="n">
        <v>4</v>
      </c>
      <c r="O693" s="3" t="s">
        <v>64</v>
      </c>
      <c r="P693" s="3" t="s">
        <v>65</v>
      </c>
    </row>
    <row r="694" customFormat="false" ht="15" hidden="false" customHeight="false" outlineLevel="0" collapsed="false">
      <c r="A694" s="3" t="s">
        <v>1251</v>
      </c>
      <c r="B694" s="3" t="s">
        <v>237</v>
      </c>
      <c r="C694" s="3" t="s">
        <v>238</v>
      </c>
      <c r="D694" s="4" t="n">
        <v>2047.6</v>
      </c>
      <c r="E694" s="3" t="s">
        <v>60</v>
      </c>
      <c r="F694" s="3" t="n">
        <v>63.51</v>
      </c>
      <c r="G694" s="3" t="s">
        <v>60</v>
      </c>
      <c r="H694" s="3" t="s">
        <v>60</v>
      </c>
      <c r="I694" s="3" t="n">
        <v>3973200</v>
      </c>
      <c r="J694" s="3" t="n">
        <v>20650</v>
      </c>
      <c r="K694" s="3" t="s">
        <v>61</v>
      </c>
      <c r="L694" s="3" t="s">
        <v>62</v>
      </c>
      <c r="M694" s="3" t="s">
        <v>1256</v>
      </c>
      <c r="N694" s="3" t="n">
        <v>8</v>
      </c>
      <c r="O694" s="3" t="s">
        <v>64</v>
      </c>
      <c r="P694" s="3" t="s">
        <v>65</v>
      </c>
    </row>
    <row r="695" customFormat="false" ht="15" hidden="false" customHeight="false" outlineLevel="0" collapsed="false">
      <c r="A695" s="3" t="s">
        <v>1251</v>
      </c>
      <c r="B695" s="3" t="s">
        <v>441</v>
      </c>
      <c r="C695" s="3" t="s">
        <v>442</v>
      </c>
      <c r="D695" s="4" t="n">
        <v>1064.4</v>
      </c>
      <c r="E695" s="3" t="s">
        <v>60</v>
      </c>
      <c r="F695" s="3" t="n">
        <v>53.78</v>
      </c>
      <c r="G695" s="3" t="s">
        <v>60</v>
      </c>
      <c r="H695" s="3" t="s">
        <v>60</v>
      </c>
      <c r="I695" s="3" t="n">
        <v>10196550</v>
      </c>
      <c r="J695" s="3" t="n">
        <v>35750</v>
      </c>
      <c r="K695" s="3" t="s">
        <v>61</v>
      </c>
      <c r="L695" s="3" t="s">
        <v>62</v>
      </c>
      <c r="M695" s="3" t="s">
        <v>1257</v>
      </c>
      <c r="N695" s="3" t="n">
        <v>5</v>
      </c>
      <c r="O695" s="3" t="s">
        <v>64</v>
      </c>
      <c r="P695" s="3" t="s">
        <v>65</v>
      </c>
    </row>
    <row r="696" customFormat="false" ht="15" hidden="false" customHeight="false" outlineLevel="0" collapsed="false">
      <c r="A696" s="3" t="s">
        <v>1251</v>
      </c>
      <c r="B696" s="3" t="s">
        <v>1258</v>
      </c>
      <c r="C696" s="3" t="s">
        <v>1259</v>
      </c>
      <c r="D696" s="4" t="n">
        <v>1140.6</v>
      </c>
      <c r="E696" s="3" t="s">
        <v>60</v>
      </c>
      <c r="F696" s="3" t="n">
        <v>48.45</v>
      </c>
      <c r="G696" s="3" t="s">
        <v>60</v>
      </c>
      <c r="H696" s="3" t="s">
        <v>60</v>
      </c>
      <c r="I696" s="3" t="n">
        <v>11124900</v>
      </c>
      <c r="J696" s="3" t="n">
        <v>136800</v>
      </c>
      <c r="K696" s="3" t="s">
        <v>61</v>
      </c>
      <c r="L696" s="3" t="s">
        <v>62</v>
      </c>
      <c r="M696" s="3" t="s">
        <v>1260</v>
      </c>
      <c r="N696" s="3" t="n">
        <v>0</v>
      </c>
      <c r="O696" s="3" t="s">
        <v>64</v>
      </c>
      <c r="P696" s="3" t="s">
        <v>65</v>
      </c>
    </row>
    <row r="697" customFormat="false" ht="15" hidden="false" customHeight="false" outlineLevel="0" collapsed="false">
      <c r="A697" s="3" t="s">
        <v>1261</v>
      </c>
      <c r="B697" s="3" t="s">
        <v>396</v>
      </c>
      <c r="C697" s="3" t="s">
        <v>397</v>
      </c>
      <c r="D697" s="4" t="n">
        <v>1061.4</v>
      </c>
      <c r="E697" s="3" t="s">
        <v>60</v>
      </c>
      <c r="F697" s="3" t="n">
        <v>52.05</v>
      </c>
      <c r="G697" s="3" t="s">
        <v>60</v>
      </c>
      <c r="H697" s="3" t="s">
        <v>60</v>
      </c>
      <c r="I697" s="3" t="n">
        <v>22734000</v>
      </c>
      <c r="J697" s="3" t="n">
        <v>220000</v>
      </c>
      <c r="K697" s="3" t="s">
        <v>61</v>
      </c>
      <c r="L697" s="3" t="s">
        <v>62</v>
      </c>
      <c r="M697" s="3" t="s">
        <v>1262</v>
      </c>
      <c r="N697" s="3" t="n">
        <v>4</v>
      </c>
      <c r="O697" s="3" t="s">
        <v>64</v>
      </c>
      <c r="P697" s="3" t="s">
        <v>65</v>
      </c>
    </row>
    <row r="698" customFormat="false" ht="15" hidden="false" customHeight="false" outlineLevel="0" collapsed="false">
      <c r="A698" s="3" t="s">
        <v>1261</v>
      </c>
      <c r="B698" s="3" t="s">
        <v>319</v>
      </c>
      <c r="C698" s="3" t="s">
        <v>320</v>
      </c>
      <c r="D698" s="4" t="n">
        <v>1850.5</v>
      </c>
      <c r="E698" s="3" t="s">
        <v>60</v>
      </c>
      <c r="F698" s="3" t="n">
        <v>53.93</v>
      </c>
      <c r="G698" s="3" t="s">
        <v>60</v>
      </c>
      <c r="H698" s="3" t="s">
        <v>60</v>
      </c>
      <c r="I698" s="3" t="n">
        <v>14868125</v>
      </c>
      <c r="J698" s="3" t="n">
        <v>194375</v>
      </c>
      <c r="K698" s="3" t="s">
        <v>61</v>
      </c>
      <c r="L698" s="3" t="s">
        <v>62</v>
      </c>
      <c r="M698" s="3" t="s">
        <v>1263</v>
      </c>
      <c r="N698" s="3" t="n">
        <v>5</v>
      </c>
      <c r="O698" s="3" t="s">
        <v>64</v>
      </c>
      <c r="P698" s="3" t="s">
        <v>65</v>
      </c>
    </row>
    <row r="699" customFormat="false" ht="15" hidden="false" customHeight="false" outlineLevel="0" collapsed="false">
      <c r="A699" s="3" t="s">
        <v>1261</v>
      </c>
      <c r="B699" s="3" t="s">
        <v>152</v>
      </c>
      <c r="C699" s="3" t="s">
        <v>153</v>
      </c>
      <c r="D699" s="4" t="n">
        <v>1095.9</v>
      </c>
      <c r="E699" s="3" t="s">
        <v>60</v>
      </c>
      <c r="F699" s="3" t="n">
        <v>54.83</v>
      </c>
      <c r="G699" s="3" t="s">
        <v>60</v>
      </c>
      <c r="H699" s="3" t="s">
        <v>60</v>
      </c>
      <c r="I699" s="3" t="n">
        <v>10812500</v>
      </c>
      <c r="J699" s="3" t="n">
        <v>301875</v>
      </c>
      <c r="K699" s="3" t="s">
        <v>61</v>
      </c>
      <c r="L699" s="3" t="s">
        <v>62</v>
      </c>
      <c r="M699" s="3" t="s">
        <v>1264</v>
      </c>
      <c r="N699" s="3" t="n">
        <v>5</v>
      </c>
      <c r="O699" s="3" t="s">
        <v>64</v>
      </c>
      <c r="P699" s="3" t="s">
        <v>65</v>
      </c>
    </row>
    <row r="700" customFormat="false" ht="15" hidden="false" customHeight="false" outlineLevel="0" collapsed="false">
      <c r="A700" s="3" t="s">
        <v>1261</v>
      </c>
      <c r="B700" s="3" t="s">
        <v>541</v>
      </c>
      <c r="C700" s="3" t="s">
        <v>542</v>
      </c>
      <c r="D700" s="4" t="n">
        <v>3137.6</v>
      </c>
      <c r="E700" s="3" t="s">
        <v>60</v>
      </c>
      <c r="F700" s="3" t="n">
        <v>66.18</v>
      </c>
      <c r="G700" s="3" t="s">
        <v>60</v>
      </c>
      <c r="H700" s="3" t="s">
        <v>60</v>
      </c>
      <c r="I700" s="3" t="n">
        <v>6303275</v>
      </c>
      <c r="J700" s="3" t="n">
        <v>89375</v>
      </c>
      <c r="K700" s="3" t="s">
        <v>61</v>
      </c>
      <c r="L700" s="3" t="s">
        <v>62</v>
      </c>
      <c r="M700" s="3" t="s">
        <v>1265</v>
      </c>
      <c r="N700" s="3" t="n">
        <v>4</v>
      </c>
      <c r="O700" s="3" t="s">
        <v>64</v>
      </c>
      <c r="P700" s="3" t="s">
        <v>65</v>
      </c>
    </row>
    <row r="701" customFormat="false" ht="15" hidden="false" customHeight="false" outlineLevel="0" collapsed="false">
      <c r="A701" s="3" t="s">
        <v>1261</v>
      </c>
      <c r="B701" s="3" t="s">
        <v>1142</v>
      </c>
      <c r="C701" s="3" t="s">
        <v>1143</v>
      </c>
      <c r="D701" s="4" t="n">
        <v>1953.4</v>
      </c>
      <c r="E701" s="3" t="s">
        <v>60</v>
      </c>
      <c r="F701" s="3" t="n">
        <v>47.84</v>
      </c>
      <c r="G701" s="3" t="s">
        <v>60</v>
      </c>
      <c r="H701" s="3" t="s">
        <v>60</v>
      </c>
      <c r="I701" s="3" t="n">
        <v>6074600</v>
      </c>
      <c r="J701" s="3" t="n">
        <v>181300</v>
      </c>
      <c r="K701" s="3" t="s">
        <v>61</v>
      </c>
      <c r="L701" s="3" t="s">
        <v>62</v>
      </c>
      <c r="M701" s="3" t="s">
        <v>1266</v>
      </c>
      <c r="N701" s="3" t="n">
        <v>2</v>
      </c>
      <c r="O701" s="3" t="s">
        <v>64</v>
      </c>
      <c r="P701" s="3" t="s">
        <v>65</v>
      </c>
    </row>
    <row r="702" customFormat="false" ht="15" hidden="false" customHeight="false" outlineLevel="0" collapsed="false">
      <c r="A702" s="3" t="s">
        <v>1261</v>
      </c>
      <c r="B702" s="3" t="s">
        <v>619</v>
      </c>
      <c r="C702" s="3" t="s">
        <v>620</v>
      </c>
      <c r="D702" s="4" t="n">
        <v>243.9</v>
      </c>
      <c r="E702" s="3" t="s">
        <v>60</v>
      </c>
      <c r="F702" s="3" t="n">
        <v>56.85</v>
      </c>
      <c r="G702" s="3" t="s">
        <v>60</v>
      </c>
      <c r="H702" s="3" t="s">
        <v>60</v>
      </c>
      <c r="I702" s="3" t="n">
        <v>97420500</v>
      </c>
      <c r="J702" s="3" t="n">
        <v>2322000</v>
      </c>
      <c r="K702" s="3" t="s">
        <v>61</v>
      </c>
      <c r="L702" s="3" t="s">
        <v>62</v>
      </c>
      <c r="M702" s="3" t="s">
        <v>1267</v>
      </c>
      <c r="N702" s="3" t="n">
        <v>1</v>
      </c>
      <c r="O702" s="3" t="s">
        <v>64</v>
      </c>
      <c r="P702" s="3" t="s">
        <v>65</v>
      </c>
    </row>
    <row r="703" customFormat="false" ht="15" hidden="false" customHeight="false" outlineLevel="0" collapsed="false">
      <c r="A703" s="3" t="s">
        <v>1261</v>
      </c>
      <c r="B703" s="3" t="s">
        <v>984</v>
      </c>
      <c r="C703" s="3" t="s">
        <v>985</v>
      </c>
      <c r="D703" s="4" t="n">
        <v>1427.3</v>
      </c>
      <c r="E703" s="3" t="s">
        <v>60</v>
      </c>
      <c r="F703" s="3" t="n">
        <v>58.84</v>
      </c>
      <c r="G703" s="3" t="s">
        <v>60</v>
      </c>
      <c r="H703" s="3" t="s">
        <v>60</v>
      </c>
      <c r="I703" s="3" t="n">
        <v>9108000</v>
      </c>
      <c r="J703" s="3" t="n">
        <v>283600</v>
      </c>
      <c r="K703" s="3" t="s">
        <v>61</v>
      </c>
      <c r="L703" s="3" t="s">
        <v>62</v>
      </c>
      <c r="M703" s="3" t="s">
        <v>1268</v>
      </c>
      <c r="N703" s="3" t="n">
        <v>1</v>
      </c>
      <c r="O703" s="3" t="s">
        <v>64</v>
      </c>
      <c r="P703" s="3" t="s">
        <v>65</v>
      </c>
    </row>
    <row r="704" customFormat="false" ht="15" hidden="false" customHeight="false" outlineLevel="0" collapsed="false">
      <c r="A704" s="3" t="s">
        <v>1269</v>
      </c>
      <c r="B704" s="3" t="s">
        <v>333</v>
      </c>
      <c r="C704" s="3" t="s">
        <v>334</v>
      </c>
      <c r="D704" s="4" t="n">
        <v>5667.5</v>
      </c>
      <c r="E704" s="3" t="s">
        <v>60</v>
      </c>
      <c r="F704" s="3" t="n">
        <v>61.31</v>
      </c>
      <c r="G704" s="3" t="s">
        <v>60</v>
      </c>
      <c r="H704" s="3" t="s">
        <v>60</v>
      </c>
      <c r="I704" s="3" t="n">
        <v>1331625</v>
      </c>
      <c r="J704" s="3" t="n">
        <v>9500</v>
      </c>
      <c r="K704" s="3" t="s">
        <v>61</v>
      </c>
      <c r="L704" s="3" t="s">
        <v>62</v>
      </c>
      <c r="M704" s="3" t="s">
        <v>1270</v>
      </c>
      <c r="N704" s="3" t="n">
        <v>8</v>
      </c>
      <c r="O704" s="3" t="s">
        <v>64</v>
      </c>
      <c r="P704" s="3" t="s">
        <v>65</v>
      </c>
    </row>
    <row r="705" customFormat="false" ht="15" hidden="false" customHeight="false" outlineLevel="0" collapsed="false">
      <c r="A705" s="3" t="s">
        <v>1269</v>
      </c>
      <c r="B705" s="3" t="s">
        <v>245</v>
      </c>
      <c r="C705" s="3" t="s">
        <v>246</v>
      </c>
      <c r="D705" s="4" t="n">
        <v>2208.8</v>
      </c>
      <c r="E705" s="3" t="s">
        <v>60</v>
      </c>
      <c r="F705" s="3" t="n">
        <v>65.14</v>
      </c>
      <c r="G705" s="3" t="s">
        <v>60</v>
      </c>
      <c r="H705" s="3" t="s">
        <v>60</v>
      </c>
      <c r="I705" s="3" t="n">
        <v>18520200</v>
      </c>
      <c r="J705" s="3" t="n">
        <v>19200</v>
      </c>
      <c r="K705" s="3" t="s">
        <v>61</v>
      </c>
      <c r="L705" s="3" t="s">
        <v>62</v>
      </c>
      <c r="M705" s="3" t="s">
        <v>1271</v>
      </c>
      <c r="N705" s="3" t="n">
        <v>5</v>
      </c>
      <c r="O705" s="3" t="s">
        <v>64</v>
      </c>
      <c r="P705" s="3" t="s">
        <v>65</v>
      </c>
    </row>
    <row r="706" customFormat="false" ht="15" hidden="false" customHeight="false" outlineLevel="0" collapsed="false">
      <c r="A706" s="3" t="s">
        <v>1269</v>
      </c>
      <c r="B706" s="3" t="s">
        <v>136</v>
      </c>
      <c r="C706" s="3" t="s">
        <v>137</v>
      </c>
      <c r="D706" s="4" t="n">
        <v>142.18</v>
      </c>
      <c r="E706" s="3" t="s">
        <v>60</v>
      </c>
      <c r="F706" s="3" t="n">
        <v>52.66</v>
      </c>
      <c r="G706" s="3" t="s">
        <v>60</v>
      </c>
      <c r="H706" s="3" t="s">
        <v>60</v>
      </c>
      <c r="I706" s="3" t="n">
        <v>139522500</v>
      </c>
      <c r="J706" s="3" t="n">
        <v>2842125</v>
      </c>
      <c r="K706" s="3" t="s">
        <v>61</v>
      </c>
      <c r="L706" s="3" t="s">
        <v>62</v>
      </c>
      <c r="M706" s="3" t="s">
        <v>1272</v>
      </c>
      <c r="N706" s="3" t="n">
        <v>13</v>
      </c>
      <c r="O706" s="3" t="s">
        <v>64</v>
      </c>
      <c r="P706" s="3" t="s">
        <v>65</v>
      </c>
    </row>
    <row r="707" customFormat="false" ht="15" hidden="false" customHeight="false" outlineLevel="0" collapsed="false">
      <c r="A707" s="3" t="s">
        <v>1269</v>
      </c>
      <c r="B707" s="3" t="s">
        <v>117</v>
      </c>
      <c r="C707" s="3" t="s">
        <v>118</v>
      </c>
      <c r="D707" s="4" t="n">
        <v>279.6</v>
      </c>
      <c r="E707" s="3" t="s">
        <v>60</v>
      </c>
      <c r="F707" s="3" t="n">
        <v>61.97</v>
      </c>
      <c r="G707" s="3" t="s">
        <v>60</v>
      </c>
      <c r="H707" s="3" t="s">
        <v>60</v>
      </c>
      <c r="I707" s="3" t="n">
        <v>35374200</v>
      </c>
      <c r="J707" s="3" t="n">
        <v>152000</v>
      </c>
      <c r="K707" s="3" t="s">
        <v>61</v>
      </c>
      <c r="L707" s="3" t="s">
        <v>62</v>
      </c>
      <c r="M707" s="3" t="s">
        <v>1273</v>
      </c>
      <c r="N707" s="3" t="n">
        <v>4</v>
      </c>
      <c r="O707" s="3" t="s">
        <v>64</v>
      </c>
      <c r="P707" s="3" t="s">
        <v>65</v>
      </c>
    </row>
    <row r="708" customFormat="false" ht="15" hidden="false" customHeight="false" outlineLevel="0" collapsed="false">
      <c r="A708" s="3" t="s">
        <v>1269</v>
      </c>
      <c r="B708" s="3" t="s">
        <v>159</v>
      </c>
      <c r="C708" s="3" t="s">
        <v>160</v>
      </c>
      <c r="D708" s="4" t="n">
        <v>1288</v>
      </c>
      <c r="E708" s="3" t="s">
        <v>60</v>
      </c>
      <c r="F708" s="3" t="n">
        <v>58.25</v>
      </c>
      <c r="G708" s="3" t="s">
        <v>60</v>
      </c>
      <c r="H708" s="3" t="s">
        <v>60</v>
      </c>
      <c r="I708" s="3" t="n">
        <v>8694375</v>
      </c>
      <c r="J708" s="3" t="n">
        <v>49875</v>
      </c>
      <c r="K708" s="3" t="s">
        <v>61</v>
      </c>
      <c r="L708" s="3" t="s">
        <v>62</v>
      </c>
      <c r="M708" s="3" t="s">
        <v>1274</v>
      </c>
      <c r="N708" s="3" t="n">
        <v>2</v>
      </c>
      <c r="O708" s="3" t="s">
        <v>64</v>
      </c>
      <c r="P708" s="3" t="s">
        <v>65</v>
      </c>
    </row>
    <row r="709" customFormat="false" ht="15" hidden="false" customHeight="false" outlineLevel="0" collapsed="false">
      <c r="A709" s="3" t="s">
        <v>1275</v>
      </c>
      <c r="B709" s="3" t="s">
        <v>74</v>
      </c>
      <c r="C709" s="3" t="s">
        <v>75</v>
      </c>
      <c r="D709" s="4" t="n">
        <v>1804.2</v>
      </c>
      <c r="E709" s="3" t="s">
        <v>60</v>
      </c>
      <c r="F709" s="3" t="n">
        <v>53.78</v>
      </c>
      <c r="G709" s="3" t="s">
        <v>60</v>
      </c>
      <c r="H709" s="3" t="s">
        <v>60</v>
      </c>
      <c r="I709" s="3" t="n">
        <v>4770350</v>
      </c>
      <c r="J709" s="3" t="n">
        <v>105625</v>
      </c>
      <c r="K709" s="3" t="s">
        <v>61</v>
      </c>
      <c r="L709" s="3" t="s">
        <v>62</v>
      </c>
      <c r="M709" s="3" t="s">
        <v>1276</v>
      </c>
      <c r="N709" s="3" t="n">
        <v>4</v>
      </c>
      <c r="O709" s="3" t="s">
        <v>64</v>
      </c>
      <c r="P709" s="3" t="s">
        <v>65</v>
      </c>
    </row>
    <row r="710" customFormat="false" ht="15" hidden="false" customHeight="false" outlineLevel="0" collapsed="false">
      <c r="A710" s="3" t="s">
        <v>1277</v>
      </c>
      <c r="B710" s="3" t="s">
        <v>585</v>
      </c>
      <c r="C710" s="3" t="s">
        <v>586</v>
      </c>
      <c r="D710" s="4" t="n">
        <v>8845.5</v>
      </c>
      <c r="E710" s="3" t="s">
        <v>60</v>
      </c>
      <c r="F710" s="3" t="n">
        <v>72.85</v>
      </c>
      <c r="G710" s="3" t="s">
        <v>60</v>
      </c>
      <c r="H710" s="3" t="s">
        <v>60</v>
      </c>
      <c r="I710" s="3" t="n">
        <v>2324250</v>
      </c>
      <c r="J710" s="3" t="n">
        <v>29875</v>
      </c>
      <c r="K710" s="3" t="s">
        <v>61</v>
      </c>
      <c r="L710" s="3" t="s">
        <v>62</v>
      </c>
      <c r="M710" s="3" t="s">
        <v>1278</v>
      </c>
      <c r="N710" s="3" t="n">
        <v>3</v>
      </c>
      <c r="O710" s="3" t="s">
        <v>64</v>
      </c>
      <c r="P710" s="3" t="s">
        <v>65</v>
      </c>
    </row>
    <row r="711" customFormat="false" ht="15" hidden="false" customHeight="false" outlineLevel="0" collapsed="false">
      <c r="A711" s="3" t="s">
        <v>1277</v>
      </c>
      <c r="B711" s="3" t="s">
        <v>242</v>
      </c>
      <c r="C711" s="3" t="s">
        <v>243</v>
      </c>
      <c r="D711" s="4" t="n">
        <v>1931.1</v>
      </c>
      <c r="E711" s="3" t="s">
        <v>60</v>
      </c>
      <c r="F711" s="3" t="n">
        <v>53.72</v>
      </c>
      <c r="G711" s="3" t="s">
        <v>60</v>
      </c>
      <c r="H711" s="3" t="s">
        <v>60</v>
      </c>
      <c r="I711" s="3" t="n">
        <v>29290875</v>
      </c>
      <c r="J711" s="3" t="n">
        <v>176700</v>
      </c>
      <c r="K711" s="3" t="s">
        <v>61</v>
      </c>
      <c r="L711" s="3" t="s">
        <v>62</v>
      </c>
      <c r="M711" s="3" t="s">
        <v>1279</v>
      </c>
      <c r="N711" s="3" t="n">
        <v>1</v>
      </c>
      <c r="O711" s="3" t="s">
        <v>64</v>
      </c>
      <c r="P711" s="3" t="s">
        <v>65</v>
      </c>
    </row>
    <row r="712" customFormat="false" ht="15" hidden="false" customHeight="false" outlineLevel="0" collapsed="false">
      <c r="A712" s="3" t="s">
        <v>1277</v>
      </c>
      <c r="B712" s="3" t="s">
        <v>101</v>
      </c>
      <c r="C712" s="3" t="s">
        <v>102</v>
      </c>
      <c r="D712" s="4" t="n">
        <v>2737.1</v>
      </c>
      <c r="E712" s="3" t="s">
        <v>60</v>
      </c>
      <c r="F712" s="3" t="n">
        <v>68.99</v>
      </c>
      <c r="G712" s="3" t="s">
        <v>60</v>
      </c>
      <c r="H712" s="3" t="s">
        <v>60</v>
      </c>
      <c r="I712" s="3" t="n">
        <v>5819700</v>
      </c>
      <c r="J712" s="3" t="n">
        <v>336600</v>
      </c>
      <c r="K712" s="3" t="s">
        <v>61</v>
      </c>
      <c r="L712" s="3" t="s">
        <v>62</v>
      </c>
      <c r="M712" s="3" t="s">
        <v>1280</v>
      </c>
      <c r="N712" s="3" t="n">
        <v>5</v>
      </c>
      <c r="O712" s="3" t="s">
        <v>64</v>
      </c>
      <c r="P712" s="3" t="s">
        <v>65</v>
      </c>
    </row>
    <row r="713" customFormat="false" ht="15" hidden="false" customHeight="false" outlineLevel="0" collapsed="false">
      <c r="A713" s="3" t="s">
        <v>1277</v>
      </c>
      <c r="B713" s="3" t="s">
        <v>245</v>
      </c>
      <c r="C713" s="3" t="s">
        <v>246</v>
      </c>
      <c r="D713" s="4" t="n">
        <v>2144.5</v>
      </c>
      <c r="E713" s="3" t="s">
        <v>60</v>
      </c>
      <c r="F713" s="3" t="n">
        <v>56.28</v>
      </c>
      <c r="G713" s="3" t="s">
        <v>60</v>
      </c>
      <c r="H713" s="3" t="s">
        <v>60</v>
      </c>
      <c r="I713" s="3" t="n">
        <v>17351100</v>
      </c>
      <c r="J713" s="3" t="n">
        <v>260700</v>
      </c>
      <c r="K713" s="3" t="s">
        <v>61</v>
      </c>
      <c r="L713" s="3" t="s">
        <v>62</v>
      </c>
      <c r="M713" s="3" t="s">
        <v>1281</v>
      </c>
      <c r="N713" s="3" t="n">
        <v>6</v>
      </c>
      <c r="O713" s="3" t="s">
        <v>64</v>
      </c>
      <c r="P713" s="3" t="s">
        <v>65</v>
      </c>
    </row>
    <row r="714" customFormat="false" ht="15" hidden="false" customHeight="false" outlineLevel="0" collapsed="false">
      <c r="A714" s="3" t="s">
        <v>1277</v>
      </c>
      <c r="B714" s="3" t="s">
        <v>1282</v>
      </c>
      <c r="C714" s="3" t="s">
        <v>1283</v>
      </c>
      <c r="D714" s="4" t="n">
        <v>874.9</v>
      </c>
      <c r="E714" s="3" t="s">
        <v>60</v>
      </c>
      <c r="F714" s="3" t="n">
        <v>54</v>
      </c>
      <c r="G714" s="3" t="s">
        <v>60</v>
      </c>
      <c r="H714" s="3" t="s">
        <v>60</v>
      </c>
      <c r="I714" s="3" t="n">
        <v>5319325</v>
      </c>
      <c r="J714" s="3" t="n">
        <v>306475</v>
      </c>
      <c r="K714" s="3" t="s">
        <v>61</v>
      </c>
      <c r="L714" s="3" t="s">
        <v>62</v>
      </c>
      <c r="M714" s="3" t="s">
        <v>1284</v>
      </c>
      <c r="N714" s="3" t="n">
        <v>0</v>
      </c>
      <c r="O714" s="3" t="s">
        <v>64</v>
      </c>
      <c r="P714" s="3" t="s">
        <v>65</v>
      </c>
    </row>
    <row r="715" customFormat="false" ht="15" hidden="false" customHeight="false" outlineLevel="0" collapsed="false">
      <c r="A715" s="3" t="s">
        <v>1277</v>
      </c>
      <c r="B715" s="3" t="s">
        <v>1285</v>
      </c>
      <c r="C715" s="3" t="s">
        <v>1286</v>
      </c>
      <c r="D715" s="4" t="n">
        <v>942.5</v>
      </c>
      <c r="E715" s="3" t="s">
        <v>60</v>
      </c>
      <c r="F715" s="3" t="n">
        <v>46.95</v>
      </c>
      <c r="G715" s="3" t="s">
        <v>60</v>
      </c>
      <c r="H715" s="3" t="s">
        <v>60</v>
      </c>
      <c r="I715" s="3" t="n">
        <v>4850725</v>
      </c>
      <c r="J715" s="3" t="n">
        <v>207700</v>
      </c>
      <c r="K715" s="3" t="s">
        <v>61</v>
      </c>
      <c r="L715" s="3" t="s">
        <v>62</v>
      </c>
      <c r="M715" s="3" t="s">
        <v>1287</v>
      </c>
      <c r="N715" s="3" t="n">
        <v>0</v>
      </c>
      <c r="O715" s="3" t="s">
        <v>64</v>
      </c>
      <c r="P715" s="3" t="s">
        <v>65</v>
      </c>
    </row>
    <row r="716" customFormat="false" ht="15" hidden="false" customHeight="false" outlineLevel="0" collapsed="false">
      <c r="A716" s="3" t="s">
        <v>1288</v>
      </c>
      <c r="B716" s="3" t="s">
        <v>207</v>
      </c>
      <c r="C716" s="3" t="s">
        <v>208</v>
      </c>
      <c r="D716" s="4" t="n">
        <v>1129</v>
      </c>
      <c r="E716" s="3" t="s">
        <v>60</v>
      </c>
      <c r="F716" s="3" t="n">
        <v>83.09</v>
      </c>
      <c r="G716" s="3" t="s">
        <v>60</v>
      </c>
      <c r="H716" s="3" t="s">
        <v>60</v>
      </c>
      <c r="I716" s="3" t="n">
        <v>5519500</v>
      </c>
      <c r="J716" s="3" t="n">
        <v>44500</v>
      </c>
      <c r="K716" s="3" t="s">
        <v>61</v>
      </c>
      <c r="L716" s="3" t="s">
        <v>62</v>
      </c>
      <c r="M716" s="3" t="s">
        <v>1289</v>
      </c>
      <c r="N716" s="3" t="n">
        <v>8</v>
      </c>
      <c r="O716" s="3" t="s">
        <v>64</v>
      </c>
      <c r="P716" s="3" t="s">
        <v>65</v>
      </c>
    </row>
    <row r="717" customFormat="false" ht="15" hidden="false" customHeight="false" outlineLevel="0" collapsed="false">
      <c r="A717" s="3" t="s">
        <v>1288</v>
      </c>
      <c r="B717" s="3" t="s">
        <v>96</v>
      </c>
      <c r="C717" s="3" t="s">
        <v>97</v>
      </c>
      <c r="D717" s="4" t="n">
        <v>520.3</v>
      </c>
      <c r="E717" s="3" t="s">
        <v>60</v>
      </c>
      <c r="F717" s="3" t="n">
        <v>67.6</v>
      </c>
      <c r="G717" s="3" t="s">
        <v>60</v>
      </c>
      <c r="H717" s="3" t="s">
        <v>60</v>
      </c>
      <c r="I717" s="3" t="n">
        <v>26346275</v>
      </c>
      <c r="J717" s="3" t="n">
        <v>282200</v>
      </c>
      <c r="K717" s="3" t="s">
        <v>61</v>
      </c>
      <c r="L717" s="3" t="s">
        <v>62</v>
      </c>
      <c r="M717" s="3" t="s">
        <v>1290</v>
      </c>
      <c r="N717" s="3" t="n">
        <v>11</v>
      </c>
      <c r="O717" s="3" t="s">
        <v>64</v>
      </c>
      <c r="P717" s="3" t="s">
        <v>65</v>
      </c>
    </row>
    <row r="718" customFormat="false" ht="15" hidden="false" customHeight="false" outlineLevel="0" collapsed="false">
      <c r="A718" s="3" t="s">
        <v>1288</v>
      </c>
      <c r="B718" s="3" t="s">
        <v>254</v>
      </c>
      <c r="C718" s="3" t="s">
        <v>255</v>
      </c>
      <c r="D718" s="4" t="n">
        <v>685.75</v>
      </c>
      <c r="E718" s="3" t="s">
        <v>60</v>
      </c>
      <c r="F718" s="3" t="n">
        <v>45.61</v>
      </c>
      <c r="G718" s="3" t="s">
        <v>60</v>
      </c>
      <c r="H718" s="3" t="s">
        <v>60</v>
      </c>
      <c r="I718" s="3" t="n">
        <v>40958300</v>
      </c>
      <c r="J718" s="3" t="n">
        <v>494000</v>
      </c>
      <c r="K718" s="3" t="s">
        <v>61</v>
      </c>
      <c r="L718" s="3" t="s">
        <v>62</v>
      </c>
      <c r="M718" s="3" t="s">
        <v>1291</v>
      </c>
      <c r="N718" s="3" t="n">
        <v>5</v>
      </c>
      <c r="O718" s="3" t="s">
        <v>64</v>
      </c>
      <c r="P718" s="3" t="s">
        <v>65</v>
      </c>
    </row>
    <row r="719" customFormat="false" ht="15" hidden="false" customHeight="false" outlineLevel="0" collapsed="false">
      <c r="A719" s="3" t="s">
        <v>1288</v>
      </c>
      <c r="B719" s="3" t="s">
        <v>364</v>
      </c>
      <c r="C719" s="3" t="s">
        <v>365</v>
      </c>
      <c r="D719" s="4" t="n">
        <v>510.35</v>
      </c>
      <c r="E719" s="3" t="s">
        <v>60</v>
      </c>
      <c r="F719" s="3" t="n">
        <v>60.12</v>
      </c>
      <c r="G719" s="3" t="s">
        <v>60</v>
      </c>
      <c r="H719" s="3" t="s">
        <v>60</v>
      </c>
      <c r="I719" s="3" t="n">
        <v>20467475</v>
      </c>
      <c r="J719" s="3" t="n">
        <v>1286675</v>
      </c>
      <c r="K719" s="3" t="s">
        <v>61</v>
      </c>
      <c r="L719" s="3" t="s">
        <v>62</v>
      </c>
      <c r="M719" s="3" t="s">
        <v>1292</v>
      </c>
      <c r="N719" s="3" t="n">
        <v>8</v>
      </c>
      <c r="O719" s="3" t="s">
        <v>64</v>
      </c>
      <c r="P719" s="3" t="s">
        <v>65</v>
      </c>
    </row>
    <row r="720" customFormat="false" ht="15" hidden="false" customHeight="false" outlineLevel="0" collapsed="false">
      <c r="A720" s="3" t="s">
        <v>1288</v>
      </c>
      <c r="B720" s="3" t="s">
        <v>1293</v>
      </c>
      <c r="C720" s="3" t="s">
        <v>1294</v>
      </c>
      <c r="D720" s="4" t="n">
        <v>82.61</v>
      </c>
      <c r="E720" s="3" t="s">
        <v>60</v>
      </c>
      <c r="F720" s="3" t="n">
        <v>50.18</v>
      </c>
      <c r="G720" s="3" t="s">
        <v>60</v>
      </c>
      <c r="H720" s="3" t="s">
        <v>60</v>
      </c>
      <c r="I720" s="3" t="n">
        <v>103756800</v>
      </c>
      <c r="J720" s="3" t="n">
        <v>4825600</v>
      </c>
      <c r="K720" s="3" t="s">
        <v>61</v>
      </c>
      <c r="L720" s="3" t="s">
        <v>62</v>
      </c>
      <c r="M720" s="3" t="s">
        <v>1295</v>
      </c>
      <c r="N720" s="3" t="n">
        <v>0</v>
      </c>
      <c r="O720" s="3" t="s">
        <v>64</v>
      </c>
      <c r="P720" s="3" t="s">
        <v>65</v>
      </c>
    </row>
    <row r="721" customFormat="false" ht="15" hidden="false" customHeight="false" outlineLevel="0" collapsed="false">
      <c r="A721" s="3" t="s">
        <v>1296</v>
      </c>
      <c r="B721" s="3" t="s">
        <v>90</v>
      </c>
      <c r="C721" s="3" t="s">
        <v>91</v>
      </c>
      <c r="D721" s="4" t="n">
        <v>10381</v>
      </c>
      <c r="E721" s="3" t="s">
        <v>60</v>
      </c>
      <c r="F721" s="3" t="n">
        <v>64.2</v>
      </c>
      <c r="G721" s="3" t="s">
        <v>60</v>
      </c>
      <c r="H721" s="3" t="s">
        <v>60</v>
      </c>
      <c r="I721" s="3" t="n">
        <v>2724450</v>
      </c>
      <c r="J721" s="3" t="n">
        <v>47025</v>
      </c>
      <c r="K721" s="3" t="s">
        <v>61</v>
      </c>
      <c r="L721" s="3" t="s">
        <v>62</v>
      </c>
      <c r="M721" s="3" t="s">
        <v>1297</v>
      </c>
      <c r="N721" s="3" t="n">
        <v>3</v>
      </c>
      <c r="O721" s="3" t="s">
        <v>64</v>
      </c>
      <c r="P721" s="3" t="s">
        <v>65</v>
      </c>
    </row>
    <row r="722" customFormat="false" ht="15" hidden="false" customHeight="false" outlineLevel="0" collapsed="false">
      <c r="A722" s="3" t="s">
        <v>1296</v>
      </c>
      <c r="B722" s="3" t="s">
        <v>871</v>
      </c>
      <c r="C722" s="3" t="s">
        <v>872</v>
      </c>
      <c r="D722" s="4" t="n">
        <v>1102.6</v>
      </c>
      <c r="E722" s="3" t="s">
        <v>60</v>
      </c>
      <c r="F722" s="3" t="n">
        <v>52.1</v>
      </c>
      <c r="G722" s="3" t="s">
        <v>60</v>
      </c>
      <c r="H722" s="3" t="s">
        <v>60</v>
      </c>
      <c r="I722" s="3" t="n">
        <v>114361600</v>
      </c>
      <c r="J722" s="3" t="n">
        <v>502800</v>
      </c>
      <c r="K722" s="3" t="s">
        <v>61</v>
      </c>
      <c r="L722" s="3" t="s">
        <v>62</v>
      </c>
      <c r="M722" s="3" t="s">
        <v>1298</v>
      </c>
      <c r="N722" s="3" t="n">
        <v>3</v>
      </c>
      <c r="O722" s="3" t="s">
        <v>64</v>
      </c>
      <c r="P722" s="3" t="s">
        <v>65</v>
      </c>
    </row>
    <row r="723" customFormat="false" ht="15" hidden="false" customHeight="false" outlineLevel="0" collapsed="false">
      <c r="A723" s="3" t="s">
        <v>1296</v>
      </c>
      <c r="B723" s="3" t="s">
        <v>148</v>
      </c>
      <c r="C723" s="3" t="s">
        <v>149</v>
      </c>
      <c r="D723" s="4" t="n">
        <v>4951.1</v>
      </c>
      <c r="E723" s="3" t="s">
        <v>60</v>
      </c>
      <c r="F723" s="3" t="n">
        <v>64.22</v>
      </c>
      <c r="G723" s="3" t="s">
        <v>60</v>
      </c>
      <c r="H723" s="3" t="s">
        <v>60</v>
      </c>
      <c r="I723" s="3" t="n">
        <v>2659750</v>
      </c>
      <c r="J723" s="3" t="n">
        <v>62625</v>
      </c>
      <c r="K723" s="3" t="s">
        <v>61</v>
      </c>
      <c r="L723" s="3" t="s">
        <v>62</v>
      </c>
      <c r="M723" s="3" t="s">
        <v>1299</v>
      </c>
      <c r="N723" s="3" t="n">
        <v>4</v>
      </c>
      <c r="O723" s="3" t="s">
        <v>299</v>
      </c>
      <c r="P723" s="3" t="s">
        <v>70</v>
      </c>
    </row>
    <row r="724" customFormat="false" ht="15" hidden="false" customHeight="false" outlineLevel="0" collapsed="false">
      <c r="A724" s="3" t="s">
        <v>1300</v>
      </c>
      <c r="B724" s="3" t="s">
        <v>333</v>
      </c>
      <c r="C724" s="3" t="s">
        <v>334</v>
      </c>
      <c r="D724" s="4" t="n">
        <v>5601.5</v>
      </c>
      <c r="E724" s="3" t="s">
        <v>60</v>
      </c>
      <c r="F724" s="3" t="n">
        <v>66.76</v>
      </c>
      <c r="G724" s="3" t="s">
        <v>60</v>
      </c>
      <c r="H724" s="3" t="s">
        <v>60</v>
      </c>
      <c r="I724" s="3" t="n">
        <v>1550500</v>
      </c>
      <c r="J724" s="3" t="n">
        <v>127000</v>
      </c>
      <c r="K724" s="3" t="s">
        <v>61</v>
      </c>
      <c r="L724" s="3" t="s">
        <v>62</v>
      </c>
      <c r="M724" s="3" t="s">
        <v>1301</v>
      </c>
      <c r="N724" s="3" t="n">
        <v>9</v>
      </c>
      <c r="O724" s="3" t="s">
        <v>64</v>
      </c>
      <c r="P724" s="3" t="s">
        <v>65</v>
      </c>
    </row>
    <row r="725" customFormat="false" ht="15" hidden="false" customHeight="false" outlineLevel="0" collapsed="false">
      <c r="A725" s="3" t="s">
        <v>1300</v>
      </c>
      <c r="B725" s="3" t="s">
        <v>629</v>
      </c>
      <c r="C725" s="3" t="s">
        <v>630</v>
      </c>
      <c r="D725" s="4" t="n">
        <v>441.1</v>
      </c>
      <c r="E725" s="3" t="s">
        <v>60</v>
      </c>
      <c r="F725" s="3" t="n">
        <v>51.26</v>
      </c>
      <c r="G725" s="3" t="s">
        <v>60</v>
      </c>
      <c r="H725" s="3" t="s">
        <v>60</v>
      </c>
      <c r="I725" s="3" t="n">
        <v>17346000</v>
      </c>
      <c r="J725" s="3" t="n">
        <v>609000</v>
      </c>
      <c r="K725" s="3" t="s">
        <v>61</v>
      </c>
      <c r="L725" s="3" t="s">
        <v>62</v>
      </c>
      <c r="M725" s="3" t="s">
        <v>1302</v>
      </c>
      <c r="N725" s="3" t="n">
        <v>1</v>
      </c>
      <c r="O725" s="3" t="s">
        <v>64</v>
      </c>
      <c r="P725" s="3" t="s">
        <v>65</v>
      </c>
    </row>
    <row r="726" customFormat="false" ht="15" hidden="false" customHeight="false" outlineLevel="0" collapsed="false">
      <c r="A726" s="3" t="s">
        <v>1300</v>
      </c>
      <c r="B726" s="3" t="s">
        <v>1070</v>
      </c>
      <c r="C726" s="3" t="s">
        <v>1071</v>
      </c>
      <c r="D726" s="4" t="n">
        <v>638.85</v>
      </c>
      <c r="E726" s="3" t="s">
        <v>60</v>
      </c>
      <c r="F726" s="3" t="n">
        <v>50.62</v>
      </c>
      <c r="G726" s="3" t="s">
        <v>60</v>
      </c>
      <c r="H726" s="3" t="s">
        <v>60</v>
      </c>
      <c r="I726" s="3" t="n">
        <v>26551200</v>
      </c>
      <c r="J726" s="3" t="n">
        <v>1365600</v>
      </c>
      <c r="K726" s="3" t="s">
        <v>61</v>
      </c>
      <c r="L726" s="3" t="s">
        <v>62</v>
      </c>
      <c r="M726" s="3" t="s">
        <v>1303</v>
      </c>
      <c r="N726" s="3" t="n">
        <v>1</v>
      </c>
      <c r="O726" s="3" t="s">
        <v>64</v>
      </c>
      <c r="P726" s="3" t="s">
        <v>65</v>
      </c>
    </row>
    <row r="727" customFormat="false" ht="15" hidden="false" customHeight="false" outlineLevel="0" collapsed="false">
      <c r="A727" s="3" t="s">
        <v>1300</v>
      </c>
      <c r="B727" s="3" t="s">
        <v>148</v>
      </c>
      <c r="C727" s="3" t="s">
        <v>149</v>
      </c>
      <c r="D727" s="4" t="n">
        <v>4973.5</v>
      </c>
      <c r="E727" s="3" t="s">
        <v>60</v>
      </c>
      <c r="F727" s="3" t="n">
        <v>66.07</v>
      </c>
      <c r="G727" s="3" t="s">
        <v>60</v>
      </c>
      <c r="H727" s="3" t="s">
        <v>60</v>
      </c>
      <c r="I727" s="3" t="n">
        <v>2761500</v>
      </c>
      <c r="J727" s="3" t="n">
        <v>101750</v>
      </c>
      <c r="K727" s="3" t="s">
        <v>61</v>
      </c>
      <c r="L727" s="3" t="s">
        <v>315</v>
      </c>
      <c r="M727" s="3" t="s">
        <v>1304</v>
      </c>
      <c r="N727" s="3" t="n">
        <v>4</v>
      </c>
      <c r="O727" s="3" t="s">
        <v>317</v>
      </c>
      <c r="P727" s="3" t="s">
        <v>70</v>
      </c>
    </row>
    <row r="728" customFormat="false" ht="15" hidden="false" customHeight="false" outlineLevel="0" collapsed="false">
      <c r="A728" s="3" t="s">
        <v>1305</v>
      </c>
      <c r="B728" s="3" t="s">
        <v>1007</v>
      </c>
      <c r="C728" s="3" t="s">
        <v>1008</v>
      </c>
      <c r="D728" s="4" t="n">
        <v>417.95</v>
      </c>
      <c r="E728" s="3" t="s">
        <v>60</v>
      </c>
      <c r="F728" s="3" t="n">
        <v>47.67</v>
      </c>
      <c r="G728" s="3" t="s">
        <v>60</v>
      </c>
      <c r="H728" s="3" t="s">
        <v>60</v>
      </c>
      <c r="I728" s="3" t="n">
        <v>86764125</v>
      </c>
      <c r="J728" s="3" t="n">
        <v>4142250</v>
      </c>
      <c r="K728" s="3" t="s">
        <v>61</v>
      </c>
      <c r="L728" s="3" t="s">
        <v>62</v>
      </c>
      <c r="M728" s="3" t="s">
        <v>1306</v>
      </c>
      <c r="N728" s="3" t="n">
        <v>1</v>
      </c>
      <c r="O728" s="3" t="s">
        <v>64</v>
      </c>
      <c r="P728" s="3" t="s">
        <v>65</v>
      </c>
    </row>
    <row r="729" customFormat="false" ht="15" hidden="false" customHeight="false" outlineLevel="0" collapsed="false">
      <c r="A729" s="3" t="s">
        <v>1305</v>
      </c>
      <c r="B729" s="3" t="s">
        <v>66</v>
      </c>
      <c r="C729" s="3" t="s">
        <v>67</v>
      </c>
      <c r="D729" s="4" t="n">
        <v>7273</v>
      </c>
      <c r="E729" s="3" t="s">
        <v>60</v>
      </c>
      <c r="F729" s="3" t="n">
        <v>47.08</v>
      </c>
      <c r="G729" s="3" t="s">
        <v>60</v>
      </c>
      <c r="H729" s="3" t="s">
        <v>60</v>
      </c>
      <c r="I729" s="3" t="n">
        <v>4141700</v>
      </c>
      <c r="J729" s="3" t="n">
        <v>30800</v>
      </c>
      <c r="K729" s="3" t="s">
        <v>61</v>
      </c>
      <c r="L729" s="3" t="s">
        <v>62</v>
      </c>
      <c r="M729" s="3" t="s">
        <v>1307</v>
      </c>
      <c r="N729" s="3" t="n">
        <v>5</v>
      </c>
      <c r="O729" s="3" t="s">
        <v>64</v>
      </c>
      <c r="P729" s="3" t="s">
        <v>65</v>
      </c>
    </row>
    <row r="730" customFormat="false" ht="15" hidden="false" customHeight="false" outlineLevel="0" collapsed="false">
      <c r="A730" s="3" t="s">
        <v>1305</v>
      </c>
      <c r="B730" s="3" t="s">
        <v>101</v>
      </c>
      <c r="C730" s="3" t="s">
        <v>102</v>
      </c>
      <c r="D730" s="4" t="n">
        <v>2729.2</v>
      </c>
      <c r="E730" s="3" t="s">
        <v>60</v>
      </c>
      <c r="F730" s="3" t="n">
        <v>49.64</v>
      </c>
      <c r="G730" s="3" t="s">
        <v>60</v>
      </c>
      <c r="H730" s="3" t="s">
        <v>60</v>
      </c>
      <c r="I730" s="3" t="n">
        <v>6271500</v>
      </c>
      <c r="J730" s="3" t="n">
        <v>190500</v>
      </c>
      <c r="K730" s="3" t="s">
        <v>61</v>
      </c>
      <c r="L730" s="3" t="s">
        <v>62</v>
      </c>
      <c r="M730" s="3" t="s">
        <v>1308</v>
      </c>
      <c r="N730" s="3" t="n">
        <v>6</v>
      </c>
      <c r="O730" s="3" t="s">
        <v>64</v>
      </c>
      <c r="P730" s="3" t="s">
        <v>65</v>
      </c>
    </row>
    <row r="731" customFormat="false" ht="15" hidden="false" customHeight="false" outlineLevel="0" collapsed="false">
      <c r="A731" s="3" t="s">
        <v>1305</v>
      </c>
      <c r="B731" s="3" t="s">
        <v>136</v>
      </c>
      <c r="C731" s="3" t="s">
        <v>137</v>
      </c>
      <c r="D731" s="4" t="n">
        <v>140.24</v>
      </c>
      <c r="E731" s="3" t="s">
        <v>60</v>
      </c>
      <c r="F731" s="3" t="n">
        <v>64.22</v>
      </c>
      <c r="G731" s="3" t="s">
        <v>60</v>
      </c>
      <c r="H731" s="3" t="s">
        <v>60</v>
      </c>
      <c r="I731" s="3" t="n">
        <v>146084250</v>
      </c>
      <c r="J731" s="3" t="n">
        <v>3334500</v>
      </c>
      <c r="K731" s="3" t="s">
        <v>61</v>
      </c>
      <c r="L731" s="3" t="s">
        <v>62</v>
      </c>
      <c r="M731" s="3" t="s">
        <v>1309</v>
      </c>
      <c r="N731" s="3" t="n">
        <v>14</v>
      </c>
      <c r="O731" s="3" t="s">
        <v>69</v>
      </c>
      <c r="P731" s="3" t="s">
        <v>70</v>
      </c>
    </row>
    <row r="732" customFormat="false" ht="15" hidden="false" customHeight="false" outlineLevel="0" collapsed="false">
      <c r="A732" s="3" t="s">
        <v>1305</v>
      </c>
      <c r="B732" s="3" t="s">
        <v>164</v>
      </c>
      <c r="C732" s="3" t="s">
        <v>165</v>
      </c>
      <c r="D732" s="4" t="n">
        <v>1568.8</v>
      </c>
      <c r="E732" s="3" t="s">
        <v>60</v>
      </c>
      <c r="F732" s="3" t="n">
        <v>58.1</v>
      </c>
      <c r="G732" s="3" t="s">
        <v>60</v>
      </c>
      <c r="H732" s="3" t="s">
        <v>60</v>
      </c>
      <c r="I732" s="3" t="n">
        <v>7044500</v>
      </c>
      <c r="J732" s="3" t="n">
        <v>139500</v>
      </c>
      <c r="K732" s="3" t="s">
        <v>61</v>
      </c>
      <c r="L732" s="3" t="s">
        <v>62</v>
      </c>
      <c r="M732" s="3" t="s">
        <v>1310</v>
      </c>
      <c r="N732" s="3" t="n">
        <v>7</v>
      </c>
      <c r="O732" s="3" t="s">
        <v>64</v>
      </c>
      <c r="P732" s="3" t="s">
        <v>65</v>
      </c>
    </row>
    <row r="733" customFormat="false" ht="15" hidden="false" customHeight="false" outlineLevel="0" collapsed="false">
      <c r="A733" s="3" t="s">
        <v>1305</v>
      </c>
      <c r="B733" s="3" t="s">
        <v>148</v>
      </c>
      <c r="C733" s="3" t="s">
        <v>149</v>
      </c>
      <c r="D733" s="4" t="n">
        <v>5017.8</v>
      </c>
      <c r="E733" s="3" t="s">
        <v>60</v>
      </c>
      <c r="F733" s="3" t="n">
        <v>63.49</v>
      </c>
      <c r="G733" s="3" t="s">
        <v>60</v>
      </c>
      <c r="H733" s="3" t="s">
        <v>60</v>
      </c>
      <c r="I733" s="3" t="n">
        <v>2941500</v>
      </c>
      <c r="J733" s="3" t="n">
        <v>180000</v>
      </c>
      <c r="K733" s="3" t="s">
        <v>61</v>
      </c>
      <c r="L733" s="3" t="s">
        <v>62</v>
      </c>
      <c r="M733" s="3" t="s">
        <v>1311</v>
      </c>
      <c r="N733" s="3" t="n">
        <v>4</v>
      </c>
      <c r="O733" s="3" t="s">
        <v>324</v>
      </c>
      <c r="P733" s="3" t="s">
        <v>70</v>
      </c>
    </row>
    <row r="734" customFormat="false" ht="15" hidden="false" customHeight="false" outlineLevel="0" collapsed="false">
      <c r="A734" s="3" t="s">
        <v>1305</v>
      </c>
      <c r="B734" s="3" t="s">
        <v>655</v>
      </c>
      <c r="C734" s="3" t="s">
        <v>656</v>
      </c>
      <c r="D734" s="4" t="n">
        <v>11812</v>
      </c>
      <c r="E734" s="3" t="s">
        <v>60</v>
      </c>
      <c r="F734" s="3" t="n">
        <v>53.34</v>
      </c>
      <c r="G734" s="3" t="s">
        <v>60</v>
      </c>
      <c r="H734" s="3" t="s">
        <v>60</v>
      </c>
      <c r="I734" s="3" t="n">
        <v>2219200</v>
      </c>
      <c r="J734" s="3" t="n">
        <v>17200</v>
      </c>
      <c r="K734" s="3" t="s">
        <v>61</v>
      </c>
      <c r="L734" s="3" t="s">
        <v>62</v>
      </c>
      <c r="M734" s="3" t="s">
        <v>1312</v>
      </c>
      <c r="N734" s="3" t="n">
        <v>1</v>
      </c>
      <c r="O734" s="3" t="s">
        <v>64</v>
      </c>
      <c r="P734" s="3" t="s">
        <v>65</v>
      </c>
    </row>
    <row r="735" customFormat="false" ht="15" hidden="false" customHeight="false" outlineLevel="0" collapsed="false">
      <c r="A735" s="3" t="s">
        <v>1313</v>
      </c>
      <c r="B735" s="3" t="s">
        <v>522</v>
      </c>
      <c r="C735" s="3" t="s">
        <v>523</v>
      </c>
      <c r="D735" s="4" t="n">
        <v>260.3</v>
      </c>
      <c r="E735" s="3" t="s">
        <v>60</v>
      </c>
      <c r="F735" s="3" t="n">
        <v>60.05</v>
      </c>
      <c r="G735" s="3" t="s">
        <v>60</v>
      </c>
      <c r="H735" s="3" t="s">
        <v>60</v>
      </c>
      <c r="I735" s="3" t="n">
        <v>54865850</v>
      </c>
      <c r="J735" s="3" t="n">
        <v>292400</v>
      </c>
      <c r="K735" s="3" t="s">
        <v>61</v>
      </c>
      <c r="L735" s="3" t="s">
        <v>62</v>
      </c>
      <c r="M735" s="3" t="s">
        <v>1314</v>
      </c>
      <c r="N735" s="3" t="n">
        <v>3</v>
      </c>
      <c r="O735" s="3" t="s">
        <v>64</v>
      </c>
      <c r="P735" s="3" t="s">
        <v>65</v>
      </c>
    </row>
    <row r="736" customFormat="false" ht="15" hidden="false" customHeight="false" outlineLevel="0" collapsed="false">
      <c r="A736" s="3" t="s">
        <v>1313</v>
      </c>
      <c r="B736" s="3" t="s">
        <v>309</v>
      </c>
      <c r="C736" s="3" t="s">
        <v>310</v>
      </c>
      <c r="D736" s="4" t="n">
        <v>5592</v>
      </c>
      <c r="E736" s="3" t="s">
        <v>60</v>
      </c>
      <c r="F736" s="3" t="n">
        <v>54.76</v>
      </c>
      <c r="G736" s="3" t="s">
        <v>60</v>
      </c>
      <c r="H736" s="3" t="s">
        <v>60</v>
      </c>
      <c r="I736" s="3" t="n">
        <v>4805400</v>
      </c>
      <c r="J736" s="3" t="n">
        <v>333600</v>
      </c>
      <c r="K736" s="3" t="s">
        <v>61</v>
      </c>
      <c r="L736" s="3" t="s">
        <v>62</v>
      </c>
      <c r="M736" s="3" t="s">
        <v>1315</v>
      </c>
      <c r="N736" s="3" t="n">
        <v>4</v>
      </c>
      <c r="O736" s="3" t="s">
        <v>64</v>
      </c>
      <c r="P736" s="3" t="s">
        <v>65</v>
      </c>
    </row>
    <row r="737" customFormat="false" ht="15" hidden="false" customHeight="false" outlineLevel="0" collapsed="false">
      <c r="A737" s="3" t="s">
        <v>1313</v>
      </c>
      <c r="B737" s="3" t="s">
        <v>136</v>
      </c>
      <c r="C737" s="3" t="s">
        <v>137</v>
      </c>
      <c r="D737" s="4" t="n">
        <v>141.8</v>
      </c>
      <c r="E737" s="3" t="s">
        <v>60</v>
      </c>
      <c r="F737" s="3" t="n">
        <v>52.89</v>
      </c>
      <c r="G737" s="3" t="s">
        <v>60</v>
      </c>
      <c r="H737" s="3" t="s">
        <v>60</v>
      </c>
      <c r="I737" s="3" t="n">
        <v>146991000</v>
      </c>
      <c r="J737" s="3" t="n">
        <v>906750</v>
      </c>
      <c r="K737" s="3" t="s">
        <v>61</v>
      </c>
      <c r="L737" s="3" t="s">
        <v>62</v>
      </c>
      <c r="M737" s="3" t="s">
        <v>1316</v>
      </c>
      <c r="N737" s="3" t="n">
        <v>14</v>
      </c>
      <c r="O737" s="3" t="s">
        <v>100</v>
      </c>
      <c r="P737" s="3" t="s">
        <v>70</v>
      </c>
    </row>
    <row r="738" customFormat="false" ht="15" hidden="false" customHeight="false" outlineLevel="0" collapsed="false">
      <c r="A738" s="3" t="s">
        <v>1313</v>
      </c>
      <c r="B738" s="3" t="s">
        <v>453</v>
      </c>
      <c r="C738" s="3" t="s">
        <v>454</v>
      </c>
      <c r="D738" s="4" t="n">
        <v>683.4</v>
      </c>
      <c r="E738" s="3" t="s">
        <v>60</v>
      </c>
      <c r="F738" s="3" t="n">
        <v>47.63</v>
      </c>
      <c r="G738" s="3" t="s">
        <v>60</v>
      </c>
      <c r="H738" s="3" t="s">
        <v>60</v>
      </c>
      <c r="I738" s="3" t="n">
        <v>15673875</v>
      </c>
      <c r="J738" s="3" t="n">
        <v>870975</v>
      </c>
      <c r="K738" s="3" t="s">
        <v>61</v>
      </c>
      <c r="L738" s="3" t="s">
        <v>62</v>
      </c>
      <c r="M738" s="3" t="s">
        <v>1317</v>
      </c>
      <c r="N738" s="3" t="n">
        <v>6</v>
      </c>
      <c r="O738" s="3" t="s">
        <v>64</v>
      </c>
      <c r="P738" s="3" t="s">
        <v>65</v>
      </c>
    </row>
    <row r="739" customFormat="false" ht="15" hidden="false" customHeight="false" outlineLevel="0" collapsed="false">
      <c r="A739" s="3" t="s">
        <v>1318</v>
      </c>
      <c r="B739" s="3" t="s">
        <v>794</v>
      </c>
      <c r="C739" s="3" t="s">
        <v>795</v>
      </c>
      <c r="D739" s="4" t="n">
        <v>2042.4</v>
      </c>
      <c r="E739" s="3" t="s">
        <v>60</v>
      </c>
      <c r="F739" s="3" t="n">
        <v>52.21</v>
      </c>
      <c r="G739" s="3" t="s">
        <v>60</v>
      </c>
      <c r="H739" s="3" t="s">
        <v>60</v>
      </c>
      <c r="I739" s="3" t="n">
        <v>4856225</v>
      </c>
      <c r="J739" s="3" t="n">
        <v>178475</v>
      </c>
      <c r="K739" s="3" t="s">
        <v>61</v>
      </c>
      <c r="L739" s="3" t="s">
        <v>62</v>
      </c>
      <c r="M739" s="3" t="s">
        <v>1319</v>
      </c>
      <c r="N739" s="3" t="n">
        <v>2</v>
      </c>
      <c r="O739" s="3" t="s">
        <v>64</v>
      </c>
      <c r="P739" s="3" t="s">
        <v>65</v>
      </c>
    </row>
    <row r="740" customFormat="false" ht="15" hidden="false" customHeight="false" outlineLevel="0" collapsed="false">
      <c r="A740" s="3" t="s">
        <v>1318</v>
      </c>
      <c r="B740" s="3" t="s">
        <v>164</v>
      </c>
      <c r="C740" s="3" t="s">
        <v>165</v>
      </c>
      <c r="D740" s="4" t="n">
        <v>1566.1</v>
      </c>
      <c r="E740" s="3" t="s">
        <v>60</v>
      </c>
      <c r="F740" s="3" t="n">
        <v>72.5</v>
      </c>
      <c r="G740" s="3" t="s">
        <v>60</v>
      </c>
      <c r="H740" s="3" t="s">
        <v>60</v>
      </c>
      <c r="I740" s="3" t="n">
        <v>7388000</v>
      </c>
      <c r="J740" s="3" t="n">
        <v>247000</v>
      </c>
      <c r="K740" s="3" t="s">
        <v>61</v>
      </c>
      <c r="L740" s="3" t="s">
        <v>62</v>
      </c>
      <c r="M740" s="3" t="s">
        <v>1320</v>
      </c>
      <c r="N740" s="3" t="n">
        <v>8</v>
      </c>
      <c r="O740" s="3" t="s">
        <v>64</v>
      </c>
      <c r="P740" s="3" t="s">
        <v>65</v>
      </c>
    </row>
    <row r="741" customFormat="false" ht="15" hidden="false" customHeight="false" outlineLevel="0" collapsed="false">
      <c r="A741" s="3" t="s">
        <v>1321</v>
      </c>
      <c r="B741" s="3" t="s">
        <v>490</v>
      </c>
      <c r="C741" s="3" t="s">
        <v>491</v>
      </c>
      <c r="D741" s="4" t="n">
        <v>317.6</v>
      </c>
      <c r="E741" s="3" t="s">
        <v>60</v>
      </c>
      <c r="F741" s="3" t="n">
        <v>50.52</v>
      </c>
      <c r="G741" s="3" t="s">
        <v>60</v>
      </c>
      <c r="H741" s="3" t="s">
        <v>60</v>
      </c>
      <c r="I741" s="3" t="n">
        <v>41943075</v>
      </c>
      <c r="J741" s="3" t="n">
        <v>1267950</v>
      </c>
      <c r="K741" s="3" t="s">
        <v>61</v>
      </c>
      <c r="L741" s="3" t="s">
        <v>62</v>
      </c>
      <c r="M741" s="3" t="s">
        <v>1322</v>
      </c>
      <c r="N741" s="3" t="n">
        <v>4</v>
      </c>
      <c r="O741" s="3" t="s">
        <v>64</v>
      </c>
      <c r="P741" s="3" t="s">
        <v>65</v>
      </c>
    </row>
    <row r="742" customFormat="false" ht="15" hidden="false" customHeight="false" outlineLevel="0" collapsed="false">
      <c r="A742" s="3" t="s">
        <v>1321</v>
      </c>
      <c r="B742" s="3" t="s">
        <v>346</v>
      </c>
      <c r="C742" s="3" t="s">
        <v>347</v>
      </c>
      <c r="D742" s="4" t="n">
        <v>337.1</v>
      </c>
      <c r="E742" s="3" t="s">
        <v>60</v>
      </c>
      <c r="F742" s="3" t="n">
        <v>46.84</v>
      </c>
      <c r="G742" s="3" t="s">
        <v>60</v>
      </c>
      <c r="H742" s="3" t="s">
        <v>60</v>
      </c>
      <c r="I742" s="3" t="n">
        <v>57093000</v>
      </c>
      <c r="J742" s="3" t="n">
        <v>1056000</v>
      </c>
      <c r="K742" s="3" t="s">
        <v>61</v>
      </c>
      <c r="L742" s="3" t="s">
        <v>62</v>
      </c>
      <c r="M742" s="3" t="s">
        <v>1323</v>
      </c>
      <c r="N742" s="3" t="n">
        <v>2</v>
      </c>
      <c r="O742" s="3" t="s">
        <v>64</v>
      </c>
      <c r="P742" s="3" t="s">
        <v>65</v>
      </c>
    </row>
    <row r="743" customFormat="false" ht="15" hidden="false" customHeight="false" outlineLevel="0" collapsed="false">
      <c r="A743" s="3" t="s">
        <v>1321</v>
      </c>
      <c r="B743" s="3" t="s">
        <v>1145</v>
      </c>
      <c r="C743" s="3" t="s">
        <v>1146</v>
      </c>
      <c r="D743" s="4" t="n">
        <v>4132.4</v>
      </c>
      <c r="E743" s="3" t="s">
        <v>60</v>
      </c>
      <c r="F743" s="3" t="n">
        <v>53.5</v>
      </c>
      <c r="G743" s="3" t="s">
        <v>60</v>
      </c>
      <c r="H743" s="3" t="s">
        <v>60</v>
      </c>
      <c r="I743" s="3" t="n">
        <v>557250</v>
      </c>
      <c r="J743" s="3" t="n">
        <v>57300</v>
      </c>
      <c r="K743" s="3" t="s">
        <v>61</v>
      </c>
      <c r="L743" s="3" t="s">
        <v>62</v>
      </c>
      <c r="M743" s="3" t="s">
        <v>1324</v>
      </c>
      <c r="N743" s="3" t="n">
        <v>2</v>
      </c>
      <c r="O743" s="3" t="s">
        <v>64</v>
      </c>
      <c r="P743" s="3" t="s">
        <v>65</v>
      </c>
    </row>
    <row r="744" customFormat="false" ht="15" hidden="false" customHeight="false" outlineLevel="0" collapsed="false">
      <c r="A744" s="3" t="s">
        <v>1325</v>
      </c>
      <c r="B744" s="3" t="s">
        <v>923</v>
      </c>
      <c r="C744" s="3" t="s">
        <v>924</v>
      </c>
      <c r="D744" s="4" t="n">
        <v>2398</v>
      </c>
      <c r="E744" s="3" t="s">
        <v>60</v>
      </c>
      <c r="F744" s="3" t="n">
        <v>50.18</v>
      </c>
      <c r="G744" s="3" t="s">
        <v>60</v>
      </c>
      <c r="H744" s="3" t="s">
        <v>60</v>
      </c>
      <c r="I744" s="3" t="n">
        <v>6375375</v>
      </c>
      <c r="J744" s="3" t="n">
        <v>606825</v>
      </c>
      <c r="K744" s="3" t="s">
        <v>61</v>
      </c>
      <c r="L744" s="3" t="s">
        <v>62</v>
      </c>
      <c r="M744" s="3" t="s">
        <v>1326</v>
      </c>
      <c r="N744" s="3" t="n">
        <v>3</v>
      </c>
      <c r="O744" s="3" t="s">
        <v>64</v>
      </c>
      <c r="P744" s="3" t="s">
        <v>65</v>
      </c>
    </row>
    <row r="745" customFormat="false" ht="15" hidden="false" customHeight="false" outlineLevel="0" collapsed="false">
      <c r="A745" s="3" t="s">
        <v>1327</v>
      </c>
      <c r="B745" s="3" t="s">
        <v>1328</v>
      </c>
      <c r="C745" s="3" t="s">
        <v>1329</v>
      </c>
      <c r="D745" s="4" t="n">
        <v>1235.4</v>
      </c>
      <c r="E745" s="3" t="s">
        <v>60</v>
      </c>
      <c r="F745" s="3" t="n">
        <v>60.75</v>
      </c>
      <c r="G745" s="3" t="s">
        <v>60</v>
      </c>
      <c r="H745" s="3" t="s">
        <v>60</v>
      </c>
      <c r="I745" s="3" t="n">
        <v>78709375</v>
      </c>
      <c r="J745" s="3" t="n">
        <v>1021250</v>
      </c>
      <c r="K745" s="3" t="s">
        <v>61</v>
      </c>
      <c r="L745" s="3" t="s">
        <v>62</v>
      </c>
      <c r="M745" s="3" t="s">
        <v>1330</v>
      </c>
      <c r="N745" s="3" t="n">
        <v>0</v>
      </c>
      <c r="O745" s="3" t="s">
        <v>64</v>
      </c>
      <c r="P745" s="3" t="s">
        <v>65</v>
      </c>
    </row>
    <row r="746" customFormat="false" ht="15" hidden="false" customHeight="false" outlineLevel="0" collapsed="false">
      <c r="A746" s="3" t="s">
        <v>1327</v>
      </c>
      <c r="B746" s="3" t="s">
        <v>328</v>
      </c>
      <c r="C746" s="3" t="s">
        <v>329</v>
      </c>
      <c r="D746" s="4" t="n">
        <v>5517.5</v>
      </c>
      <c r="E746" s="3" t="s">
        <v>60</v>
      </c>
      <c r="F746" s="3" t="n">
        <v>51.33</v>
      </c>
      <c r="G746" s="3" t="s">
        <v>60</v>
      </c>
      <c r="H746" s="3" t="s">
        <v>60</v>
      </c>
      <c r="I746" s="3" t="n">
        <v>2050000</v>
      </c>
      <c r="J746" s="3" t="n">
        <v>31125</v>
      </c>
      <c r="K746" s="3" t="s">
        <v>61</v>
      </c>
      <c r="L746" s="3" t="s">
        <v>62</v>
      </c>
      <c r="M746" s="3" t="s">
        <v>1331</v>
      </c>
      <c r="N746" s="3" t="n">
        <v>6</v>
      </c>
      <c r="O746" s="3" t="s">
        <v>64</v>
      </c>
      <c r="P746" s="3" t="s">
        <v>65</v>
      </c>
    </row>
    <row r="747" customFormat="false" ht="15" hidden="false" customHeight="false" outlineLevel="0" collapsed="false">
      <c r="A747" s="3" t="s">
        <v>1327</v>
      </c>
      <c r="B747" s="3" t="s">
        <v>216</v>
      </c>
      <c r="C747" s="3" t="s">
        <v>217</v>
      </c>
      <c r="D747" s="4" t="n">
        <v>1474.3</v>
      </c>
      <c r="E747" s="3" t="s">
        <v>60</v>
      </c>
      <c r="F747" s="3" t="n">
        <v>55.16</v>
      </c>
      <c r="G747" s="3" t="s">
        <v>60</v>
      </c>
      <c r="H747" s="3" t="s">
        <v>60</v>
      </c>
      <c r="I747" s="3" t="n">
        <v>9867650</v>
      </c>
      <c r="J747" s="3" t="n">
        <v>56525</v>
      </c>
      <c r="K747" s="3" t="s">
        <v>61</v>
      </c>
      <c r="L747" s="3" t="s">
        <v>62</v>
      </c>
      <c r="M747" s="3" t="s">
        <v>1332</v>
      </c>
      <c r="N747" s="3" t="n">
        <v>6</v>
      </c>
      <c r="O747" s="3" t="s">
        <v>64</v>
      </c>
      <c r="P747" s="3" t="s">
        <v>65</v>
      </c>
    </row>
    <row r="748" customFormat="false" ht="15" hidden="false" customHeight="false" outlineLevel="0" collapsed="false">
      <c r="A748" s="3" t="s">
        <v>1327</v>
      </c>
      <c r="B748" s="3" t="s">
        <v>403</v>
      </c>
      <c r="C748" s="3" t="s">
        <v>404</v>
      </c>
      <c r="D748" s="4" t="n">
        <v>553.45</v>
      </c>
      <c r="E748" s="3" t="s">
        <v>60</v>
      </c>
      <c r="F748" s="3" t="n">
        <v>61.07</v>
      </c>
      <c r="G748" s="3" t="s">
        <v>60</v>
      </c>
      <c r="H748" s="3" t="s">
        <v>60</v>
      </c>
      <c r="I748" s="3" t="n">
        <v>23564000</v>
      </c>
      <c r="J748" s="3" t="n">
        <v>305000</v>
      </c>
      <c r="K748" s="3" t="s">
        <v>61</v>
      </c>
      <c r="L748" s="3" t="s">
        <v>62</v>
      </c>
      <c r="M748" s="3" t="s">
        <v>1333</v>
      </c>
      <c r="N748" s="3" t="n">
        <v>4</v>
      </c>
      <c r="O748" s="3" t="s">
        <v>64</v>
      </c>
      <c r="P748" s="3" t="s">
        <v>65</v>
      </c>
    </row>
    <row r="749" customFormat="false" ht="15" hidden="false" customHeight="false" outlineLevel="0" collapsed="false">
      <c r="A749" s="3" t="s">
        <v>1327</v>
      </c>
      <c r="B749" s="3" t="s">
        <v>296</v>
      </c>
      <c r="C749" s="3" t="s">
        <v>297</v>
      </c>
      <c r="D749" s="4" t="n">
        <v>2447</v>
      </c>
      <c r="E749" s="3" t="s">
        <v>60</v>
      </c>
      <c r="F749" s="3" t="n">
        <v>63.53</v>
      </c>
      <c r="G749" s="3" t="s">
        <v>60</v>
      </c>
      <c r="H749" s="3" t="s">
        <v>60</v>
      </c>
      <c r="I749" s="3" t="n">
        <v>5668225</v>
      </c>
      <c r="J749" s="3" t="n">
        <v>301325</v>
      </c>
      <c r="K749" s="3" t="s">
        <v>61</v>
      </c>
      <c r="L749" s="3" t="s">
        <v>62</v>
      </c>
      <c r="M749" s="3" t="s">
        <v>1334</v>
      </c>
      <c r="N749" s="3" t="n">
        <v>5</v>
      </c>
      <c r="O749" s="3" t="s">
        <v>64</v>
      </c>
      <c r="P749" s="3" t="s">
        <v>65</v>
      </c>
    </row>
    <row r="750" customFormat="false" ht="15" hidden="false" customHeight="false" outlineLevel="0" collapsed="false">
      <c r="A750" s="3" t="s">
        <v>1327</v>
      </c>
      <c r="B750" s="3" t="s">
        <v>80</v>
      </c>
      <c r="C750" s="3" t="s">
        <v>81</v>
      </c>
      <c r="D750" s="4" t="n">
        <v>1515.1</v>
      </c>
      <c r="E750" s="3" t="s">
        <v>60</v>
      </c>
      <c r="F750" s="3" t="n">
        <v>61.98</v>
      </c>
      <c r="G750" s="3" t="s">
        <v>60</v>
      </c>
      <c r="H750" s="3" t="s">
        <v>60</v>
      </c>
      <c r="I750" s="3" t="n">
        <v>9654400</v>
      </c>
      <c r="J750" s="3" t="n">
        <v>422000</v>
      </c>
      <c r="K750" s="3" t="s">
        <v>61</v>
      </c>
      <c r="L750" s="3" t="s">
        <v>62</v>
      </c>
      <c r="M750" s="3" t="s">
        <v>1335</v>
      </c>
      <c r="N750" s="3" t="n">
        <v>6</v>
      </c>
      <c r="O750" s="3" t="s">
        <v>64</v>
      </c>
      <c r="P750" s="3" t="s">
        <v>65</v>
      </c>
    </row>
    <row r="751" customFormat="false" ht="15" hidden="false" customHeight="false" outlineLevel="0" collapsed="false">
      <c r="A751" s="3" t="s">
        <v>1327</v>
      </c>
      <c r="B751" s="3" t="s">
        <v>120</v>
      </c>
      <c r="C751" s="3" t="s">
        <v>121</v>
      </c>
      <c r="D751" s="4" t="n">
        <v>427.1</v>
      </c>
      <c r="E751" s="3" t="s">
        <v>60</v>
      </c>
      <c r="F751" s="3" t="n">
        <v>62.66</v>
      </c>
      <c r="G751" s="3" t="s">
        <v>60</v>
      </c>
      <c r="H751" s="3" t="s">
        <v>60</v>
      </c>
      <c r="I751" s="3" t="n">
        <v>47793200</v>
      </c>
      <c r="J751" s="3" t="n">
        <v>1479400</v>
      </c>
      <c r="K751" s="3" t="s">
        <v>61</v>
      </c>
      <c r="L751" s="3" t="s">
        <v>62</v>
      </c>
      <c r="M751" s="3" t="s">
        <v>1336</v>
      </c>
      <c r="N751" s="3" t="n">
        <v>5</v>
      </c>
      <c r="O751" s="3" t="s">
        <v>64</v>
      </c>
      <c r="P751" s="3" t="s">
        <v>65</v>
      </c>
    </row>
    <row r="752" customFormat="false" ht="15" hidden="false" customHeight="false" outlineLevel="0" collapsed="false">
      <c r="A752" s="3" t="s">
        <v>1327</v>
      </c>
      <c r="B752" s="3" t="s">
        <v>574</v>
      </c>
      <c r="C752" s="3" t="s">
        <v>575</v>
      </c>
      <c r="D752" s="4" t="n">
        <v>374.25</v>
      </c>
      <c r="E752" s="3" t="s">
        <v>60</v>
      </c>
      <c r="F752" s="3" t="n">
        <v>49.91</v>
      </c>
      <c r="G752" s="3" t="s">
        <v>60</v>
      </c>
      <c r="H752" s="3" t="s">
        <v>60</v>
      </c>
      <c r="I752" s="3" t="n">
        <v>43276275</v>
      </c>
      <c r="J752" s="3" t="n">
        <v>1496250</v>
      </c>
      <c r="K752" s="3" t="s">
        <v>61</v>
      </c>
      <c r="L752" s="3" t="s">
        <v>62</v>
      </c>
      <c r="M752" s="3" t="s">
        <v>1337</v>
      </c>
      <c r="N752" s="3" t="n">
        <v>2</v>
      </c>
      <c r="O752" s="3" t="s">
        <v>64</v>
      </c>
      <c r="P752" s="3" t="s">
        <v>65</v>
      </c>
    </row>
    <row r="753" customFormat="false" ht="15" hidden="false" customHeight="false" outlineLevel="0" collapsed="false">
      <c r="A753" s="3" t="s">
        <v>1338</v>
      </c>
      <c r="B753" s="3" t="s">
        <v>686</v>
      </c>
      <c r="C753" s="3" t="s">
        <v>687</v>
      </c>
      <c r="D753" s="4" t="n">
        <v>417.2</v>
      </c>
      <c r="E753" s="3" t="s">
        <v>60</v>
      </c>
      <c r="F753" s="3" t="n">
        <v>66.99</v>
      </c>
      <c r="G753" s="3" t="s">
        <v>60</v>
      </c>
      <c r="H753" s="3" t="s">
        <v>60</v>
      </c>
      <c r="I753" s="3" t="n">
        <v>81243000</v>
      </c>
      <c r="J753" s="3" t="n">
        <v>5517450</v>
      </c>
      <c r="K753" s="3" t="s">
        <v>61</v>
      </c>
      <c r="L753" s="3" t="s">
        <v>62</v>
      </c>
      <c r="M753" s="3" t="s">
        <v>1339</v>
      </c>
      <c r="N753" s="3" t="n">
        <v>4</v>
      </c>
      <c r="O753" s="3" t="s">
        <v>64</v>
      </c>
      <c r="P753" s="3" t="s">
        <v>65</v>
      </c>
    </row>
    <row r="754" customFormat="false" ht="15" hidden="false" customHeight="false" outlineLevel="0" collapsed="false">
      <c r="A754" s="3" t="s">
        <v>1338</v>
      </c>
      <c r="B754" s="3" t="s">
        <v>66</v>
      </c>
      <c r="C754" s="3" t="s">
        <v>67</v>
      </c>
      <c r="D754" s="4" t="n">
        <v>7835</v>
      </c>
      <c r="E754" s="3" t="s">
        <v>60</v>
      </c>
      <c r="F754" s="3" t="n">
        <v>54.06</v>
      </c>
      <c r="G754" s="3" t="s">
        <v>60</v>
      </c>
      <c r="H754" s="3" t="s">
        <v>60</v>
      </c>
      <c r="I754" s="3" t="n">
        <v>3521000</v>
      </c>
      <c r="J754" s="3" t="n">
        <v>30100</v>
      </c>
      <c r="K754" s="3" t="s">
        <v>61</v>
      </c>
      <c r="L754" s="3" t="s">
        <v>62</v>
      </c>
      <c r="M754" s="3" t="s">
        <v>1340</v>
      </c>
      <c r="N754" s="3" t="n">
        <v>6</v>
      </c>
      <c r="O754" s="3" t="s">
        <v>69</v>
      </c>
      <c r="P754" s="3" t="s">
        <v>70</v>
      </c>
    </row>
    <row r="755" customFormat="false" ht="15" hidden="false" customHeight="false" outlineLevel="0" collapsed="false">
      <c r="A755" s="3" t="s">
        <v>1338</v>
      </c>
      <c r="B755" s="3" t="s">
        <v>765</v>
      </c>
      <c r="C755" s="3" t="s">
        <v>766</v>
      </c>
      <c r="D755" s="4" t="n">
        <v>333.75</v>
      </c>
      <c r="E755" s="3" t="s">
        <v>60</v>
      </c>
      <c r="F755" s="3" t="n">
        <v>70.92</v>
      </c>
      <c r="G755" s="3" t="s">
        <v>60</v>
      </c>
      <c r="H755" s="3" t="s">
        <v>60</v>
      </c>
      <c r="I755" s="3" t="n">
        <v>43781250</v>
      </c>
      <c r="J755" s="3" t="n">
        <v>250000</v>
      </c>
      <c r="K755" s="3" t="s">
        <v>61</v>
      </c>
      <c r="L755" s="3" t="s">
        <v>62</v>
      </c>
      <c r="M755" s="3" t="s">
        <v>1341</v>
      </c>
      <c r="N755" s="3" t="n">
        <v>5</v>
      </c>
      <c r="O755" s="3" t="s">
        <v>64</v>
      </c>
      <c r="P755" s="3" t="s">
        <v>65</v>
      </c>
    </row>
    <row r="756" customFormat="false" ht="15" hidden="false" customHeight="false" outlineLevel="0" collapsed="false">
      <c r="A756" s="3" t="s">
        <v>1338</v>
      </c>
      <c r="B756" s="3" t="s">
        <v>145</v>
      </c>
      <c r="C756" s="3" t="s">
        <v>146</v>
      </c>
      <c r="D756" s="4" t="n">
        <v>1669</v>
      </c>
      <c r="E756" s="3" t="s">
        <v>60</v>
      </c>
      <c r="F756" s="3" t="n">
        <v>60.27</v>
      </c>
      <c r="G756" s="3" t="s">
        <v>60</v>
      </c>
      <c r="H756" s="3" t="s">
        <v>60</v>
      </c>
      <c r="I756" s="3" t="n">
        <v>18218400</v>
      </c>
      <c r="J756" s="3" t="n">
        <v>520200</v>
      </c>
      <c r="K756" s="3" t="s">
        <v>61</v>
      </c>
      <c r="L756" s="3" t="s">
        <v>62</v>
      </c>
      <c r="M756" s="3" t="s">
        <v>1342</v>
      </c>
      <c r="N756" s="3" t="n">
        <v>8</v>
      </c>
      <c r="O756" s="3" t="s">
        <v>64</v>
      </c>
      <c r="P756" s="3" t="s">
        <v>65</v>
      </c>
    </row>
    <row r="757" customFormat="false" ht="15" hidden="false" customHeight="false" outlineLevel="0" collapsed="false">
      <c r="A757" s="3" t="s">
        <v>1343</v>
      </c>
      <c r="B757" s="3" t="s">
        <v>396</v>
      </c>
      <c r="C757" s="3" t="s">
        <v>397</v>
      </c>
      <c r="D757" s="4" t="n">
        <v>1047.3</v>
      </c>
      <c r="E757" s="3" t="s">
        <v>60</v>
      </c>
      <c r="F757" s="3" t="n">
        <v>63.43</v>
      </c>
      <c r="G757" s="3" t="s">
        <v>60</v>
      </c>
      <c r="H757" s="3" t="s">
        <v>60</v>
      </c>
      <c r="I757" s="3" t="n">
        <v>21846000</v>
      </c>
      <c r="J757" s="3" t="n">
        <v>205000</v>
      </c>
      <c r="K757" s="3" t="s">
        <v>61</v>
      </c>
      <c r="L757" s="3" t="s">
        <v>62</v>
      </c>
      <c r="M757" s="3" t="s">
        <v>1344</v>
      </c>
      <c r="N757" s="3" t="n">
        <v>5</v>
      </c>
      <c r="O757" s="3" t="s">
        <v>64</v>
      </c>
      <c r="P757" s="3" t="s">
        <v>65</v>
      </c>
    </row>
    <row r="758" customFormat="false" ht="15" hidden="false" customHeight="false" outlineLevel="0" collapsed="false">
      <c r="A758" s="3" t="s">
        <v>1343</v>
      </c>
      <c r="B758" s="3" t="s">
        <v>664</v>
      </c>
      <c r="C758" s="3" t="s">
        <v>665</v>
      </c>
      <c r="D758" s="4" t="n">
        <v>2199.8</v>
      </c>
      <c r="E758" s="3" t="s">
        <v>60</v>
      </c>
      <c r="F758" s="3" t="n">
        <v>52.9</v>
      </c>
      <c r="G758" s="3" t="s">
        <v>60</v>
      </c>
      <c r="H758" s="3" t="s">
        <v>60</v>
      </c>
      <c r="I758" s="3" t="n">
        <v>7622500</v>
      </c>
      <c r="J758" s="3" t="n">
        <v>99000</v>
      </c>
      <c r="K758" s="3" t="s">
        <v>61</v>
      </c>
      <c r="L758" s="3" t="s">
        <v>62</v>
      </c>
      <c r="M758" s="3" t="s">
        <v>1345</v>
      </c>
      <c r="N758" s="3" t="n">
        <v>6</v>
      </c>
      <c r="O758" s="3" t="s">
        <v>64</v>
      </c>
      <c r="P758" s="3" t="s">
        <v>65</v>
      </c>
    </row>
    <row r="759" customFormat="false" ht="15" hidden="false" customHeight="false" outlineLevel="0" collapsed="false">
      <c r="A759" s="3" t="s">
        <v>1343</v>
      </c>
      <c r="B759" s="3" t="s">
        <v>319</v>
      </c>
      <c r="C759" s="3" t="s">
        <v>320</v>
      </c>
      <c r="D759" s="4" t="n">
        <v>1849.9</v>
      </c>
      <c r="E759" s="3" t="s">
        <v>60</v>
      </c>
      <c r="F759" s="3" t="n">
        <v>52.66</v>
      </c>
      <c r="G759" s="3" t="s">
        <v>60</v>
      </c>
      <c r="H759" s="3" t="s">
        <v>60</v>
      </c>
      <c r="I759" s="3" t="n">
        <v>12776875</v>
      </c>
      <c r="J759" s="3" t="n">
        <v>117500</v>
      </c>
      <c r="K759" s="3" t="s">
        <v>61</v>
      </c>
      <c r="L759" s="3" t="s">
        <v>62</v>
      </c>
      <c r="M759" s="3" t="s">
        <v>1346</v>
      </c>
      <c r="N759" s="3" t="n">
        <v>6</v>
      </c>
      <c r="O759" s="3" t="s">
        <v>69</v>
      </c>
      <c r="P759" s="3" t="s">
        <v>70</v>
      </c>
    </row>
    <row r="760" customFormat="false" ht="15" hidden="false" customHeight="false" outlineLevel="0" collapsed="false">
      <c r="A760" s="3" t="s">
        <v>1343</v>
      </c>
      <c r="B760" s="3" t="s">
        <v>66</v>
      </c>
      <c r="C760" s="3" t="s">
        <v>67</v>
      </c>
      <c r="D760" s="4" t="n">
        <v>8056</v>
      </c>
      <c r="E760" s="3" t="s">
        <v>60</v>
      </c>
      <c r="F760" s="3" t="n">
        <v>55.46</v>
      </c>
      <c r="G760" s="3" t="s">
        <v>60</v>
      </c>
      <c r="H760" s="3" t="s">
        <v>60</v>
      </c>
      <c r="I760" s="3" t="n">
        <v>3565700</v>
      </c>
      <c r="J760" s="3" t="n">
        <v>44700</v>
      </c>
      <c r="K760" s="3" t="s">
        <v>61</v>
      </c>
      <c r="L760" s="3" t="s">
        <v>62</v>
      </c>
      <c r="M760" s="3" t="s">
        <v>1347</v>
      </c>
      <c r="N760" s="3" t="n">
        <v>6</v>
      </c>
      <c r="O760" s="3" t="s">
        <v>100</v>
      </c>
      <c r="P760" s="3" t="s">
        <v>70</v>
      </c>
    </row>
    <row r="761" customFormat="false" ht="15" hidden="false" customHeight="false" outlineLevel="0" collapsed="false">
      <c r="A761" s="3" t="s">
        <v>1343</v>
      </c>
      <c r="B761" s="3" t="s">
        <v>399</v>
      </c>
      <c r="C761" s="3" t="s">
        <v>400</v>
      </c>
      <c r="D761" s="4" t="n">
        <v>548.5</v>
      </c>
      <c r="E761" s="3" t="s">
        <v>60</v>
      </c>
      <c r="F761" s="3" t="n">
        <v>68.97</v>
      </c>
      <c r="G761" s="3" t="s">
        <v>60</v>
      </c>
      <c r="H761" s="3" t="s">
        <v>60</v>
      </c>
      <c r="I761" s="3" t="n">
        <v>45800700</v>
      </c>
      <c r="J761" s="3" t="n">
        <v>2695000</v>
      </c>
      <c r="K761" s="3" t="s">
        <v>61</v>
      </c>
      <c r="L761" s="3" t="s">
        <v>62</v>
      </c>
      <c r="M761" s="3" t="s">
        <v>1348</v>
      </c>
      <c r="N761" s="3" t="n">
        <v>5</v>
      </c>
      <c r="O761" s="3" t="s">
        <v>64</v>
      </c>
      <c r="P761" s="3" t="s">
        <v>65</v>
      </c>
    </row>
    <row r="762" customFormat="false" ht="15" hidden="false" customHeight="false" outlineLevel="0" collapsed="false">
      <c r="A762" s="3" t="s">
        <v>1343</v>
      </c>
      <c r="B762" s="3" t="s">
        <v>171</v>
      </c>
      <c r="C762" s="3" t="s">
        <v>172</v>
      </c>
      <c r="D762" s="4" t="n">
        <v>974.45</v>
      </c>
      <c r="E762" s="3" t="s">
        <v>60</v>
      </c>
      <c r="F762" s="3" t="n">
        <v>58.56</v>
      </c>
      <c r="G762" s="3" t="s">
        <v>60</v>
      </c>
      <c r="H762" s="3" t="s">
        <v>60</v>
      </c>
      <c r="I762" s="3" t="n">
        <v>52293500</v>
      </c>
      <c r="J762" s="3" t="n">
        <v>520800</v>
      </c>
      <c r="K762" s="3" t="s">
        <v>61</v>
      </c>
      <c r="L762" s="3" t="s">
        <v>62</v>
      </c>
      <c r="M762" s="3" t="s">
        <v>1349</v>
      </c>
      <c r="N762" s="3" t="n">
        <v>3</v>
      </c>
      <c r="O762" s="3" t="s">
        <v>69</v>
      </c>
      <c r="P762" s="3" t="s">
        <v>70</v>
      </c>
    </row>
    <row r="763" customFormat="false" ht="15" hidden="false" customHeight="false" outlineLevel="0" collapsed="false">
      <c r="A763" s="3" t="s">
        <v>1343</v>
      </c>
      <c r="B763" s="3" t="s">
        <v>525</v>
      </c>
      <c r="C763" s="3" t="s">
        <v>526</v>
      </c>
      <c r="D763" s="4" t="n">
        <v>256.46</v>
      </c>
      <c r="E763" s="3" t="s">
        <v>60</v>
      </c>
      <c r="F763" s="3" t="n">
        <v>47.09</v>
      </c>
      <c r="G763" s="3" t="s">
        <v>60</v>
      </c>
      <c r="H763" s="3" t="s">
        <v>60</v>
      </c>
      <c r="I763" s="3" t="n">
        <v>176771700</v>
      </c>
      <c r="J763" s="3" t="n">
        <v>3174850</v>
      </c>
      <c r="K763" s="3" t="s">
        <v>61</v>
      </c>
      <c r="L763" s="3" t="s">
        <v>62</v>
      </c>
      <c r="M763" s="3" t="s">
        <v>1350</v>
      </c>
      <c r="N763" s="3" t="n">
        <v>4</v>
      </c>
      <c r="O763" s="3" t="s">
        <v>64</v>
      </c>
      <c r="P763" s="3" t="s">
        <v>65</v>
      </c>
    </row>
    <row r="764" customFormat="false" ht="15" hidden="false" customHeight="false" outlineLevel="0" collapsed="false">
      <c r="A764" s="3" t="s">
        <v>1343</v>
      </c>
      <c r="B764" s="3" t="s">
        <v>346</v>
      </c>
      <c r="C764" s="3" t="s">
        <v>347</v>
      </c>
      <c r="D764" s="4" t="n">
        <v>371.85</v>
      </c>
      <c r="E764" s="3" t="s">
        <v>60</v>
      </c>
      <c r="F764" s="3" t="n">
        <v>47.95</v>
      </c>
      <c r="G764" s="3" t="s">
        <v>60</v>
      </c>
      <c r="H764" s="3" t="s">
        <v>60</v>
      </c>
      <c r="I764" s="3" t="n">
        <v>53316000</v>
      </c>
      <c r="J764" s="3" t="n">
        <v>708000</v>
      </c>
      <c r="K764" s="3" t="s">
        <v>61</v>
      </c>
      <c r="L764" s="3" t="s">
        <v>62</v>
      </c>
      <c r="M764" s="3" t="s">
        <v>1351</v>
      </c>
      <c r="N764" s="3" t="n">
        <v>3</v>
      </c>
      <c r="O764" s="3" t="s">
        <v>64</v>
      </c>
      <c r="P764" s="3" t="s">
        <v>65</v>
      </c>
    </row>
    <row r="765" customFormat="false" ht="15" hidden="false" customHeight="false" outlineLevel="0" collapsed="false">
      <c r="A765" s="3" t="s">
        <v>1343</v>
      </c>
      <c r="B765" s="3" t="s">
        <v>368</v>
      </c>
      <c r="C765" s="3" t="s">
        <v>369</v>
      </c>
      <c r="D765" s="4" t="n">
        <v>150.75</v>
      </c>
      <c r="E765" s="3" t="s">
        <v>60</v>
      </c>
      <c r="F765" s="3" t="n">
        <v>50.85</v>
      </c>
      <c r="G765" s="3" t="s">
        <v>60</v>
      </c>
      <c r="H765" s="3" t="s">
        <v>60</v>
      </c>
      <c r="I765" s="3" t="n">
        <v>126075000</v>
      </c>
      <c r="J765" s="3" t="n">
        <v>1217700</v>
      </c>
      <c r="K765" s="3" t="s">
        <v>61</v>
      </c>
      <c r="L765" s="3" t="s">
        <v>62</v>
      </c>
      <c r="M765" s="3" t="s">
        <v>1352</v>
      </c>
      <c r="N765" s="3" t="n">
        <v>6</v>
      </c>
      <c r="O765" s="3" t="s">
        <v>64</v>
      </c>
      <c r="P765" s="3" t="s">
        <v>65</v>
      </c>
    </row>
    <row r="766" customFormat="false" ht="15" hidden="false" customHeight="false" outlineLevel="0" collapsed="false">
      <c r="A766" s="3" t="s">
        <v>1343</v>
      </c>
      <c r="B766" s="3" t="s">
        <v>541</v>
      </c>
      <c r="C766" s="3" t="s">
        <v>542</v>
      </c>
      <c r="D766" s="4" t="n">
        <v>3119.6</v>
      </c>
      <c r="E766" s="3" t="s">
        <v>60</v>
      </c>
      <c r="F766" s="3" t="n">
        <v>53.52</v>
      </c>
      <c r="G766" s="3" t="s">
        <v>60</v>
      </c>
      <c r="H766" s="3" t="s">
        <v>60</v>
      </c>
      <c r="I766" s="3" t="n">
        <v>7335900</v>
      </c>
      <c r="J766" s="3" t="n">
        <v>157575</v>
      </c>
      <c r="K766" s="3" t="s">
        <v>61</v>
      </c>
      <c r="L766" s="3" t="s">
        <v>62</v>
      </c>
      <c r="M766" s="3" t="s">
        <v>1353</v>
      </c>
      <c r="N766" s="3" t="n">
        <v>5</v>
      </c>
      <c r="O766" s="3" t="s">
        <v>64</v>
      </c>
      <c r="P766" s="3" t="s">
        <v>65</v>
      </c>
    </row>
    <row r="767" customFormat="false" ht="15" hidden="false" customHeight="false" outlineLevel="0" collapsed="false">
      <c r="A767" s="3" t="s">
        <v>1343</v>
      </c>
      <c r="B767" s="3" t="s">
        <v>1354</v>
      </c>
      <c r="C767" s="3" t="s">
        <v>1355</v>
      </c>
      <c r="D767" s="4" t="n">
        <v>189.69</v>
      </c>
      <c r="E767" s="3" t="s">
        <v>60</v>
      </c>
      <c r="F767" s="3" t="n">
        <v>49.87</v>
      </c>
      <c r="G767" s="3" t="s">
        <v>60</v>
      </c>
      <c r="H767" s="3" t="s">
        <v>60</v>
      </c>
      <c r="I767" s="3" t="n">
        <v>165882750</v>
      </c>
      <c r="J767" s="3" t="n">
        <v>6468000</v>
      </c>
      <c r="K767" s="3" t="s">
        <v>61</v>
      </c>
      <c r="L767" s="3" t="s">
        <v>62</v>
      </c>
      <c r="M767" s="3" t="s">
        <v>1356</v>
      </c>
      <c r="N767" s="3" t="n">
        <v>0</v>
      </c>
      <c r="O767" s="3" t="s">
        <v>69</v>
      </c>
      <c r="P767" s="3" t="s">
        <v>70</v>
      </c>
    </row>
    <row r="768" customFormat="false" ht="15" hidden="false" customHeight="false" outlineLevel="0" collapsed="false">
      <c r="A768" s="3" t="s">
        <v>1357</v>
      </c>
      <c r="B768" s="3" t="s">
        <v>58</v>
      </c>
      <c r="C768" s="3" t="s">
        <v>59</v>
      </c>
      <c r="D768" s="4" t="n">
        <v>1941.5</v>
      </c>
      <c r="E768" s="3" t="s">
        <v>60</v>
      </c>
      <c r="F768" s="3" t="n">
        <v>47.29</v>
      </c>
      <c r="G768" s="3" t="s">
        <v>60</v>
      </c>
      <c r="H768" s="3" t="s">
        <v>60</v>
      </c>
      <c r="I768" s="3" t="n">
        <v>5651100</v>
      </c>
      <c r="J768" s="3" t="n">
        <v>961450</v>
      </c>
      <c r="K768" s="3" t="s">
        <v>61</v>
      </c>
      <c r="L768" s="3" t="s">
        <v>62</v>
      </c>
      <c r="M768" s="3" t="s">
        <v>1358</v>
      </c>
      <c r="N768" s="3" t="n">
        <v>5</v>
      </c>
      <c r="O768" s="3" t="s">
        <v>64</v>
      </c>
      <c r="P768" s="3" t="s">
        <v>65</v>
      </c>
    </row>
    <row r="769" customFormat="false" ht="15" hidden="false" customHeight="false" outlineLevel="0" collapsed="false">
      <c r="A769" s="3" t="s">
        <v>1357</v>
      </c>
      <c r="B769" s="3" t="s">
        <v>516</v>
      </c>
      <c r="C769" s="3" t="s">
        <v>517</v>
      </c>
      <c r="D769" s="4" t="n">
        <v>1729.2</v>
      </c>
      <c r="E769" s="3" t="s">
        <v>60</v>
      </c>
      <c r="F769" s="3" t="n">
        <v>51.96</v>
      </c>
      <c r="G769" s="3" t="s">
        <v>60</v>
      </c>
      <c r="H769" s="3" t="s">
        <v>60</v>
      </c>
      <c r="I769" s="3" t="n">
        <v>3120000</v>
      </c>
      <c r="J769" s="3" t="n">
        <v>2600</v>
      </c>
      <c r="K769" s="3" t="s">
        <v>61</v>
      </c>
      <c r="L769" s="3" t="s">
        <v>62</v>
      </c>
      <c r="M769" s="3" t="s">
        <v>1359</v>
      </c>
      <c r="N769" s="3" t="n">
        <v>4</v>
      </c>
      <c r="O769" s="3" t="s">
        <v>64</v>
      </c>
      <c r="P769" s="3" t="s">
        <v>65</v>
      </c>
    </row>
    <row r="770" customFormat="false" ht="15" hidden="false" customHeight="false" outlineLevel="0" collapsed="false">
      <c r="A770" s="3" t="s">
        <v>1357</v>
      </c>
      <c r="B770" s="3" t="s">
        <v>319</v>
      </c>
      <c r="C770" s="3" t="s">
        <v>320</v>
      </c>
      <c r="D770" s="4" t="n">
        <v>1888.2</v>
      </c>
      <c r="E770" s="3" t="s">
        <v>60</v>
      </c>
      <c r="F770" s="3" t="n">
        <v>50.18</v>
      </c>
      <c r="G770" s="3" t="s">
        <v>60</v>
      </c>
      <c r="H770" s="3" t="s">
        <v>60</v>
      </c>
      <c r="I770" s="3" t="n">
        <v>13176875</v>
      </c>
      <c r="J770" s="3" t="n">
        <v>400000</v>
      </c>
      <c r="K770" s="3" t="s">
        <v>61</v>
      </c>
      <c r="L770" s="3" t="s">
        <v>62</v>
      </c>
      <c r="M770" s="3" t="s">
        <v>1360</v>
      </c>
      <c r="N770" s="3" t="n">
        <v>6</v>
      </c>
      <c r="O770" s="3" t="s">
        <v>100</v>
      </c>
      <c r="P770" s="3" t="s">
        <v>70</v>
      </c>
    </row>
    <row r="771" customFormat="false" ht="15" hidden="false" customHeight="false" outlineLevel="0" collapsed="false">
      <c r="A771" s="3" t="s">
        <v>1357</v>
      </c>
      <c r="B771" s="3" t="s">
        <v>171</v>
      </c>
      <c r="C771" s="3" t="s">
        <v>172</v>
      </c>
      <c r="D771" s="4" t="n">
        <v>994.9</v>
      </c>
      <c r="E771" s="3" t="s">
        <v>60</v>
      </c>
      <c r="F771" s="3" t="n">
        <v>61.24</v>
      </c>
      <c r="G771" s="3" t="s">
        <v>60</v>
      </c>
      <c r="H771" s="3" t="s">
        <v>60</v>
      </c>
      <c r="I771" s="3" t="n">
        <v>53067700</v>
      </c>
      <c r="J771" s="3" t="n">
        <v>774550</v>
      </c>
      <c r="K771" s="3" t="s">
        <v>61</v>
      </c>
      <c r="L771" s="3" t="s">
        <v>62</v>
      </c>
      <c r="M771" s="3" t="s">
        <v>1361</v>
      </c>
      <c r="N771" s="3" t="n">
        <v>3</v>
      </c>
      <c r="O771" s="3" t="s">
        <v>100</v>
      </c>
      <c r="P771" s="3" t="s">
        <v>70</v>
      </c>
    </row>
    <row r="772" customFormat="false" ht="15" hidden="false" customHeight="false" outlineLevel="0" collapsed="false">
      <c r="A772" s="3" t="s">
        <v>1357</v>
      </c>
      <c r="B772" s="3" t="s">
        <v>897</v>
      </c>
      <c r="C772" s="3" t="s">
        <v>898</v>
      </c>
      <c r="D772" s="4" t="n">
        <v>880.95</v>
      </c>
      <c r="E772" s="3" t="s">
        <v>60</v>
      </c>
      <c r="F772" s="3" t="n">
        <v>65.1</v>
      </c>
      <c r="G772" s="3" t="s">
        <v>60</v>
      </c>
      <c r="H772" s="3" t="s">
        <v>60</v>
      </c>
      <c r="I772" s="3" t="n">
        <v>16246800</v>
      </c>
      <c r="J772" s="3" t="n">
        <v>684000</v>
      </c>
      <c r="K772" s="3" t="s">
        <v>61</v>
      </c>
      <c r="L772" s="3" t="s">
        <v>62</v>
      </c>
      <c r="M772" s="3" t="s">
        <v>1362</v>
      </c>
      <c r="N772" s="3" t="n">
        <v>1</v>
      </c>
      <c r="O772" s="3" t="s">
        <v>64</v>
      </c>
      <c r="P772" s="3" t="s">
        <v>65</v>
      </c>
    </row>
    <row r="773" customFormat="false" ht="15" hidden="false" customHeight="false" outlineLevel="0" collapsed="false">
      <c r="A773" s="3" t="s">
        <v>1357</v>
      </c>
      <c r="B773" s="3" t="s">
        <v>1354</v>
      </c>
      <c r="C773" s="3" t="s">
        <v>1355</v>
      </c>
      <c r="D773" s="4" t="n">
        <v>191</v>
      </c>
      <c r="E773" s="3" t="s">
        <v>60</v>
      </c>
      <c r="F773" s="3" t="n">
        <v>52.6</v>
      </c>
      <c r="G773" s="3" t="s">
        <v>60</v>
      </c>
      <c r="H773" s="3" t="s">
        <v>60</v>
      </c>
      <c r="I773" s="3" t="n">
        <v>169584250</v>
      </c>
      <c r="J773" s="3" t="n">
        <v>3701500</v>
      </c>
      <c r="K773" s="3" t="s">
        <v>61</v>
      </c>
      <c r="L773" s="3" t="s">
        <v>62</v>
      </c>
      <c r="M773" s="3" t="s">
        <v>1363</v>
      </c>
      <c r="N773" s="3" t="n">
        <v>0</v>
      </c>
      <c r="O773" s="3" t="s">
        <v>100</v>
      </c>
      <c r="P773" s="3" t="s">
        <v>70</v>
      </c>
    </row>
    <row r="774" customFormat="false" ht="15" hidden="false" customHeight="false" outlineLevel="0" collapsed="false">
      <c r="A774" s="3" t="s">
        <v>1364</v>
      </c>
      <c r="B774" s="3" t="s">
        <v>380</v>
      </c>
      <c r="C774" s="3" t="s">
        <v>381</v>
      </c>
      <c r="D774" s="4" t="n">
        <v>1585.9</v>
      </c>
      <c r="E774" s="3" t="s">
        <v>60</v>
      </c>
      <c r="F774" s="3" t="n">
        <v>62.69</v>
      </c>
      <c r="G774" s="3" t="s">
        <v>60</v>
      </c>
      <c r="H774" s="3" t="s">
        <v>60</v>
      </c>
      <c r="I774" s="3" t="n">
        <v>10650750</v>
      </c>
      <c r="J774" s="3" t="n">
        <v>567050</v>
      </c>
      <c r="K774" s="3" t="s">
        <v>61</v>
      </c>
      <c r="L774" s="3" t="s">
        <v>62</v>
      </c>
      <c r="M774" s="3" t="s">
        <v>1365</v>
      </c>
      <c r="N774" s="3" t="n">
        <v>5</v>
      </c>
      <c r="O774" s="3" t="s">
        <v>69</v>
      </c>
      <c r="P774" s="3" t="s">
        <v>70</v>
      </c>
    </row>
    <row r="775" customFormat="false" ht="15" hidden="false" customHeight="false" outlineLevel="0" collapsed="false">
      <c r="A775" s="3" t="s">
        <v>1364</v>
      </c>
      <c r="B775" s="3" t="s">
        <v>868</v>
      </c>
      <c r="C775" s="3" t="s">
        <v>869</v>
      </c>
      <c r="D775" s="4" t="n">
        <v>5548</v>
      </c>
      <c r="E775" s="3" t="s">
        <v>60</v>
      </c>
      <c r="F775" s="3" t="n">
        <v>46.52</v>
      </c>
      <c r="G775" s="3" t="s">
        <v>60</v>
      </c>
      <c r="H775" s="3" t="s">
        <v>60</v>
      </c>
      <c r="I775" s="3" t="n">
        <v>4700400</v>
      </c>
      <c r="J775" s="3" t="n">
        <v>76500</v>
      </c>
      <c r="K775" s="3" t="s">
        <v>61</v>
      </c>
      <c r="L775" s="3" t="s">
        <v>62</v>
      </c>
      <c r="M775" s="3" t="s">
        <v>1366</v>
      </c>
      <c r="N775" s="3" t="n">
        <v>3</v>
      </c>
      <c r="O775" s="3" t="s">
        <v>64</v>
      </c>
      <c r="P775" s="3" t="s">
        <v>65</v>
      </c>
    </row>
    <row r="776" customFormat="false" ht="15" hidden="false" customHeight="false" outlineLevel="0" collapsed="false">
      <c r="A776" s="3" t="s">
        <v>1364</v>
      </c>
      <c r="B776" s="3" t="s">
        <v>901</v>
      </c>
      <c r="C776" s="3" t="s">
        <v>902</v>
      </c>
      <c r="D776" s="4" t="n">
        <v>1202</v>
      </c>
      <c r="E776" s="3" t="s">
        <v>60</v>
      </c>
      <c r="F776" s="3" t="n">
        <v>59.22</v>
      </c>
      <c r="G776" s="3" t="s">
        <v>60</v>
      </c>
      <c r="H776" s="3" t="s">
        <v>60</v>
      </c>
      <c r="I776" s="3" t="n">
        <v>7340625</v>
      </c>
      <c r="J776" s="3" t="n">
        <v>290625</v>
      </c>
      <c r="K776" s="3" t="s">
        <v>61</v>
      </c>
      <c r="L776" s="3" t="s">
        <v>62</v>
      </c>
      <c r="M776" s="3" t="s">
        <v>1367</v>
      </c>
      <c r="N776" s="3" t="n">
        <v>6</v>
      </c>
      <c r="O776" s="3" t="s">
        <v>69</v>
      </c>
      <c r="P776" s="3" t="s">
        <v>70</v>
      </c>
    </row>
    <row r="777" customFormat="false" ht="15" hidden="false" customHeight="false" outlineLevel="0" collapsed="false">
      <c r="A777" s="3" t="s">
        <v>1364</v>
      </c>
      <c r="B777" s="3" t="s">
        <v>114</v>
      </c>
      <c r="C777" s="3" t="s">
        <v>115</v>
      </c>
      <c r="D777" s="4" t="n">
        <v>84.2</v>
      </c>
      <c r="E777" s="3" t="s">
        <v>60</v>
      </c>
      <c r="F777" s="3" t="n">
        <v>52.27</v>
      </c>
      <c r="G777" s="3" t="s">
        <v>60</v>
      </c>
      <c r="H777" s="3" t="s">
        <v>60</v>
      </c>
      <c r="I777" s="3" t="n">
        <v>344682000</v>
      </c>
      <c r="J777" s="3" t="n">
        <v>985500</v>
      </c>
      <c r="K777" s="3" t="s">
        <v>61</v>
      </c>
      <c r="L777" s="3" t="s">
        <v>62</v>
      </c>
      <c r="M777" s="3" t="s">
        <v>1368</v>
      </c>
      <c r="N777" s="3" t="n">
        <v>6</v>
      </c>
      <c r="O777" s="3" t="s">
        <v>69</v>
      </c>
      <c r="P777" s="3" t="s">
        <v>70</v>
      </c>
    </row>
    <row r="778" customFormat="false" ht="15" hidden="false" customHeight="false" outlineLevel="0" collapsed="false">
      <c r="A778" s="3" t="s">
        <v>1369</v>
      </c>
      <c r="B778" s="3" t="s">
        <v>207</v>
      </c>
      <c r="C778" s="3" t="s">
        <v>208</v>
      </c>
      <c r="D778" s="4" t="n">
        <v>1192</v>
      </c>
      <c r="E778" s="3" t="s">
        <v>60</v>
      </c>
      <c r="F778" s="3" t="n">
        <v>53</v>
      </c>
      <c r="G778" s="3" t="s">
        <v>60</v>
      </c>
      <c r="H778" s="3" t="s">
        <v>60</v>
      </c>
      <c r="I778" s="3" t="n">
        <v>4171500</v>
      </c>
      <c r="J778" s="3" t="n">
        <v>56500</v>
      </c>
      <c r="K778" s="3" t="s">
        <v>61</v>
      </c>
      <c r="L778" s="3" t="s">
        <v>62</v>
      </c>
      <c r="M778" s="3" t="s">
        <v>1370</v>
      </c>
      <c r="N778" s="3" t="n">
        <v>9</v>
      </c>
      <c r="O778" s="3" t="s">
        <v>64</v>
      </c>
      <c r="P778" s="3" t="s">
        <v>65</v>
      </c>
    </row>
    <row r="779" customFormat="false" ht="15" hidden="false" customHeight="false" outlineLevel="0" collapsed="false">
      <c r="A779" s="3" t="s">
        <v>1369</v>
      </c>
      <c r="B779" s="3" t="s">
        <v>437</v>
      </c>
      <c r="C779" s="3" t="s">
        <v>438</v>
      </c>
      <c r="D779" s="4" t="n">
        <v>445</v>
      </c>
      <c r="E779" s="3" t="s">
        <v>60</v>
      </c>
      <c r="F779" s="3" t="n">
        <v>50.09</v>
      </c>
      <c r="G779" s="3" t="s">
        <v>60</v>
      </c>
      <c r="H779" s="3" t="s">
        <v>60</v>
      </c>
      <c r="I779" s="3" t="n">
        <v>81300000</v>
      </c>
      <c r="J779" s="3" t="n">
        <v>1520400</v>
      </c>
      <c r="K779" s="3" t="s">
        <v>61</v>
      </c>
      <c r="L779" s="3" t="s">
        <v>62</v>
      </c>
      <c r="M779" s="3" t="s">
        <v>1371</v>
      </c>
      <c r="N779" s="3" t="n">
        <v>2</v>
      </c>
      <c r="O779" s="3" t="s">
        <v>64</v>
      </c>
      <c r="P779" s="3" t="s">
        <v>65</v>
      </c>
    </row>
    <row r="780" customFormat="false" ht="15" hidden="false" customHeight="false" outlineLevel="0" collapsed="false">
      <c r="A780" s="3" t="s">
        <v>1369</v>
      </c>
      <c r="B780" s="3" t="s">
        <v>380</v>
      </c>
      <c r="C780" s="3" t="s">
        <v>381</v>
      </c>
      <c r="D780" s="4" t="n">
        <v>1613.4</v>
      </c>
      <c r="E780" s="3" t="s">
        <v>60</v>
      </c>
      <c r="F780" s="3" t="n">
        <v>47.37</v>
      </c>
      <c r="G780" s="3" t="s">
        <v>60</v>
      </c>
      <c r="H780" s="3" t="s">
        <v>60</v>
      </c>
      <c r="I780" s="3" t="n">
        <v>10956000</v>
      </c>
      <c r="J780" s="3" t="n">
        <v>305250</v>
      </c>
      <c r="K780" s="3" t="s">
        <v>61</v>
      </c>
      <c r="L780" s="3" t="s">
        <v>62</v>
      </c>
      <c r="M780" s="3" t="s">
        <v>1372</v>
      </c>
      <c r="N780" s="3" t="n">
        <v>5</v>
      </c>
      <c r="O780" s="3" t="s">
        <v>100</v>
      </c>
      <c r="P780" s="3" t="s">
        <v>70</v>
      </c>
    </row>
    <row r="781" customFormat="false" ht="15" hidden="false" customHeight="false" outlineLevel="0" collapsed="false">
      <c r="A781" s="3" t="s">
        <v>1369</v>
      </c>
      <c r="B781" s="3" t="s">
        <v>257</v>
      </c>
      <c r="C781" s="3" t="s">
        <v>258</v>
      </c>
      <c r="D781" s="4" t="n">
        <v>176.96</v>
      </c>
      <c r="E781" s="3" t="s">
        <v>60</v>
      </c>
      <c r="F781" s="3" t="n">
        <v>64.01</v>
      </c>
      <c r="G781" s="3" t="s">
        <v>60</v>
      </c>
      <c r="H781" s="3" t="s">
        <v>60</v>
      </c>
      <c r="I781" s="3" t="n">
        <v>91256300</v>
      </c>
      <c r="J781" s="3" t="n">
        <v>159750</v>
      </c>
      <c r="K781" s="3" t="s">
        <v>61</v>
      </c>
      <c r="L781" s="3" t="s">
        <v>62</v>
      </c>
      <c r="M781" s="3" t="s">
        <v>1373</v>
      </c>
      <c r="N781" s="3" t="n">
        <v>4</v>
      </c>
      <c r="O781" s="3" t="s">
        <v>64</v>
      </c>
      <c r="P781" s="3" t="s">
        <v>65</v>
      </c>
    </row>
    <row r="782" customFormat="false" ht="15" hidden="false" customHeight="false" outlineLevel="0" collapsed="false">
      <c r="A782" s="3" t="s">
        <v>1369</v>
      </c>
      <c r="B782" s="3" t="s">
        <v>496</v>
      </c>
      <c r="C782" s="3" t="s">
        <v>497</v>
      </c>
      <c r="D782" s="4" t="n">
        <v>1069</v>
      </c>
      <c r="E782" s="3" t="s">
        <v>60</v>
      </c>
      <c r="F782" s="3" t="n">
        <v>61.47</v>
      </c>
      <c r="G782" s="3" t="s">
        <v>60</v>
      </c>
      <c r="H782" s="3" t="s">
        <v>60</v>
      </c>
      <c r="I782" s="3" t="n">
        <v>11452000</v>
      </c>
      <c r="J782" s="3" t="n">
        <v>265500</v>
      </c>
      <c r="K782" s="3" t="s">
        <v>61</v>
      </c>
      <c r="L782" s="3" t="s">
        <v>62</v>
      </c>
      <c r="M782" s="3" t="s">
        <v>1374</v>
      </c>
      <c r="N782" s="3" t="n">
        <v>2</v>
      </c>
      <c r="O782" s="3" t="s">
        <v>64</v>
      </c>
      <c r="P782" s="3" t="s">
        <v>65</v>
      </c>
    </row>
    <row r="783" customFormat="false" ht="15" hidden="false" customHeight="false" outlineLevel="0" collapsed="false">
      <c r="A783" s="3" t="s">
        <v>1369</v>
      </c>
      <c r="B783" s="3" t="s">
        <v>399</v>
      </c>
      <c r="C783" s="3" t="s">
        <v>400</v>
      </c>
      <c r="D783" s="4" t="n">
        <v>545</v>
      </c>
      <c r="E783" s="3" t="s">
        <v>60</v>
      </c>
      <c r="F783" s="3" t="n">
        <v>66.45</v>
      </c>
      <c r="G783" s="3" t="s">
        <v>60</v>
      </c>
      <c r="H783" s="3" t="s">
        <v>60</v>
      </c>
      <c r="I783" s="3" t="n">
        <v>47935800</v>
      </c>
      <c r="J783" s="3" t="n">
        <v>721600</v>
      </c>
      <c r="K783" s="3" t="s">
        <v>61</v>
      </c>
      <c r="L783" s="3" t="s">
        <v>62</v>
      </c>
      <c r="M783" s="3" t="s">
        <v>1375</v>
      </c>
      <c r="N783" s="3" t="n">
        <v>6</v>
      </c>
      <c r="O783" s="3" t="s">
        <v>64</v>
      </c>
      <c r="P783" s="3" t="s">
        <v>65</v>
      </c>
    </row>
    <row r="784" customFormat="false" ht="15" hidden="false" customHeight="false" outlineLevel="0" collapsed="false">
      <c r="A784" s="3" t="s">
        <v>1369</v>
      </c>
      <c r="B784" s="3" t="s">
        <v>74</v>
      </c>
      <c r="C784" s="3" t="s">
        <v>75</v>
      </c>
      <c r="D784" s="4" t="n">
        <v>1684</v>
      </c>
      <c r="E784" s="3" t="s">
        <v>60</v>
      </c>
      <c r="F784" s="3" t="n">
        <v>45.38</v>
      </c>
      <c r="G784" s="3" t="s">
        <v>60</v>
      </c>
      <c r="H784" s="3" t="s">
        <v>60</v>
      </c>
      <c r="I784" s="3" t="n">
        <v>5102175</v>
      </c>
      <c r="J784" s="3" t="n">
        <v>111475</v>
      </c>
      <c r="K784" s="3" t="s">
        <v>61</v>
      </c>
      <c r="L784" s="3" t="s">
        <v>62</v>
      </c>
      <c r="M784" s="3" t="s">
        <v>1376</v>
      </c>
      <c r="N784" s="3" t="n">
        <v>5</v>
      </c>
      <c r="O784" s="3" t="s">
        <v>64</v>
      </c>
      <c r="P784" s="3" t="s">
        <v>65</v>
      </c>
    </row>
    <row r="785" customFormat="false" ht="15" hidden="false" customHeight="false" outlineLevel="0" collapsed="false">
      <c r="A785" s="3" t="s">
        <v>1369</v>
      </c>
      <c r="B785" s="3" t="s">
        <v>175</v>
      </c>
      <c r="C785" s="3" t="s">
        <v>176</v>
      </c>
      <c r="D785" s="4" t="n">
        <v>1330</v>
      </c>
      <c r="E785" s="3" t="s">
        <v>60</v>
      </c>
      <c r="F785" s="3" t="n">
        <v>53.31</v>
      </c>
      <c r="G785" s="3" t="s">
        <v>60</v>
      </c>
      <c r="H785" s="3" t="s">
        <v>60</v>
      </c>
      <c r="I785" s="3" t="n">
        <v>40330575</v>
      </c>
      <c r="J785" s="3" t="n">
        <v>601425</v>
      </c>
      <c r="K785" s="3" t="s">
        <v>61</v>
      </c>
      <c r="L785" s="3" t="s">
        <v>62</v>
      </c>
      <c r="M785" s="3" t="s">
        <v>1377</v>
      </c>
      <c r="N785" s="3" t="n">
        <v>6</v>
      </c>
      <c r="O785" s="3" t="s">
        <v>64</v>
      </c>
      <c r="P785" s="3" t="s">
        <v>65</v>
      </c>
    </row>
    <row r="786" customFormat="false" ht="15" hidden="false" customHeight="false" outlineLevel="0" collapsed="false">
      <c r="A786" s="3" t="s">
        <v>1369</v>
      </c>
      <c r="B786" s="3" t="s">
        <v>820</v>
      </c>
      <c r="C786" s="3" t="s">
        <v>821</v>
      </c>
      <c r="D786" s="4" t="n">
        <v>485</v>
      </c>
      <c r="E786" s="3" t="s">
        <v>60</v>
      </c>
      <c r="F786" s="3" t="n">
        <v>46.83</v>
      </c>
      <c r="G786" s="3" t="s">
        <v>60</v>
      </c>
      <c r="H786" s="3" t="s">
        <v>60</v>
      </c>
      <c r="I786" s="3" t="n">
        <v>16793750</v>
      </c>
      <c r="J786" s="3" t="n">
        <v>402500</v>
      </c>
      <c r="K786" s="3" t="s">
        <v>61</v>
      </c>
      <c r="L786" s="3" t="s">
        <v>62</v>
      </c>
      <c r="M786" s="3" t="s">
        <v>1378</v>
      </c>
      <c r="N786" s="3" t="n">
        <v>1</v>
      </c>
      <c r="O786" s="3" t="s">
        <v>64</v>
      </c>
      <c r="P786" s="3" t="s">
        <v>65</v>
      </c>
    </row>
    <row r="787" customFormat="false" ht="15" hidden="false" customHeight="false" outlineLevel="0" collapsed="false">
      <c r="A787" s="3" t="s">
        <v>1369</v>
      </c>
      <c r="B787" s="3" t="s">
        <v>901</v>
      </c>
      <c r="C787" s="3" t="s">
        <v>902</v>
      </c>
      <c r="D787" s="4" t="n">
        <v>1215</v>
      </c>
      <c r="E787" s="3" t="s">
        <v>60</v>
      </c>
      <c r="F787" s="3" t="n">
        <v>54.02</v>
      </c>
      <c r="G787" s="3" t="s">
        <v>60</v>
      </c>
      <c r="H787" s="3" t="s">
        <v>60</v>
      </c>
      <c r="I787" s="3" t="n">
        <v>7422500</v>
      </c>
      <c r="J787" s="3" t="n">
        <v>81875</v>
      </c>
      <c r="K787" s="3" t="s">
        <v>61</v>
      </c>
      <c r="L787" s="3" t="s">
        <v>62</v>
      </c>
      <c r="M787" s="3" t="s">
        <v>1379</v>
      </c>
      <c r="N787" s="3" t="n">
        <v>6</v>
      </c>
      <c r="O787" s="3" t="s">
        <v>100</v>
      </c>
      <c r="P787" s="3" t="s">
        <v>70</v>
      </c>
    </row>
    <row r="788" customFormat="false" ht="15" hidden="false" customHeight="false" outlineLevel="0" collapsed="false">
      <c r="A788" s="3" t="s">
        <v>1369</v>
      </c>
      <c r="B788" s="3" t="s">
        <v>114</v>
      </c>
      <c r="C788" s="3" t="s">
        <v>115</v>
      </c>
      <c r="D788" s="4" t="n">
        <v>85.8</v>
      </c>
      <c r="E788" s="3" t="s">
        <v>60</v>
      </c>
      <c r="F788" s="3" t="n">
        <v>54.79</v>
      </c>
      <c r="G788" s="3" t="s">
        <v>60</v>
      </c>
      <c r="H788" s="3" t="s">
        <v>60</v>
      </c>
      <c r="I788" s="3" t="n">
        <v>350190000</v>
      </c>
      <c r="J788" s="3" t="n">
        <v>5508000</v>
      </c>
      <c r="K788" s="3" t="s">
        <v>61</v>
      </c>
      <c r="L788" s="3" t="s">
        <v>62</v>
      </c>
      <c r="M788" s="3" t="s">
        <v>1380</v>
      </c>
      <c r="N788" s="3" t="n">
        <v>6</v>
      </c>
      <c r="O788" s="3" t="s">
        <v>100</v>
      </c>
      <c r="P788" s="3" t="s">
        <v>70</v>
      </c>
    </row>
    <row r="789" customFormat="false" ht="15" hidden="false" customHeight="false" outlineLevel="0" collapsed="false">
      <c r="A789" s="3" t="s">
        <v>1369</v>
      </c>
      <c r="B789" s="3" t="s">
        <v>272</v>
      </c>
      <c r="C789" s="3" t="s">
        <v>273</v>
      </c>
      <c r="D789" s="4" t="n">
        <v>349.9</v>
      </c>
      <c r="E789" s="3" t="s">
        <v>60</v>
      </c>
      <c r="F789" s="3" t="n">
        <v>46.25</v>
      </c>
      <c r="G789" s="3" t="s">
        <v>60</v>
      </c>
      <c r="H789" s="3" t="s">
        <v>60</v>
      </c>
      <c r="I789" s="3" t="n">
        <v>100380000</v>
      </c>
      <c r="J789" s="3" t="n">
        <v>1887000</v>
      </c>
      <c r="K789" s="3" t="s">
        <v>61</v>
      </c>
      <c r="L789" s="3" t="s">
        <v>62</v>
      </c>
      <c r="M789" s="3" t="s">
        <v>1381</v>
      </c>
      <c r="N789" s="3" t="n">
        <v>7</v>
      </c>
      <c r="O789" s="3" t="s">
        <v>64</v>
      </c>
      <c r="P789" s="3" t="s">
        <v>65</v>
      </c>
    </row>
    <row r="790" customFormat="false" ht="15" hidden="false" customHeight="false" outlineLevel="0" collapsed="false">
      <c r="A790" s="3" t="s">
        <v>1369</v>
      </c>
      <c r="B790" s="3" t="s">
        <v>876</v>
      </c>
      <c r="C790" s="3" t="s">
        <v>877</v>
      </c>
      <c r="D790" s="4" t="n">
        <v>2810</v>
      </c>
      <c r="E790" s="3" t="s">
        <v>60</v>
      </c>
      <c r="F790" s="3" t="n">
        <v>57.92</v>
      </c>
      <c r="G790" s="3" t="s">
        <v>60</v>
      </c>
      <c r="H790" s="3" t="s">
        <v>60</v>
      </c>
      <c r="I790" s="3" t="n">
        <v>2764825</v>
      </c>
      <c r="J790" s="3" t="n">
        <v>33950</v>
      </c>
      <c r="K790" s="3" t="s">
        <v>61</v>
      </c>
      <c r="L790" s="3" t="s">
        <v>62</v>
      </c>
      <c r="M790" s="3" t="s">
        <v>1382</v>
      </c>
      <c r="N790" s="3" t="n">
        <v>3</v>
      </c>
      <c r="O790" s="3" t="s">
        <v>64</v>
      </c>
      <c r="P790" s="3" t="s">
        <v>65</v>
      </c>
    </row>
    <row r="791" customFormat="false" ht="15" hidden="false" customHeight="false" outlineLevel="0" collapsed="false">
      <c r="A791" s="3" t="s">
        <v>1369</v>
      </c>
      <c r="B791" s="3" t="s">
        <v>406</v>
      </c>
      <c r="C791" s="3" t="s">
        <v>407</v>
      </c>
      <c r="D791" s="4" t="n">
        <v>175.5</v>
      </c>
      <c r="E791" s="3" t="s">
        <v>60</v>
      </c>
      <c r="F791" s="3" t="n">
        <v>50.1</v>
      </c>
      <c r="G791" s="3" t="s">
        <v>60</v>
      </c>
      <c r="H791" s="3" t="s">
        <v>60</v>
      </c>
      <c r="I791" s="3" t="n">
        <v>179055900</v>
      </c>
      <c r="J791" s="3" t="n">
        <v>1692000</v>
      </c>
      <c r="K791" s="3" t="s">
        <v>61</v>
      </c>
      <c r="L791" s="3" t="s">
        <v>62</v>
      </c>
      <c r="M791" s="3" t="s">
        <v>1383</v>
      </c>
      <c r="N791" s="3" t="n">
        <v>4</v>
      </c>
      <c r="O791" s="3" t="s">
        <v>64</v>
      </c>
      <c r="P791" s="3" t="s">
        <v>65</v>
      </c>
    </row>
    <row r="792" customFormat="false" ht="15" hidden="false" customHeight="false" outlineLevel="0" collapsed="false">
      <c r="A792" s="3" t="s">
        <v>1369</v>
      </c>
      <c r="B792" s="3" t="s">
        <v>126</v>
      </c>
      <c r="C792" s="3" t="s">
        <v>127</v>
      </c>
      <c r="D792" s="4" t="n">
        <v>277</v>
      </c>
      <c r="E792" s="3" t="s">
        <v>60</v>
      </c>
      <c r="F792" s="3" t="n">
        <v>57.39</v>
      </c>
      <c r="G792" s="3" t="s">
        <v>60</v>
      </c>
      <c r="H792" s="3" t="s">
        <v>60</v>
      </c>
      <c r="I792" s="3" t="n">
        <v>54825100</v>
      </c>
      <c r="J792" s="3" t="n">
        <v>4485000</v>
      </c>
      <c r="K792" s="3" t="s">
        <v>61</v>
      </c>
      <c r="L792" s="3" t="s">
        <v>62</v>
      </c>
      <c r="M792" s="3" t="s">
        <v>1384</v>
      </c>
      <c r="N792" s="3" t="n">
        <v>3</v>
      </c>
      <c r="O792" s="3" t="s">
        <v>64</v>
      </c>
      <c r="P792" s="3" t="s">
        <v>65</v>
      </c>
    </row>
    <row r="793" customFormat="false" ht="15" hidden="false" customHeight="false" outlineLevel="0" collapsed="false">
      <c r="A793" s="3" t="s">
        <v>1385</v>
      </c>
      <c r="B793" s="3" t="s">
        <v>1386</v>
      </c>
      <c r="C793" s="3" t="s">
        <v>1387</v>
      </c>
      <c r="D793" s="4" t="n">
        <v>174.66</v>
      </c>
      <c r="E793" s="3" t="s">
        <v>60</v>
      </c>
      <c r="F793" s="3" t="n">
        <v>54.08</v>
      </c>
      <c r="G793" s="3" t="s">
        <v>60</v>
      </c>
      <c r="H793" s="3" t="s">
        <v>60</v>
      </c>
      <c r="I793" s="3" t="n">
        <v>135853200</v>
      </c>
      <c r="J793" s="3" t="n">
        <v>3031200</v>
      </c>
      <c r="K793" s="3" t="s">
        <v>61</v>
      </c>
      <c r="L793" s="3" t="s">
        <v>62</v>
      </c>
      <c r="M793" s="3" t="s">
        <v>1388</v>
      </c>
      <c r="N793" s="3" t="n">
        <v>0</v>
      </c>
      <c r="O793" s="3" t="s">
        <v>64</v>
      </c>
      <c r="P793" s="3" t="s">
        <v>65</v>
      </c>
    </row>
    <row r="794" customFormat="false" ht="15" hidden="false" customHeight="false" outlineLevel="0" collapsed="false">
      <c r="A794" s="3" t="s">
        <v>1385</v>
      </c>
      <c r="B794" s="3" t="s">
        <v>319</v>
      </c>
      <c r="C794" s="3" t="s">
        <v>320</v>
      </c>
      <c r="D794" s="4" t="n">
        <v>1940</v>
      </c>
      <c r="E794" s="3" t="s">
        <v>60</v>
      </c>
      <c r="F794" s="3" t="n">
        <v>57.81</v>
      </c>
      <c r="G794" s="3" t="s">
        <v>60</v>
      </c>
      <c r="H794" s="3" t="s">
        <v>60</v>
      </c>
      <c r="I794" s="3" t="n">
        <v>13596875</v>
      </c>
      <c r="J794" s="3" t="n">
        <v>288125</v>
      </c>
      <c r="K794" s="3" t="s">
        <v>61</v>
      </c>
      <c r="L794" s="3" t="s">
        <v>62</v>
      </c>
      <c r="M794" s="3" t="s">
        <v>1389</v>
      </c>
      <c r="N794" s="3" t="n">
        <v>7</v>
      </c>
      <c r="O794" s="3" t="s">
        <v>64</v>
      </c>
      <c r="P794" s="3" t="s">
        <v>65</v>
      </c>
    </row>
    <row r="795" customFormat="false" ht="15" hidden="false" customHeight="false" outlineLevel="0" collapsed="false">
      <c r="A795" s="3" t="s">
        <v>1385</v>
      </c>
      <c r="B795" s="3" t="s">
        <v>671</v>
      </c>
      <c r="C795" s="3" t="s">
        <v>672</v>
      </c>
      <c r="D795" s="4" t="n">
        <v>4920</v>
      </c>
      <c r="E795" s="3" t="s">
        <v>60</v>
      </c>
      <c r="F795" s="3" t="n">
        <v>45.88</v>
      </c>
      <c r="G795" s="3" t="s">
        <v>60</v>
      </c>
      <c r="H795" s="3" t="s">
        <v>60</v>
      </c>
      <c r="I795" s="3" t="n">
        <v>5631750</v>
      </c>
      <c r="J795" s="3" t="n">
        <v>468450</v>
      </c>
      <c r="K795" s="3" t="s">
        <v>61</v>
      </c>
      <c r="L795" s="3" t="s">
        <v>62</v>
      </c>
      <c r="M795" s="3" t="s">
        <v>1390</v>
      </c>
      <c r="N795" s="3" t="n">
        <v>1</v>
      </c>
      <c r="O795" s="3" t="s">
        <v>64</v>
      </c>
      <c r="P795" s="3" t="s">
        <v>65</v>
      </c>
    </row>
    <row r="796" customFormat="false" ht="15" hidden="false" customHeight="false" outlineLevel="0" collapsed="false">
      <c r="A796" s="3" t="s">
        <v>1385</v>
      </c>
      <c r="B796" s="3" t="s">
        <v>880</v>
      </c>
      <c r="C796" s="3" t="s">
        <v>881</v>
      </c>
      <c r="D796" s="4" t="n">
        <v>1325</v>
      </c>
      <c r="E796" s="3" t="s">
        <v>60</v>
      </c>
      <c r="F796" s="3" t="n">
        <v>51.87</v>
      </c>
      <c r="G796" s="3" t="s">
        <v>60</v>
      </c>
      <c r="H796" s="3" t="s">
        <v>60</v>
      </c>
      <c r="I796" s="3" t="n">
        <v>109101500</v>
      </c>
      <c r="J796" s="3" t="n">
        <v>1075500</v>
      </c>
      <c r="K796" s="3" t="s">
        <v>61</v>
      </c>
      <c r="L796" s="3" t="s">
        <v>62</v>
      </c>
      <c r="M796" s="3" t="s">
        <v>1391</v>
      </c>
      <c r="N796" s="3" t="n">
        <v>1</v>
      </c>
      <c r="O796" s="3" t="s">
        <v>64</v>
      </c>
      <c r="P796" s="3" t="s">
        <v>65</v>
      </c>
    </row>
    <row r="797" customFormat="false" ht="15" hidden="false" customHeight="false" outlineLevel="0" collapsed="false">
      <c r="A797" s="3" t="s">
        <v>1385</v>
      </c>
      <c r="B797" s="3" t="s">
        <v>926</v>
      </c>
      <c r="C797" s="3" t="s">
        <v>927</v>
      </c>
      <c r="D797" s="4" t="n">
        <v>4998</v>
      </c>
      <c r="E797" s="3" t="s">
        <v>60</v>
      </c>
      <c r="F797" s="3" t="n">
        <v>50.52</v>
      </c>
      <c r="G797" s="3" t="s">
        <v>60</v>
      </c>
      <c r="H797" s="3" t="s">
        <v>60</v>
      </c>
      <c r="I797" s="3" t="n">
        <v>5389650</v>
      </c>
      <c r="J797" s="3" t="n">
        <v>112175</v>
      </c>
      <c r="K797" s="3" t="s">
        <v>61</v>
      </c>
      <c r="L797" s="3" t="s">
        <v>62</v>
      </c>
      <c r="M797" s="3" t="s">
        <v>1392</v>
      </c>
      <c r="N797" s="3" t="n">
        <v>1</v>
      </c>
      <c r="O797" s="3" t="s">
        <v>64</v>
      </c>
      <c r="P797" s="3" t="s">
        <v>65</v>
      </c>
    </row>
    <row r="798" customFormat="false" ht="15" hidden="false" customHeight="false" outlineLevel="0" collapsed="false">
      <c r="A798" s="3" t="s">
        <v>1393</v>
      </c>
      <c r="B798" s="3" t="s">
        <v>562</v>
      </c>
      <c r="C798" s="3" t="s">
        <v>563</v>
      </c>
      <c r="D798" s="4" t="n">
        <v>3323</v>
      </c>
      <c r="E798" s="3" t="s">
        <v>60</v>
      </c>
      <c r="F798" s="3" t="n">
        <v>45.42</v>
      </c>
      <c r="G798" s="3" t="s">
        <v>60</v>
      </c>
      <c r="H798" s="3" t="s">
        <v>60</v>
      </c>
      <c r="I798" s="3" t="n">
        <v>12444000</v>
      </c>
      <c r="J798" s="3" t="n">
        <v>448000</v>
      </c>
      <c r="K798" s="3" t="s">
        <v>61</v>
      </c>
      <c r="L798" s="3" t="s">
        <v>62</v>
      </c>
      <c r="M798" s="3" t="s">
        <v>1394</v>
      </c>
      <c r="N798" s="3" t="n">
        <v>4</v>
      </c>
      <c r="O798" s="3" t="s">
        <v>64</v>
      </c>
      <c r="P798" s="3" t="s">
        <v>65</v>
      </c>
    </row>
    <row r="799" customFormat="false" ht="15" hidden="false" customHeight="false" outlineLevel="0" collapsed="false">
      <c r="A799" s="3" t="s">
        <v>1393</v>
      </c>
      <c r="B799" s="3" t="s">
        <v>820</v>
      </c>
      <c r="C799" s="3" t="s">
        <v>821</v>
      </c>
      <c r="D799" s="4" t="n">
        <v>486.5</v>
      </c>
      <c r="E799" s="3" t="s">
        <v>60</v>
      </c>
      <c r="F799" s="3" t="n">
        <v>57.16</v>
      </c>
      <c r="G799" s="3" t="s">
        <v>60</v>
      </c>
      <c r="H799" s="3" t="s">
        <v>60</v>
      </c>
      <c r="I799" s="3" t="n">
        <v>19848750</v>
      </c>
      <c r="J799" s="3" t="n">
        <v>1105000</v>
      </c>
      <c r="K799" s="3" t="s">
        <v>61</v>
      </c>
      <c r="L799" s="3" t="s">
        <v>62</v>
      </c>
      <c r="M799" s="3" t="s">
        <v>1395</v>
      </c>
      <c r="N799" s="3" t="n">
        <v>2</v>
      </c>
      <c r="O799" s="3" t="s">
        <v>64</v>
      </c>
      <c r="P799" s="3" t="s">
        <v>65</v>
      </c>
    </row>
    <row r="800" customFormat="false" ht="15" hidden="false" customHeight="false" outlineLevel="0" collapsed="false">
      <c r="A800" s="3" t="s">
        <v>1396</v>
      </c>
      <c r="B800" s="3" t="s">
        <v>1354</v>
      </c>
      <c r="C800" s="3" t="s">
        <v>1355</v>
      </c>
      <c r="D800" s="4" t="n">
        <v>190.24</v>
      </c>
      <c r="E800" s="3" t="s">
        <v>60</v>
      </c>
      <c r="F800" s="3" t="n">
        <v>52.74</v>
      </c>
      <c r="G800" s="3" t="s">
        <v>60</v>
      </c>
      <c r="H800" s="3" t="s">
        <v>60</v>
      </c>
      <c r="I800" s="3" t="n">
        <v>179195500</v>
      </c>
      <c r="J800" s="3" t="n">
        <v>478500</v>
      </c>
      <c r="K800" s="3" t="s">
        <v>61</v>
      </c>
      <c r="L800" s="3" t="s">
        <v>62</v>
      </c>
      <c r="M800" s="3" t="s">
        <v>1397</v>
      </c>
      <c r="N800" s="3" t="n">
        <v>1</v>
      </c>
      <c r="O800" s="3" t="s">
        <v>64</v>
      </c>
      <c r="P800" s="3" t="s">
        <v>65</v>
      </c>
    </row>
    <row r="801" customFormat="false" ht="15" hidden="false" customHeight="false" outlineLevel="0" collapsed="false">
      <c r="A801" s="3" t="s">
        <v>1398</v>
      </c>
      <c r="B801" s="3" t="s">
        <v>686</v>
      </c>
      <c r="C801" s="3" t="s">
        <v>687</v>
      </c>
      <c r="D801" s="4" t="n">
        <v>412.6</v>
      </c>
      <c r="E801" s="3" t="s">
        <v>60</v>
      </c>
      <c r="F801" s="3" t="n">
        <v>70.33</v>
      </c>
      <c r="G801" s="3" t="s">
        <v>60</v>
      </c>
      <c r="H801" s="3" t="s">
        <v>60</v>
      </c>
      <c r="I801" s="3" t="n">
        <v>78574050</v>
      </c>
      <c r="J801" s="3" t="n">
        <v>2636550</v>
      </c>
      <c r="K801" s="3" t="s">
        <v>61</v>
      </c>
      <c r="L801" s="3" t="s">
        <v>62</v>
      </c>
      <c r="M801" s="3" t="s">
        <v>1399</v>
      </c>
      <c r="N801" s="3" t="n">
        <v>5</v>
      </c>
      <c r="O801" s="3" t="s">
        <v>64</v>
      </c>
      <c r="P801" s="3" t="s">
        <v>65</v>
      </c>
    </row>
    <row r="802" customFormat="false" ht="15" hidden="false" customHeight="false" outlineLevel="0" collapsed="false">
      <c r="A802" s="3" t="s">
        <v>1398</v>
      </c>
      <c r="B802" s="3" t="s">
        <v>312</v>
      </c>
      <c r="C802" s="3" t="s">
        <v>313</v>
      </c>
      <c r="D802" s="4" t="n">
        <v>406</v>
      </c>
      <c r="E802" s="3" t="s">
        <v>60</v>
      </c>
      <c r="F802" s="3" t="n">
        <v>56.09</v>
      </c>
      <c r="G802" s="3" t="s">
        <v>60</v>
      </c>
      <c r="H802" s="3" t="s">
        <v>60</v>
      </c>
      <c r="I802" s="3" t="n">
        <v>58163000</v>
      </c>
      <c r="J802" s="3" t="n">
        <v>8267000</v>
      </c>
      <c r="K802" s="3" t="s">
        <v>61</v>
      </c>
      <c r="L802" s="3" t="s">
        <v>62</v>
      </c>
      <c r="M802" s="3" t="s">
        <v>1400</v>
      </c>
      <c r="N802" s="3" t="n">
        <v>2</v>
      </c>
      <c r="O802" s="3" t="s">
        <v>69</v>
      </c>
      <c r="P802" s="3" t="s">
        <v>70</v>
      </c>
    </row>
    <row r="803" customFormat="false" ht="15" hidden="false" customHeight="false" outlineLevel="0" collapsed="false">
      <c r="A803" s="3" t="s">
        <v>1401</v>
      </c>
      <c r="B803" s="3" t="s">
        <v>605</v>
      </c>
      <c r="C803" s="3" t="s">
        <v>606</v>
      </c>
      <c r="D803" s="4" t="n">
        <v>383.4</v>
      </c>
      <c r="E803" s="3" t="s">
        <v>60</v>
      </c>
      <c r="F803" s="3" t="n">
        <v>49.98</v>
      </c>
      <c r="G803" s="3" t="s">
        <v>60</v>
      </c>
      <c r="H803" s="3" t="s">
        <v>60</v>
      </c>
      <c r="I803" s="3" t="n">
        <v>93423500</v>
      </c>
      <c r="J803" s="3" t="n">
        <v>1876800</v>
      </c>
      <c r="K803" s="3" t="s">
        <v>61</v>
      </c>
      <c r="L803" s="3" t="s">
        <v>62</v>
      </c>
      <c r="M803" s="3" t="s">
        <v>1402</v>
      </c>
      <c r="N803" s="3" t="n">
        <v>3</v>
      </c>
      <c r="O803" s="3" t="s">
        <v>64</v>
      </c>
      <c r="P803" s="3" t="s">
        <v>65</v>
      </c>
    </row>
    <row r="804" customFormat="false" ht="15" hidden="false" customHeight="false" outlineLevel="0" collapsed="false">
      <c r="A804" s="3" t="s">
        <v>1401</v>
      </c>
      <c r="B804" s="3" t="s">
        <v>312</v>
      </c>
      <c r="C804" s="3" t="s">
        <v>313</v>
      </c>
      <c r="D804" s="4" t="n">
        <v>417</v>
      </c>
      <c r="E804" s="3" t="s">
        <v>60</v>
      </c>
      <c r="F804" s="3" t="n">
        <v>55.92</v>
      </c>
      <c r="G804" s="3" t="s">
        <v>60</v>
      </c>
      <c r="H804" s="3" t="s">
        <v>60</v>
      </c>
      <c r="I804" s="3" t="n">
        <v>60974200</v>
      </c>
      <c r="J804" s="3" t="n">
        <v>2811200</v>
      </c>
      <c r="K804" s="3" t="s">
        <v>61</v>
      </c>
      <c r="L804" s="3" t="s">
        <v>62</v>
      </c>
      <c r="M804" s="3" t="s">
        <v>1403</v>
      </c>
      <c r="N804" s="3" t="n">
        <v>2</v>
      </c>
      <c r="O804" s="3" t="s">
        <v>100</v>
      </c>
      <c r="P804" s="3" t="s">
        <v>70</v>
      </c>
    </row>
    <row r="805" customFormat="false" ht="15" hidden="false" customHeight="false" outlineLevel="0" collapsed="false">
      <c r="A805" s="3" t="s">
        <v>1401</v>
      </c>
      <c r="B805" s="3" t="s">
        <v>660</v>
      </c>
      <c r="C805" s="3" t="s">
        <v>661</v>
      </c>
      <c r="D805" s="4" t="n">
        <v>187</v>
      </c>
      <c r="E805" s="3" t="s">
        <v>60</v>
      </c>
      <c r="F805" s="3" t="n">
        <v>46.67</v>
      </c>
      <c r="G805" s="3" t="s">
        <v>60</v>
      </c>
      <c r="H805" s="3" t="s">
        <v>60</v>
      </c>
      <c r="I805" s="3" t="n">
        <v>108576225</v>
      </c>
      <c r="J805" s="3" t="n">
        <v>615075</v>
      </c>
      <c r="K805" s="3" t="s">
        <v>61</v>
      </c>
      <c r="L805" s="3" t="s">
        <v>62</v>
      </c>
      <c r="M805" s="3" t="s">
        <v>1404</v>
      </c>
      <c r="N805" s="3" t="n">
        <v>2</v>
      </c>
      <c r="O805" s="3" t="s">
        <v>64</v>
      </c>
      <c r="P805" s="3" t="s">
        <v>65</v>
      </c>
    </row>
    <row r="806" customFormat="false" ht="15" hidden="false" customHeight="false" outlineLevel="0" collapsed="false">
      <c r="A806" s="3" t="s">
        <v>1405</v>
      </c>
      <c r="B806" s="3" t="s">
        <v>1014</v>
      </c>
      <c r="C806" s="3" t="s">
        <v>1015</v>
      </c>
      <c r="D806" s="4" t="n">
        <v>1616</v>
      </c>
      <c r="E806" s="3" t="s">
        <v>60</v>
      </c>
      <c r="F806" s="3" t="n">
        <v>66.58</v>
      </c>
      <c r="G806" s="3" t="s">
        <v>60</v>
      </c>
      <c r="H806" s="3" t="s">
        <v>60</v>
      </c>
      <c r="I806" s="3" t="n">
        <v>20038725</v>
      </c>
      <c r="J806" s="3" t="n">
        <v>757350</v>
      </c>
      <c r="K806" s="3" t="s">
        <v>61</v>
      </c>
      <c r="L806" s="3" t="s">
        <v>62</v>
      </c>
      <c r="M806" s="3" t="s">
        <v>1406</v>
      </c>
      <c r="N806" s="3" t="n">
        <v>1</v>
      </c>
      <c r="O806" s="3" t="s">
        <v>64</v>
      </c>
      <c r="P806" s="3" t="s">
        <v>65</v>
      </c>
    </row>
    <row r="807" customFormat="false" ht="15" hidden="false" customHeight="false" outlineLevel="0" collapsed="false">
      <c r="A807" s="3" t="s">
        <v>1405</v>
      </c>
      <c r="B807" s="3" t="s">
        <v>605</v>
      </c>
      <c r="C807" s="3" t="s">
        <v>606</v>
      </c>
      <c r="D807" s="4" t="n">
        <v>384.35</v>
      </c>
      <c r="E807" s="3" t="s">
        <v>60</v>
      </c>
      <c r="F807" s="3" t="n">
        <v>55</v>
      </c>
      <c r="G807" s="3" t="s">
        <v>60</v>
      </c>
      <c r="H807" s="3" t="s">
        <v>60</v>
      </c>
      <c r="I807" s="3" t="n">
        <v>94567600</v>
      </c>
      <c r="J807" s="3" t="n">
        <v>1609900</v>
      </c>
      <c r="K807" s="3" t="s">
        <v>61</v>
      </c>
      <c r="L807" s="3" t="s">
        <v>62</v>
      </c>
      <c r="M807" s="3" t="s">
        <v>1407</v>
      </c>
      <c r="N807" s="3" t="n">
        <v>4</v>
      </c>
      <c r="O807" s="3" t="s">
        <v>64</v>
      </c>
      <c r="P807" s="3" t="s">
        <v>65</v>
      </c>
    </row>
    <row r="808" customFormat="false" ht="15" hidden="false" customHeight="false" outlineLevel="0" collapsed="false">
      <c r="A808" s="3" t="s">
        <v>1408</v>
      </c>
      <c r="B808" s="3" t="s">
        <v>595</v>
      </c>
      <c r="C808" s="3" t="s">
        <v>596</v>
      </c>
      <c r="D808" s="4" t="n">
        <v>1355.8</v>
      </c>
      <c r="E808" s="3" t="s">
        <v>60</v>
      </c>
      <c r="F808" s="3" t="n">
        <v>59.84</v>
      </c>
      <c r="G808" s="3" t="s">
        <v>60</v>
      </c>
      <c r="H808" s="3" t="s">
        <v>60</v>
      </c>
      <c r="I808" s="3" t="n">
        <v>13552000</v>
      </c>
      <c r="J808" s="3" t="n">
        <v>1049950</v>
      </c>
      <c r="K808" s="3" t="s">
        <v>61</v>
      </c>
      <c r="L808" s="3" t="s">
        <v>62</v>
      </c>
      <c r="M808" s="3" t="s">
        <v>1409</v>
      </c>
      <c r="N808" s="3" t="n">
        <v>1</v>
      </c>
      <c r="O808" s="3" t="s">
        <v>64</v>
      </c>
      <c r="P808" s="3" t="s">
        <v>65</v>
      </c>
    </row>
    <row r="809" customFormat="false" ht="15" hidden="false" customHeight="false" outlineLevel="0" collapsed="false">
      <c r="A809" s="3" t="s">
        <v>1408</v>
      </c>
      <c r="B809" s="3" t="s">
        <v>156</v>
      </c>
      <c r="C809" s="3" t="s">
        <v>157</v>
      </c>
      <c r="D809" s="4" t="n">
        <v>1269.9</v>
      </c>
      <c r="E809" s="3" t="s">
        <v>60</v>
      </c>
      <c r="F809" s="3" t="n">
        <v>47.58</v>
      </c>
      <c r="G809" s="3" t="s">
        <v>60</v>
      </c>
      <c r="H809" s="3" t="s">
        <v>60</v>
      </c>
      <c r="I809" s="3" t="n">
        <v>5665000</v>
      </c>
      <c r="J809" s="3" t="n">
        <v>352000</v>
      </c>
      <c r="K809" s="3" t="s">
        <v>61</v>
      </c>
      <c r="L809" s="3" t="s">
        <v>62</v>
      </c>
      <c r="M809" s="3" t="s">
        <v>1410</v>
      </c>
      <c r="N809" s="3" t="n">
        <v>6</v>
      </c>
      <c r="O809" s="3" t="s">
        <v>64</v>
      </c>
      <c r="P809" s="3" t="s">
        <v>65</v>
      </c>
    </row>
    <row r="810" customFormat="false" ht="15" hidden="false" customHeight="false" outlineLevel="0" collapsed="false">
      <c r="A810" s="3" t="s">
        <v>1411</v>
      </c>
      <c r="B810" s="3" t="s">
        <v>1412</v>
      </c>
      <c r="C810" s="3" t="s">
        <v>1413</v>
      </c>
      <c r="D810" s="4" t="n">
        <v>7350</v>
      </c>
      <c r="E810" s="3" t="s">
        <v>60</v>
      </c>
      <c r="F810" s="3" t="n">
        <v>46.79</v>
      </c>
      <c r="G810" s="3" t="s">
        <v>60</v>
      </c>
      <c r="H810" s="3" t="s">
        <v>60</v>
      </c>
      <c r="I810" s="3" t="n">
        <v>1420400</v>
      </c>
      <c r="J810" s="3" t="n">
        <v>48400</v>
      </c>
      <c r="K810" s="3" t="s">
        <v>61</v>
      </c>
      <c r="L810" s="3" t="s">
        <v>62</v>
      </c>
      <c r="M810" s="3" t="s">
        <v>1414</v>
      </c>
      <c r="N810" s="3" t="n">
        <v>0</v>
      </c>
      <c r="O810" s="3" t="s">
        <v>64</v>
      </c>
      <c r="P810" s="3" t="s">
        <v>65</v>
      </c>
    </row>
    <row r="811" customFormat="false" ht="15" hidden="false" customHeight="false" outlineLevel="0" collapsed="false">
      <c r="A811" s="3" t="s">
        <v>1415</v>
      </c>
      <c r="B811" s="3" t="s">
        <v>901</v>
      </c>
      <c r="C811" s="3" t="s">
        <v>902</v>
      </c>
      <c r="D811" s="4" t="n">
        <v>1217</v>
      </c>
      <c r="E811" s="3" t="s">
        <v>60</v>
      </c>
      <c r="F811" s="3" t="n">
        <v>50.21</v>
      </c>
      <c r="G811" s="3" t="s">
        <v>60</v>
      </c>
      <c r="H811" s="3" t="s">
        <v>60</v>
      </c>
      <c r="I811" s="3" t="n">
        <v>7129375</v>
      </c>
      <c r="J811" s="3" t="n">
        <v>37500</v>
      </c>
      <c r="K811" s="3" t="s">
        <v>61</v>
      </c>
      <c r="L811" s="3" t="s">
        <v>62</v>
      </c>
      <c r="M811" s="3" t="s">
        <v>1416</v>
      </c>
      <c r="N811" s="3" t="n">
        <v>7</v>
      </c>
      <c r="O811" s="3" t="s">
        <v>64</v>
      </c>
      <c r="P811" s="3" t="s">
        <v>65</v>
      </c>
    </row>
    <row r="812" customFormat="false" ht="15" hidden="false" customHeight="false" outlineLevel="0" collapsed="false">
      <c r="A812" s="3" t="s">
        <v>1417</v>
      </c>
      <c r="B812" s="3" t="s">
        <v>66</v>
      </c>
      <c r="C812" s="3" t="s">
        <v>67</v>
      </c>
      <c r="D812" s="4" t="n">
        <v>9025</v>
      </c>
      <c r="E812" s="3" t="s">
        <v>60</v>
      </c>
      <c r="F812" s="3" t="n">
        <v>46.22</v>
      </c>
      <c r="G812" s="3" t="s">
        <v>60</v>
      </c>
      <c r="H812" s="3" t="s">
        <v>60</v>
      </c>
      <c r="I812" s="3" t="n">
        <v>3095800</v>
      </c>
      <c r="J812" s="3" t="n">
        <v>34700</v>
      </c>
      <c r="K812" s="3" t="s">
        <v>61</v>
      </c>
      <c r="L812" s="3" t="s">
        <v>62</v>
      </c>
      <c r="M812" s="3" t="s">
        <v>1418</v>
      </c>
      <c r="N812" s="3" t="n">
        <v>7</v>
      </c>
      <c r="O812" s="3" t="s">
        <v>64</v>
      </c>
      <c r="P812" s="3" t="s">
        <v>65</v>
      </c>
    </row>
    <row r="813" customFormat="false" ht="15" hidden="false" customHeight="false" outlineLevel="0" collapsed="false">
      <c r="A813" s="3" t="s">
        <v>1417</v>
      </c>
      <c r="B813" s="3" t="s">
        <v>234</v>
      </c>
      <c r="C813" s="3" t="s">
        <v>235</v>
      </c>
      <c r="D813" s="4" t="n">
        <v>416.7</v>
      </c>
      <c r="E813" s="3" t="s">
        <v>60</v>
      </c>
      <c r="F813" s="3" t="n">
        <v>62.4</v>
      </c>
      <c r="G813" s="3" t="s">
        <v>60</v>
      </c>
      <c r="H813" s="3" t="s">
        <v>60</v>
      </c>
      <c r="I813" s="3" t="n">
        <v>177260000</v>
      </c>
      <c r="J813" s="3" t="n">
        <v>1844000</v>
      </c>
      <c r="K813" s="3" t="s">
        <v>61</v>
      </c>
      <c r="L813" s="3" t="s">
        <v>62</v>
      </c>
      <c r="M813" s="3" t="s">
        <v>1419</v>
      </c>
      <c r="N813" s="3" t="n">
        <v>2</v>
      </c>
      <c r="O813" s="3" t="s">
        <v>69</v>
      </c>
      <c r="P813" s="3" t="s">
        <v>70</v>
      </c>
    </row>
    <row r="814" customFormat="false" ht="15" hidden="false" customHeight="false" outlineLevel="0" collapsed="false">
      <c r="A814" s="3" t="s">
        <v>1417</v>
      </c>
      <c r="B814" s="3" t="s">
        <v>203</v>
      </c>
      <c r="C814" s="3" t="s">
        <v>204</v>
      </c>
      <c r="D814" s="4" t="n">
        <v>1887</v>
      </c>
      <c r="E814" s="3" t="s">
        <v>60</v>
      </c>
      <c r="F814" s="3" t="n">
        <v>61.61</v>
      </c>
      <c r="G814" s="3" t="s">
        <v>60</v>
      </c>
      <c r="H814" s="3" t="s">
        <v>60</v>
      </c>
      <c r="I814" s="3" t="n">
        <v>15813400</v>
      </c>
      <c r="J814" s="3" t="n">
        <v>283050</v>
      </c>
      <c r="K814" s="3" t="s">
        <v>61</v>
      </c>
      <c r="L814" s="3" t="s">
        <v>62</v>
      </c>
      <c r="M814" s="3" t="s">
        <v>1420</v>
      </c>
      <c r="N814" s="3" t="n">
        <v>5</v>
      </c>
      <c r="O814" s="3" t="s">
        <v>69</v>
      </c>
      <c r="P814" s="3" t="s">
        <v>70</v>
      </c>
    </row>
    <row r="815" customFormat="false" ht="15" hidden="false" customHeight="false" outlineLevel="0" collapsed="false">
      <c r="A815" s="3" t="s">
        <v>1417</v>
      </c>
      <c r="B815" s="3" t="s">
        <v>403</v>
      </c>
      <c r="C815" s="3" t="s">
        <v>404</v>
      </c>
      <c r="D815" s="4" t="n">
        <v>524.4</v>
      </c>
      <c r="E815" s="3" t="s">
        <v>60</v>
      </c>
      <c r="F815" s="3" t="n">
        <v>49.58</v>
      </c>
      <c r="G815" s="3" t="s">
        <v>60</v>
      </c>
      <c r="H815" s="3" t="s">
        <v>60</v>
      </c>
      <c r="I815" s="3" t="n">
        <v>37579000</v>
      </c>
      <c r="J815" s="3" t="n">
        <v>3244000</v>
      </c>
      <c r="K815" s="3" t="s">
        <v>61</v>
      </c>
      <c r="L815" s="3" t="s">
        <v>62</v>
      </c>
      <c r="M815" s="3" t="s">
        <v>1421</v>
      </c>
      <c r="N815" s="3" t="n">
        <v>5</v>
      </c>
      <c r="O815" s="3" t="s">
        <v>64</v>
      </c>
      <c r="P815" s="3" t="s">
        <v>65</v>
      </c>
    </row>
    <row r="816" customFormat="false" ht="15" hidden="false" customHeight="false" outlineLevel="0" collapsed="false">
      <c r="A816" s="3" t="s">
        <v>1417</v>
      </c>
      <c r="B816" s="3" t="s">
        <v>1354</v>
      </c>
      <c r="C816" s="3" t="s">
        <v>1355</v>
      </c>
      <c r="D816" s="4" t="n">
        <v>188.01</v>
      </c>
      <c r="E816" s="3" t="s">
        <v>60</v>
      </c>
      <c r="F816" s="3" t="n">
        <v>51.94</v>
      </c>
      <c r="G816" s="3" t="s">
        <v>60</v>
      </c>
      <c r="H816" s="3" t="s">
        <v>60</v>
      </c>
      <c r="I816" s="3" t="n">
        <v>240306000</v>
      </c>
      <c r="J816" s="3" t="n">
        <v>1196250</v>
      </c>
      <c r="K816" s="3" t="s">
        <v>61</v>
      </c>
      <c r="L816" s="3" t="s">
        <v>62</v>
      </c>
      <c r="M816" s="3" t="s">
        <v>1422</v>
      </c>
      <c r="N816" s="3" t="n">
        <v>2</v>
      </c>
      <c r="O816" s="3" t="s">
        <v>64</v>
      </c>
      <c r="P816" s="3" t="s">
        <v>65</v>
      </c>
    </row>
    <row r="817" customFormat="false" ht="15" hidden="false" customHeight="false" outlineLevel="0" collapsed="false">
      <c r="A817" s="3" t="s">
        <v>1417</v>
      </c>
      <c r="B817" s="3" t="s">
        <v>126</v>
      </c>
      <c r="C817" s="3" t="s">
        <v>127</v>
      </c>
      <c r="D817" s="4" t="n">
        <v>286.5</v>
      </c>
      <c r="E817" s="3" t="s">
        <v>60</v>
      </c>
      <c r="F817" s="3" t="n">
        <v>52.79</v>
      </c>
      <c r="G817" s="3" t="s">
        <v>60</v>
      </c>
      <c r="H817" s="3" t="s">
        <v>60</v>
      </c>
      <c r="I817" s="3" t="n">
        <v>65194650</v>
      </c>
      <c r="J817" s="3" t="n">
        <v>4695450</v>
      </c>
      <c r="K817" s="3" t="s">
        <v>61</v>
      </c>
      <c r="L817" s="3" t="s">
        <v>62</v>
      </c>
      <c r="M817" s="3" t="s">
        <v>1423</v>
      </c>
      <c r="N817" s="3" t="n">
        <v>4</v>
      </c>
      <c r="O817" s="3" t="s">
        <v>64</v>
      </c>
      <c r="P817" s="3" t="s">
        <v>65</v>
      </c>
    </row>
    <row r="818" customFormat="false" ht="15" hidden="false" customHeight="false" outlineLevel="0" collapsed="false">
      <c r="A818" s="3" t="s">
        <v>1424</v>
      </c>
      <c r="B818" s="3" t="s">
        <v>333</v>
      </c>
      <c r="C818" s="3" t="s">
        <v>334</v>
      </c>
      <c r="D818" s="4" t="n">
        <v>5320</v>
      </c>
      <c r="E818" s="3" t="s">
        <v>60</v>
      </c>
      <c r="F818" s="3" t="n">
        <v>73.74</v>
      </c>
      <c r="G818" s="3" t="s">
        <v>60</v>
      </c>
      <c r="H818" s="3" t="s">
        <v>60</v>
      </c>
      <c r="I818" s="3" t="n">
        <v>1313500</v>
      </c>
      <c r="J818" s="3" t="n">
        <v>65750</v>
      </c>
      <c r="K818" s="3" t="s">
        <v>61</v>
      </c>
      <c r="L818" s="3" t="s">
        <v>62</v>
      </c>
      <c r="M818" s="3" t="s">
        <v>1425</v>
      </c>
      <c r="N818" s="3" t="n">
        <v>10</v>
      </c>
      <c r="O818" s="3" t="s">
        <v>69</v>
      </c>
      <c r="P818" s="3" t="s">
        <v>70</v>
      </c>
    </row>
    <row r="819" customFormat="false" ht="15" hidden="false" customHeight="false" outlineLevel="0" collapsed="false">
      <c r="A819" s="3" t="s">
        <v>1424</v>
      </c>
      <c r="B819" s="3" t="s">
        <v>360</v>
      </c>
      <c r="C819" s="3" t="s">
        <v>361</v>
      </c>
      <c r="D819" s="4" t="n">
        <v>328.5</v>
      </c>
      <c r="E819" s="3" t="s">
        <v>60</v>
      </c>
      <c r="F819" s="3" t="n">
        <v>73.38</v>
      </c>
      <c r="G819" s="3" t="s">
        <v>60</v>
      </c>
      <c r="H819" s="3" t="s">
        <v>60</v>
      </c>
      <c r="I819" s="3" t="n">
        <v>144971350</v>
      </c>
      <c r="J819" s="3" t="n">
        <v>4192825</v>
      </c>
      <c r="K819" s="3" t="s">
        <v>61</v>
      </c>
      <c r="L819" s="3" t="s">
        <v>62</v>
      </c>
      <c r="M819" s="3" t="s">
        <v>1426</v>
      </c>
      <c r="N819" s="3" t="n">
        <v>4</v>
      </c>
      <c r="O819" s="3" t="s">
        <v>64</v>
      </c>
      <c r="P819" s="3" t="s">
        <v>65</v>
      </c>
    </row>
    <row r="820" customFormat="false" ht="15" hidden="false" customHeight="false" outlineLevel="0" collapsed="false">
      <c r="A820" s="3" t="s">
        <v>1424</v>
      </c>
      <c r="B820" s="3" t="s">
        <v>1427</v>
      </c>
      <c r="C820" s="3" t="s">
        <v>1428</v>
      </c>
      <c r="D820" s="4" t="n">
        <v>2069.4</v>
      </c>
      <c r="E820" s="3" t="s">
        <v>60</v>
      </c>
      <c r="F820" s="3" t="n">
        <v>53.76</v>
      </c>
      <c r="G820" s="3" t="s">
        <v>60</v>
      </c>
      <c r="H820" s="3" t="s">
        <v>60</v>
      </c>
      <c r="I820" s="3" t="n">
        <v>7880925</v>
      </c>
      <c r="J820" s="3" t="n">
        <v>85150</v>
      </c>
      <c r="K820" s="3" t="s">
        <v>61</v>
      </c>
      <c r="L820" s="3" t="s">
        <v>62</v>
      </c>
      <c r="M820" s="3" t="s">
        <v>1429</v>
      </c>
      <c r="N820" s="3" t="n">
        <v>0</v>
      </c>
      <c r="O820" s="3" t="s">
        <v>64</v>
      </c>
      <c r="P820" s="3" t="s">
        <v>65</v>
      </c>
    </row>
    <row r="821" customFormat="false" ht="15" hidden="false" customHeight="false" outlineLevel="0" collapsed="false">
      <c r="A821" s="3" t="s">
        <v>1424</v>
      </c>
      <c r="B821" s="3" t="s">
        <v>605</v>
      </c>
      <c r="C821" s="3" t="s">
        <v>606</v>
      </c>
      <c r="D821" s="4" t="n">
        <v>379.95</v>
      </c>
      <c r="E821" s="3" t="s">
        <v>60</v>
      </c>
      <c r="F821" s="3" t="n">
        <v>73.3</v>
      </c>
      <c r="G821" s="3" t="s">
        <v>60</v>
      </c>
      <c r="H821" s="3" t="s">
        <v>60</v>
      </c>
      <c r="I821" s="3" t="n">
        <v>103043800</v>
      </c>
      <c r="J821" s="3" t="n">
        <v>1366800</v>
      </c>
      <c r="K821" s="3" t="s">
        <v>61</v>
      </c>
      <c r="L821" s="3" t="s">
        <v>62</v>
      </c>
      <c r="M821" s="3" t="s">
        <v>1430</v>
      </c>
      <c r="N821" s="3" t="n">
        <v>5</v>
      </c>
      <c r="O821" s="3" t="s">
        <v>64</v>
      </c>
      <c r="P821" s="3" t="s">
        <v>65</v>
      </c>
    </row>
    <row r="822" customFormat="false" ht="15" hidden="false" customHeight="false" outlineLevel="0" collapsed="false">
      <c r="A822" s="3" t="s">
        <v>1424</v>
      </c>
      <c r="B822" s="3" t="s">
        <v>234</v>
      </c>
      <c r="C822" s="3" t="s">
        <v>235</v>
      </c>
      <c r="D822" s="4" t="n">
        <v>424.2</v>
      </c>
      <c r="E822" s="3" t="s">
        <v>60</v>
      </c>
      <c r="F822" s="3" t="n">
        <v>67.78</v>
      </c>
      <c r="G822" s="3" t="s">
        <v>60</v>
      </c>
      <c r="H822" s="3" t="s">
        <v>60</v>
      </c>
      <c r="I822" s="3" t="n">
        <v>179472000</v>
      </c>
      <c r="J822" s="3" t="n">
        <v>2212000</v>
      </c>
      <c r="K822" s="3" t="s">
        <v>61</v>
      </c>
      <c r="L822" s="3" t="s">
        <v>62</v>
      </c>
      <c r="M822" s="3" t="s">
        <v>1431</v>
      </c>
      <c r="N822" s="3" t="n">
        <v>2</v>
      </c>
      <c r="O822" s="3" t="s">
        <v>100</v>
      </c>
      <c r="P822" s="3" t="s">
        <v>70</v>
      </c>
    </row>
    <row r="823" customFormat="false" ht="15" hidden="false" customHeight="false" outlineLevel="0" collapsed="false">
      <c r="A823" s="3" t="s">
        <v>1424</v>
      </c>
      <c r="B823" s="3" t="s">
        <v>203</v>
      </c>
      <c r="C823" s="3" t="s">
        <v>204</v>
      </c>
      <c r="D823" s="4" t="n">
        <v>1929.4</v>
      </c>
      <c r="E823" s="3" t="s">
        <v>60</v>
      </c>
      <c r="F823" s="3" t="n">
        <v>64.84</v>
      </c>
      <c r="G823" s="3" t="s">
        <v>60</v>
      </c>
      <c r="H823" s="3" t="s">
        <v>60</v>
      </c>
      <c r="I823" s="3" t="n">
        <v>16000400</v>
      </c>
      <c r="J823" s="3" t="n">
        <v>187000</v>
      </c>
      <c r="K823" s="3" t="s">
        <v>61</v>
      </c>
      <c r="L823" s="3" t="s">
        <v>62</v>
      </c>
      <c r="M823" s="3" t="s">
        <v>1432</v>
      </c>
      <c r="N823" s="3" t="n">
        <v>5</v>
      </c>
      <c r="O823" s="3" t="s">
        <v>100</v>
      </c>
      <c r="P823" s="3" t="s">
        <v>70</v>
      </c>
    </row>
    <row r="824" customFormat="false" ht="15" hidden="false" customHeight="false" outlineLevel="0" collapsed="false">
      <c r="A824" s="3" t="s">
        <v>1424</v>
      </c>
      <c r="B824" s="3" t="s">
        <v>1433</v>
      </c>
      <c r="C824" s="3" t="s">
        <v>1434</v>
      </c>
      <c r="D824" s="4" t="n">
        <v>44.27</v>
      </c>
      <c r="E824" s="3" t="s">
        <v>60</v>
      </c>
      <c r="F824" s="3" t="n">
        <v>47.5</v>
      </c>
      <c r="G824" s="3" t="s">
        <v>60</v>
      </c>
      <c r="H824" s="3" t="s">
        <v>60</v>
      </c>
      <c r="I824" s="3" t="n">
        <v>37740000</v>
      </c>
      <c r="J824" s="3" t="n">
        <v>14184000</v>
      </c>
      <c r="K824" s="3" t="s">
        <v>61</v>
      </c>
      <c r="L824" s="3" t="s">
        <v>62</v>
      </c>
      <c r="M824" s="3" t="s">
        <v>1435</v>
      </c>
      <c r="N824" s="3" t="n">
        <v>0</v>
      </c>
      <c r="O824" s="3" t="s">
        <v>64</v>
      </c>
      <c r="P824" s="3" t="s">
        <v>65</v>
      </c>
    </row>
    <row r="825" customFormat="false" ht="15" hidden="false" customHeight="false" outlineLevel="0" collapsed="false">
      <c r="A825" s="3" t="s">
        <v>1424</v>
      </c>
      <c r="B825" s="3" t="s">
        <v>926</v>
      </c>
      <c r="C825" s="3" t="s">
        <v>927</v>
      </c>
      <c r="D825" s="4" t="n">
        <v>5139.3</v>
      </c>
      <c r="E825" s="3" t="s">
        <v>60</v>
      </c>
      <c r="F825" s="3" t="n">
        <v>58.21</v>
      </c>
      <c r="G825" s="3" t="s">
        <v>60</v>
      </c>
      <c r="H825" s="3" t="s">
        <v>60</v>
      </c>
      <c r="I825" s="3" t="n">
        <v>4837700</v>
      </c>
      <c r="J825" s="3" t="n">
        <v>113750</v>
      </c>
      <c r="K825" s="3" t="s">
        <v>61</v>
      </c>
      <c r="L825" s="3" t="s">
        <v>62</v>
      </c>
      <c r="M825" s="3" t="s">
        <v>1436</v>
      </c>
      <c r="N825" s="3" t="n">
        <v>2</v>
      </c>
      <c r="O825" s="3" t="s">
        <v>64</v>
      </c>
      <c r="P825" s="3" t="s">
        <v>65</v>
      </c>
    </row>
    <row r="826" customFormat="false" ht="15" hidden="false" customHeight="false" outlineLevel="0" collapsed="false">
      <c r="A826" s="3" t="s">
        <v>1424</v>
      </c>
      <c r="B826" s="3" t="s">
        <v>1258</v>
      </c>
      <c r="C826" s="3" t="s">
        <v>1259</v>
      </c>
      <c r="D826" s="4" t="n">
        <v>1189.2</v>
      </c>
      <c r="E826" s="3" t="s">
        <v>60</v>
      </c>
      <c r="F826" s="3" t="n">
        <v>49.63</v>
      </c>
      <c r="G826" s="3" t="s">
        <v>60</v>
      </c>
      <c r="H826" s="3" t="s">
        <v>60</v>
      </c>
      <c r="I826" s="3" t="n">
        <v>10224900</v>
      </c>
      <c r="J826" s="3" t="n">
        <v>664200</v>
      </c>
      <c r="K826" s="3" t="s">
        <v>61</v>
      </c>
      <c r="L826" s="3" t="s">
        <v>62</v>
      </c>
      <c r="M826" s="3" t="s">
        <v>1437</v>
      </c>
      <c r="N826" s="3" t="n">
        <v>1</v>
      </c>
      <c r="O826" s="3" t="s">
        <v>64</v>
      </c>
      <c r="P826" s="3" t="s">
        <v>65</v>
      </c>
    </row>
    <row r="827" customFormat="false" ht="15" hidden="false" customHeight="false" outlineLevel="0" collapsed="false">
      <c r="A827" s="3" t="s">
        <v>1438</v>
      </c>
      <c r="B827" s="3" t="s">
        <v>333</v>
      </c>
      <c r="C827" s="3" t="s">
        <v>334</v>
      </c>
      <c r="D827" s="4" t="n">
        <v>5355</v>
      </c>
      <c r="E827" s="3" t="s">
        <v>60</v>
      </c>
      <c r="F827" s="3" t="n">
        <v>66.7</v>
      </c>
      <c r="G827" s="3" t="s">
        <v>60</v>
      </c>
      <c r="H827" s="3" t="s">
        <v>60</v>
      </c>
      <c r="I827" s="3" t="n">
        <v>1414875</v>
      </c>
      <c r="J827" s="3" t="n">
        <v>101375</v>
      </c>
      <c r="K827" s="3" t="s">
        <v>61</v>
      </c>
      <c r="L827" s="3" t="s">
        <v>62</v>
      </c>
      <c r="M827" s="3" t="s">
        <v>1439</v>
      </c>
      <c r="N827" s="3" t="n">
        <v>10</v>
      </c>
      <c r="O827" s="3" t="s">
        <v>100</v>
      </c>
      <c r="P827" s="3" t="s">
        <v>70</v>
      </c>
    </row>
    <row r="828" customFormat="false" ht="15" hidden="false" customHeight="false" outlineLevel="0" collapsed="false">
      <c r="A828" s="3" t="s">
        <v>1438</v>
      </c>
      <c r="B828" s="3" t="s">
        <v>58</v>
      </c>
      <c r="C828" s="3" t="s">
        <v>59</v>
      </c>
      <c r="D828" s="4" t="n">
        <v>2265.6</v>
      </c>
      <c r="E828" s="3" t="s">
        <v>60</v>
      </c>
      <c r="F828" s="3" t="n">
        <v>55.01</v>
      </c>
      <c r="G828" s="3" t="s">
        <v>60</v>
      </c>
      <c r="H828" s="3" t="s">
        <v>60</v>
      </c>
      <c r="I828" s="3" t="n">
        <v>9737000</v>
      </c>
      <c r="J828" s="3" t="n">
        <v>566650</v>
      </c>
      <c r="K828" s="3" t="s">
        <v>61</v>
      </c>
      <c r="L828" s="3" t="s">
        <v>62</v>
      </c>
      <c r="M828" s="3" t="s">
        <v>1440</v>
      </c>
      <c r="N828" s="3" t="n">
        <v>6</v>
      </c>
      <c r="O828" s="3" t="s">
        <v>64</v>
      </c>
      <c r="P828" s="3" t="s">
        <v>65</v>
      </c>
    </row>
    <row r="829" customFormat="false" ht="15" hidden="false" customHeight="false" outlineLevel="0" collapsed="false">
      <c r="A829" s="3" t="s">
        <v>1438</v>
      </c>
      <c r="B829" s="3" t="s">
        <v>66</v>
      </c>
      <c r="C829" s="3" t="s">
        <v>67</v>
      </c>
      <c r="D829" s="4" t="n">
        <v>9239</v>
      </c>
      <c r="E829" s="3" t="s">
        <v>60</v>
      </c>
      <c r="F829" s="3" t="n">
        <v>58.56</v>
      </c>
      <c r="G829" s="3" t="s">
        <v>60</v>
      </c>
      <c r="H829" s="3" t="s">
        <v>60</v>
      </c>
      <c r="I829" s="3" t="n">
        <v>3121800</v>
      </c>
      <c r="J829" s="3" t="n">
        <v>87400</v>
      </c>
      <c r="K829" s="3" t="s">
        <v>61</v>
      </c>
      <c r="L829" s="3" t="s">
        <v>62</v>
      </c>
      <c r="M829" s="3" t="s">
        <v>1441</v>
      </c>
      <c r="N829" s="3" t="n">
        <v>8</v>
      </c>
      <c r="O829" s="3" t="s">
        <v>64</v>
      </c>
      <c r="P829" s="3" t="s">
        <v>65</v>
      </c>
    </row>
    <row r="830" customFormat="false" ht="15" hidden="false" customHeight="false" outlineLevel="0" collapsed="false">
      <c r="A830" s="3" t="s">
        <v>1438</v>
      </c>
      <c r="B830" s="3" t="s">
        <v>266</v>
      </c>
      <c r="C830" s="3" t="s">
        <v>267</v>
      </c>
      <c r="D830" s="4" t="n">
        <v>2455</v>
      </c>
      <c r="E830" s="3" t="s">
        <v>60</v>
      </c>
      <c r="F830" s="3" t="n">
        <v>66.22</v>
      </c>
      <c r="G830" s="3" t="s">
        <v>60</v>
      </c>
      <c r="H830" s="3" t="s">
        <v>60</v>
      </c>
      <c r="I830" s="3" t="n">
        <v>4541350</v>
      </c>
      <c r="J830" s="3" t="n">
        <v>75075</v>
      </c>
      <c r="K830" s="3" t="s">
        <v>61</v>
      </c>
      <c r="L830" s="3" t="s">
        <v>62</v>
      </c>
      <c r="M830" s="3" t="s">
        <v>1442</v>
      </c>
      <c r="N830" s="3" t="n">
        <v>3</v>
      </c>
      <c r="O830" s="3" t="s">
        <v>64</v>
      </c>
      <c r="P830" s="3" t="s">
        <v>65</v>
      </c>
    </row>
    <row r="831" customFormat="false" ht="15" hidden="false" customHeight="false" outlineLevel="0" collapsed="false">
      <c r="A831" s="3" t="s">
        <v>1438</v>
      </c>
      <c r="B831" s="3" t="s">
        <v>145</v>
      </c>
      <c r="C831" s="3" t="s">
        <v>146</v>
      </c>
      <c r="D831" s="4" t="n">
        <v>1640.9</v>
      </c>
      <c r="E831" s="3" t="s">
        <v>60</v>
      </c>
      <c r="F831" s="3" t="n">
        <v>51.08</v>
      </c>
      <c r="G831" s="3" t="s">
        <v>60</v>
      </c>
      <c r="H831" s="3" t="s">
        <v>60</v>
      </c>
      <c r="I831" s="3" t="n">
        <v>18115800</v>
      </c>
      <c r="J831" s="3" t="n">
        <v>384600</v>
      </c>
      <c r="K831" s="3" t="s">
        <v>61</v>
      </c>
      <c r="L831" s="3" t="s">
        <v>62</v>
      </c>
      <c r="M831" s="3" t="s">
        <v>1443</v>
      </c>
      <c r="N831" s="3" t="n">
        <v>9</v>
      </c>
      <c r="O831" s="3" t="s">
        <v>64</v>
      </c>
      <c r="P831" s="3" t="s">
        <v>65</v>
      </c>
    </row>
    <row r="832" customFormat="false" ht="15" hidden="false" customHeight="false" outlineLevel="0" collapsed="false">
      <c r="A832" s="3" t="s">
        <v>1438</v>
      </c>
      <c r="B832" s="3" t="s">
        <v>126</v>
      </c>
      <c r="C832" s="3" t="s">
        <v>127</v>
      </c>
      <c r="D832" s="4" t="n">
        <v>287.95</v>
      </c>
      <c r="E832" s="3" t="s">
        <v>60</v>
      </c>
      <c r="F832" s="3" t="n">
        <v>48.15</v>
      </c>
      <c r="G832" s="3" t="s">
        <v>60</v>
      </c>
      <c r="H832" s="3" t="s">
        <v>60</v>
      </c>
      <c r="I832" s="3" t="n">
        <v>66747150</v>
      </c>
      <c r="J832" s="3" t="n">
        <v>825700</v>
      </c>
      <c r="K832" s="3" t="s">
        <v>61</v>
      </c>
      <c r="L832" s="3" t="s">
        <v>62</v>
      </c>
      <c r="M832" s="3" t="s">
        <v>1444</v>
      </c>
      <c r="N832" s="3" t="n">
        <v>5</v>
      </c>
      <c r="O832" s="3" t="s">
        <v>64</v>
      </c>
      <c r="P832" s="3" t="s">
        <v>65</v>
      </c>
    </row>
    <row r="833" customFormat="false" ht="15" hidden="false" customHeight="false" outlineLevel="0" collapsed="false">
      <c r="A833" s="3" t="s">
        <v>1445</v>
      </c>
      <c r="B833" s="3" t="s">
        <v>380</v>
      </c>
      <c r="C833" s="3" t="s">
        <v>381</v>
      </c>
      <c r="D833" s="4" t="n">
        <v>1717</v>
      </c>
      <c r="E833" s="3" t="s">
        <v>60</v>
      </c>
      <c r="F833" s="3" t="n">
        <v>49.22</v>
      </c>
      <c r="G833" s="3" t="s">
        <v>60</v>
      </c>
      <c r="H833" s="3" t="s">
        <v>60</v>
      </c>
      <c r="I833" s="3" t="n">
        <v>10862500</v>
      </c>
      <c r="J833" s="3" t="n">
        <v>478500</v>
      </c>
      <c r="K833" s="3" t="s">
        <v>61</v>
      </c>
      <c r="L833" s="3" t="s">
        <v>62</v>
      </c>
      <c r="M833" s="3" t="s">
        <v>1446</v>
      </c>
      <c r="N833" s="3" t="n">
        <v>6</v>
      </c>
      <c r="O833" s="3" t="s">
        <v>64</v>
      </c>
      <c r="P833" s="3" t="s">
        <v>65</v>
      </c>
    </row>
    <row r="834" customFormat="false" ht="15" hidden="false" customHeight="false" outlineLevel="0" collapsed="false">
      <c r="A834" s="3" t="s">
        <v>1445</v>
      </c>
      <c r="B834" s="3" t="s">
        <v>487</v>
      </c>
      <c r="C834" s="3" t="s">
        <v>488</v>
      </c>
      <c r="D834" s="4" t="n">
        <v>11644</v>
      </c>
      <c r="E834" s="3" t="s">
        <v>60</v>
      </c>
      <c r="F834" s="3" t="n">
        <v>77.59</v>
      </c>
      <c r="G834" s="3" t="s">
        <v>60</v>
      </c>
      <c r="H834" s="3" t="s">
        <v>60</v>
      </c>
      <c r="I834" s="3" t="n">
        <v>254475</v>
      </c>
      <c r="J834" s="3" t="n">
        <v>6225</v>
      </c>
      <c r="K834" s="3" t="s">
        <v>61</v>
      </c>
      <c r="L834" s="3" t="s">
        <v>62</v>
      </c>
      <c r="M834" s="3" t="s">
        <v>1447</v>
      </c>
      <c r="N834" s="3" t="n">
        <v>3</v>
      </c>
      <c r="O834" s="3" t="s">
        <v>64</v>
      </c>
      <c r="P834" s="3" t="s">
        <v>65</v>
      </c>
    </row>
    <row r="835" customFormat="false" ht="15" hidden="false" customHeight="false" outlineLevel="0" collapsed="false">
      <c r="A835" s="3" t="s">
        <v>1445</v>
      </c>
      <c r="B835" s="3" t="s">
        <v>1448</v>
      </c>
      <c r="C835" s="3" t="s">
        <v>1449</v>
      </c>
      <c r="D835" s="4" t="n">
        <v>50000</v>
      </c>
      <c r="E835" s="3" t="s">
        <v>60</v>
      </c>
      <c r="F835" s="3" t="n">
        <v>65.52</v>
      </c>
      <c r="G835" s="3" t="s">
        <v>60</v>
      </c>
      <c r="H835" s="3" t="s">
        <v>60</v>
      </c>
      <c r="I835" s="3" t="n">
        <v>186825</v>
      </c>
      <c r="J835" s="3" t="n">
        <v>5850</v>
      </c>
      <c r="K835" s="3" t="s">
        <v>61</v>
      </c>
      <c r="L835" s="3" t="s">
        <v>62</v>
      </c>
      <c r="M835" s="3" t="s">
        <v>1450</v>
      </c>
      <c r="N835" s="3" t="n">
        <v>0</v>
      </c>
      <c r="O835" s="3" t="s">
        <v>64</v>
      </c>
      <c r="P835" s="3" t="s">
        <v>65</v>
      </c>
    </row>
    <row r="836" customFormat="false" ht="15" hidden="false" customHeight="false" outlineLevel="0" collapsed="false">
      <c r="A836" s="3" t="s">
        <v>1445</v>
      </c>
      <c r="B836" s="3" t="s">
        <v>104</v>
      </c>
      <c r="C836" s="3" t="s">
        <v>105</v>
      </c>
      <c r="D836" s="4" t="n">
        <v>365.75</v>
      </c>
      <c r="E836" s="3" t="s">
        <v>60</v>
      </c>
      <c r="F836" s="3" t="n">
        <v>63.6</v>
      </c>
      <c r="G836" s="3" t="s">
        <v>60</v>
      </c>
      <c r="H836" s="3" t="s">
        <v>60</v>
      </c>
      <c r="I836" s="3" t="n">
        <v>40578975</v>
      </c>
      <c r="J836" s="3" t="n">
        <v>97200</v>
      </c>
      <c r="K836" s="3" t="s">
        <v>61</v>
      </c>
      <c r="L836" s="3" t="s">
        <v>62</v>
      </c>
      <c r="M836" s="3" t="s">
        <v>1451</v>
      </c>
      <c r="N836" s="3" t="n">
        <v>4</v>
      </c>
      <c r="O836" s="3" t="s">
        <v>64</v>
      </c>
      <c r="P836" s="3" t="s">
        <v>65</v>
      </c>
    </row>
    <row r="837" customFormat="false" ht="15" hidden="false" customHeight="false" outlineLevel="0" collapsed="false">
      <c r="A837" s="3" t="s">
        <v>1445</v>
      </c>
      <c r="B837" s="3" t="s">
        <v>602</v>
      </c>
      <c r="C837" s="3" t="s">
        <v>603</v>
      </c>
      <c r="D837" s="4" t="n">
        <v>1454</v>
      </c>
      <c r="E837" s="3" t="s">
        <v>60</v>
      </c>
      <c r="F837" s="3" t="n">
        <v>78.23</v>
      </c>
      <c r="G837" s="3" t="s">
        <v>60</v>
      </c>
      <c r="H837" s="3" t="s">
        <v>60</v>
      </c>
      <c r="I837" s="3" t="n">
        <v>95665500</v>
      </c>
      <c r="J837" s="3" t="n">
        <v>899500</v>
      </c>
      <c r="K837" s="3" t="s">
        <v>61</v>
      </c>
      <c r="L837" s="3" t="s">
        <v>62</v>
      </c>
      <c r="M837" s="3" t="s">
        <v>1452</v>
      </c>
      <c r="N837" s="3" t="n">
        <v>4</v>
      </c>
      <c r="O837" s="3" t="s">
        <v>64</v>
      </c>
      <c r="P837" s="3" t="s">
        <v>65</v>
      </c>
    </row>
    <row r="838" customFormat="false" ht="15" hidden="false" customHeight="false" outlineLevel="0" collapsed="false">
      <c r="A838" s="3" t="s">
        <v>1445</v>
      </c>
      <c r="B838" s="3" t="s">
        <v>364</v>
      </c>
      <c r="C838" s="3" t="s">
        <v>365</v>
      </c>
      <c r="D838" s="4" t="n">
        <v>517.05</v>
      </c>
      <c r="E838" s="3" t="s">
        <v>60</v>
      </c>
      <c r="F838" s="3" t="n">
        <v>77.99</v>
      </c>
      <c r="G838" s="3" t="s">
        <v>60</v>
      </c>
      <c r="H838" s="3" t="s">
        <v>60</v>
      </c>
      <c r="I838" s="3" t="n">
        <v>15515950</v>
      </c>
      <c r="J838" s="3" t="n">
        <v>216450</v>
      </c>
      <c r="K838" s="3" t="s">
        <v>61</v>
      </c>
      <c r="L838" s="3" t="s">
        <v>62</v>
      </c>
      <c r="M838" s="3" t="s">
        <v>1453</v>
      </c>
      <c r="N838" s="3" t="n">
        <v>9</v>
      </c>
      <c r="O838" s="3" t="s">
        <v>64</v>
      </c>
      <c r="P838" s="3" t="s">
        <v>65</v>
      </c>
    </row>
    <row r="839" customFormat="false" ht="15" hidden="false" customHeight="false" outlineLevel="0" collapsed="false">
      <c r="A839" s="3" t="s">
        <v>1445</v>
      </c>
      <c r="B839" s="3" t="s">
        <v>525</v>
      </c>
      <c r="C839" s="3" t="s">
        <v>526</v>
      </c>
      <c r="D839" s="4" t="n">
        <v>241.35</v>
      </c>
      <c r="E839" s="3" t="s">
        <v>60</v>
      </c>
      <c r="F839" s="3" t="n">
        <v>69.67</v>
      </c>
      <c r="G839" s="3" t="s">
        <v>60</v>
      </c>
      <c r="H839" s="3" t="s">
        <v>60</v>
      </c>
      <c r="I839" s="3" t="n">
        <v>226528250</v>
      </c>
      <c r="J839" s="3" t="n">
        <v>171550</v>
      </c>
      <c r="K839" s="3" t="s">
        <v>61</v>
      </c>
      <c r="L839" s="3" t="s">
        <v>62</v>
      </c>
      <c r="M839" s="3" t="s">
        <v>1454</v>
      </c>
      <c r="N839" s="3" t="n">
        <v>5</v>
      </c>
      <c r="O839" s="3" t="s">
        <v>64</v>
      </c>
      <c r="P839" s="3" t="s">
        <v>65</v>
      </c>
    </row>
    <row r="840" customFormat="false" ht="15" hidden="false" customHeight="false" outlineLevel="0" collapsed="false">
      <c r="A840" s="3" t="s">
        <v>1445</v>
      </c>
      <c r="B840" s="3" t="s">
        <v>544</v>
      </c>
      <c r="C840" s="3" t="s">
        <v>545</v>
      </c>
      <c r="D840" s="4" t="n">
        <v>1496.5</v>
      </c>
      <c r="E840" s="3" t="s">
        <v>60</v>
      </c>
      <c r="F840" s="3" t="n">
        <v>74.71</v>
      </c>
      <c r="G840" s="3" t="s">
        <v>60</v>
      </c>
      <c r="H840" s="3" t="s">
        <v>60</v>
      </c>
      <c r="I840" s="3" t="n">
        <v>9955500</v>
      </c>
      <c r="J840" s="3" t="n">
        <v>43000</v>
      </c>
      <c r="K840" s="3" t="s">
        <v>61</v>
      </c>
      <c r="L840" s="3" t="s">
        <v>62</v>
      </c>
      <c r="M840" s="3" t="s">
        <v>1455</v>
      </c>
      <c r="N840" s="3" t="n">
        <v>3</v>
      </c>
      <c r="O840" s="3" t="s">
        <v>64</v>
      </c>
      <c r="P840" s="3" t="s">
        <v>65</v>
      </c>
    </row>
    <row r="841" customFormat="false" ht="15" hidden="false" customHeight="false" outlineLevel="0" collapsed="false">
      <c r="A841" s="3" t="s">
        <v>1445</v>
      </c>
      <c r="B841" s="3" t="s">
        <v>1036</v>
      </c>
      <c r="C841" s="3" t="s">
        <v>1037</v>
      </c>
      <c r="D841" s="4" t="n">
        <v>12540</v>
      </c>
      <c r="E841" s="3" t="s">
        <v>60</v>
      </c>
      <c r="F841" s="3" t="n">
        <v>58.31</v>
      </c>
      <c r="G841" s="3" t="s">
        <v>60</v>
      </c>
      <c r="H841" s="3" t="s">
        <v>60</v>
      </c>
      <c r="I841" s="3" t="n">
        <v>1187900</v>
      </c>
      <c r="J841" s="3" t="n">
        <v>27800</v>
      </c>
      <c r="K841" s="3" t="s">
        <v>61</v>
      </c>
      <c r="L841" s="3" t="s">
        <v>62</v>
      </c>
      <c r="M841" s="3" t="s">
        <v>1456</v>
      </c>
      <c r="N841" s="3" t="n">
        <v>1</v>
      </c>
      <c r="O841" s="3" t="s">
        <v>64</v>
      </c>
      <c r="P841" s="3" t="s">
        <v>65</v>
      </c>
    </row>
    <row r="842" customFormat="false" ht="15" hidden="false" customHeight="false" outlineLevel="0" collapsed="false">
      <c r="A842" s="3" t="s">
        <v>1445</v>
      </c>
      <c r="B842" s="3" t="s">
        <v>117</v>
      </c>
      <c r="C842" s="3" t="s">
        <v>118</v>
      </c>
      <c r="D842" s="4" t="n">
        <v>300.6</v>
      </c>
      <c r="E842" s="3" t="s">
        <v>60</v>
      </c>
      <c r="F842" s="3" t="n">
        <v>72.83</v>
      </c>
      <c r="G842" s="3" t="s">
        <v>60</v>
      </c>
      <c r="H842" s="3" t="s">
        <v>60</v>
      </c>
      <c r="I842" s="3" t="n">
        <v>28437300</v>
      </c>
      <c r="J842" s="3" t="n">
        <v>634600</v>
      </c>
      <c r="K842" s="3" t="s">
        <v>61</v>
      </c>
      <c r="L842" s="3" t="s">
        <v>62</v>
      </c>
      <c r="M842" s="3" t="s">
        <v>1457</v>
      </c>
      <c r="N842" s="3" t="n">
        <v>5</v>
      </c>
      <c r="O842" s="3" t="s">
        <v>64</v>
      </c>
      <c r="P842" s="3" t="s">
        <v>65</v>
      </c>
    </row>
    <row r="843" customFormat="false" ht="15" hidden="false" customHeight="false" outlineLevel="0" collapsed="false">
      <c r="A843" s="3" t="s">
        <v>1445</v>
      </c>
      <c r="B843" s="3" t="s">
        <v>550</v>
      </c>
      <c r="C843" s="3" t="s">
        <v>551</v>
      </c>
      <c r="D843" s="4" t="n">
        <v>1633</v>
      </c>
      <c r="E843" s="3" t="s">
        <v>60</v>
      </c>
      <c r="F843" s="3" t="n">
        <v>58.88</v>
      </c>
      <c r="G843" s="3" t="s">
        <v>60</v>
      </c>
      <c r="H843" s="3" t="s">
        <v>60</v>
      </c>
      <c r="I843" s="3" t="n">
        <v>5402700</v>
      </c>
      <c r="J843" s="3" t="n">
        <v>40500</v>
      </c>
      <c r="K843" s="3" t="s">
        <v>61</v>
      </c>
      <c r="L843" s="3" t="s">
        <v>62</v>
      </c>
      <c r="M843" s="3" t="s">
        <v>1458</v>
      </c>
      <c r="N843" s="3" t="n">
        <v>4</v>
      </c>
      <c r="O843" s="3" t="s">
        <v>64</v>
      </c>
      <c r="P843" s="3" t="s">
        <v>65</v>
      </c>
    </row>
    <row r="844" customFormat="false" ht="15" hidden="false" customHeight="false" outlineLevel="0" collapsed="false">
      <c r="A844" s="3" t="s">
        <v>1445</v>
      </c>
      <c r="B844" s="3" t="s">
        <v>623</v>
      </c>
      <c r="C844" s="3" t="s">
        <v>624</v>
      </c>
      <c r="D844" s="4" t="n">
        <v>1984.8</v>
      </c>
      <c r="E844" s="3" t="s">
        <v>60</v>
      </c>
      <c r="F844" s="3" t="n">
        <v>71.47</v>
      </c>
      <c r="G844" s="3" t="s">
        <v>60</v>
      </c>
      <c r="H844" s="3" t="s">
        <v>60</v>
      </c>
      <c r="I844" s="3" t="n">
        <v>16836050</v>
      </c>
      <c r="J844" s="3" t="n">
        <v>20300</v>
      </c>
      <c r="K844" s="3" t="s">
        <v>61</v>
      </c>
      <c r="L844" s="3" t="s">
        <v>62</v>
      </c>
      <c r="M844" s="3" t="s">
        <v>1459</v>
      </c>
      <c r="N844" s="3" t="n">
        <v>6</v>
      </c>
      <c r="O844" s="3" t="s">
        <v>64</v>
      </c>
      <c r="P844" s="3" t="s">
        <v>65</v>
      </c>
    </row>
    <row r="845" customFormat="false" ht="15" hidden="false" customHeight="false" outlineLevel="0" collapsed="false">
      <c r="A845" s="3" t="s">
        <v>1445</v>
      </c>
      <c r="B845" s="3" t="s">
        <v>148</v>
      </c>
      <c r="C845" s="3" t="s">
        <v>149</v>
      </c>
      <c r="D845" s="4" t="n">
        <v>5066</v>
      </c>
      <c r="E845" s="3" t="s">
        <v>60</v>
      </c>
      <c r="F845" s="3" t="n">
        <v>77.37</v>
      </c>
      <c r="G845" s="3" t="s">
        <v>60</v>
      </c>
      <c r="H845" s="3" t="s">
        <v>60</v>
      </c>
      <c r="I845" s="3" t="n">
        <v>2982375</v>
      </c>
      <c r="J845" s="3" t="n">
        <v>2750</v>
      </c>
      <c r="K845" s="3" t="s">
        <v>61</v>
      </c>
      <c r="L845" s="3" t="s">
        <v>62</v>
      </c>
      <c r="M845" s="3" t="s">
        <v>1460</v>
      </c>
      <c r="N845" s="3" t="n">
        <v>5</v>
      </c>
      <c r="O845" s="3" t="s">
        <v>64</v>
      </c>
      <c r="P845" s="3" t="s">
        <v>65</v>
      </c>
    </row>
    <row r="846" customFormat="false" ht="15" hidden="false" customHeight="false" outlineLevel="0" collapsed="false">
      <c r="A846" s="3" t="s">
        <v>1445</v>
      </c>
      <c r="B846" s="3" t="s">
        <v>223</v>
      </c>
      <c r="C846" s="3" t="s">
        <v>224</v>
      </c>
      <c r="D846" s="4" t="n">
        <v>184.5</v>
      </c>
      <c r="E846" s="3" t="s">
        <v>60</v>
      </c>
      <c r="F846" s="3" t="n">
        <v>63.43</v>
      </c>
      <c r="G846" s="3" t="s">
        <v>60</v>
      </c>
      <c r="H846" s="3" t="s">
        <v>60</v>
      </c>
      <c r="I846" s="3" t="n">
        <v>198018000</v>
      </c>
      <c r="J846" s="3" t="n">
        <v>2700000</v>
      </c>
      <c r="K846" s="3" t="s">
        <v>61</v>
      </c>
      <c r="L846" s="3" t="s">
        <v>62</v>
      </c>
      <c r="M846" s="3" t="s">
        <v>1461</v>
      </c>
      <c r="N846" s="3" t="n">
        <v>5</v>
      </c>
      <c r="O846" s="3" t="s">
        <v>64</v>
      </c>
      <c r="P846" s="3" t="s">
        <v>65</v>
      </c>
    </row>
    <row r="847" customFormat="false" ht="15" hidden="false" customHeight="false" outlineLevel="0" collapsed="false">
      <c r="A847" s="3" t="s">
        <v>1462</v>
      </c>
      <c r="B847" s="3" t="s">
        <v>484</v>
      </c>
      <c r="C847" s="3" t="s">
        <v>485</v>
      </c>
      <c r="D847" s="4" t="n">
        <v>397.05</v>
      </c>
      <c r="E847" s="3" t="s">
        <v>60</v>
      </c>
      <c r="F847" s="3" t="n">
        <v>57.56</v>
      </c>
      <c r="G847" s="3" t="s">
        <v>60</v>
      </c>
      <c r="H847" s="3" t="s">
        <v>60</v>
      </c>
      <c r="I847" s="3" t="n">
        <v>40045800</v>
      </c>
      <c r="J847" s="3" t="n">
        <v>161200</v>
      </c>
      <c r="K847" s="3" t="s">
        <v>61</v>
      </c>
      <c r="L847" s="3" t="s">
        <v>62</v>
      </c>
      <c r="M847" s="3" t="s">
        <v>1463</v>
      </c>
      <c r="N847" s="3" t="n">
        <v>2</v>
      </c>
      <c r="O847" s="3" t="s">
        <v>64</v>
      </c>
      <c r="P847" s="3" t="s">
        <v>65</v>
      </c>
    </row>
    <row r="848" customFormat="false" ht="15" hidden="false" customHeight="false" outlineLevel="0" collapsed="false">
      <c r="A848" s="3" t="s">
        <v>1462</v>
      </c>
      <c r="B848" s="3" t="s">
        <v>490</v>
      </c>
      <c r="C848" s="3" t="s">
        <v>491</v>
      </c>
      <c r="D848" s="4" t="n">
        <v>319.6</v>
      </c>
      <c r="E848" s="3" t="s">
        <v>60</v>
      </c>
      <c r="F848" s="3" t="n">
        <v>57.93</v>
      </c>
      <c r="G848" s="3" t="s">
        <v>60</v>
      </c>
      <c r="H848" s="3" t="s">
        <v>60</v>
      </c>
      <c r="I848" s="3" t="n">
        <v>30612500</v>
      </c>
      <c r="J848" s="3" t="n">
        <v>110600</v>
      </c>
      <c r="K848" s="3" t="s">
        <v>61</v>
      </c>
      <c r="L848" s="3" t="s">
        <v>62</v>
      </c>
      <c r="M848" s="3" t="s">
        <v>1464</v>
      </c>
      <c r="N848" s="3" t="n">
        <v>5</v>
      </c>
      <c r="O848" s="3" t="s">
        <v>64</v>
      </c>
      <c r="P848" s="3" t="s">
        <v>65</v>
      </c>
    </row>
    <row r="849" customFormat="false" ht="15" hidden="false" customHeight="false" outlineLevel="0" collapsed="false">
      <c r="A849" s="3" t="s">
        <v>1465</v>
      </c>
      <c r="B849" s="3" t="s">
        <v>487</v>
      </c>
      <c r="C849" s="3" t="s">
        <v>488</v>
      </c>
      <c r="D849" s="4" t="n">
        <v>11165</v>
      </c>
      <c r="E849" s="3" t="s">
        <v>60</v>
      </c>
      <c r="F849" s="3" t="n">
        <v>67.75</v>
      </c>
      <c r="G849" s="3" t="s">
        <v>60</v>
      </c>
      <c r="H849" s="3" t="s">
        <v>60</v>
      </c>
      <c r="I849" s="3" t="n">
        <v>252600</v>
      </c>
      <c r="J849" s="3" t="n">
        <v>525</v>
      </c>
      <c r="K849" s="3" t="s">
        <v>61</v>
      </c>
      <c r="L849" s="3" t="s">
        <v>62</v>
      </c>
      <c r="M849" s="3" t="s">
        <v>1466</v>
      </c>
      <c r="N849" s="3" t="n">
        <v>4</v>
      </c>
      <c r="O849" s="3" t="s">
        <v>64</v>
      </c>
      <c r="P849" s="3" t="s">
        <v>65</v>
      </c>
    </row>
    <row r="850" customFormat="false" ht="15" hidden="false" customHeight="false" outlineLevel="0" collapsed="false">
      <c r="A850" s="3" t="s">
        <v>1465</v>
      </c>
      <c r="B850" s="3" t="s">
        <v>187</v>
      </c>
      <c r="C850" s="3" t="s">
        <v>188</v>
      </c>
      <c r="D850" s="4" t="n">
        <v>87.5</v>
      </c>
      <c r="E850" s="3" t="s">
        <v>60</v>
      </c>
      <c r="F850" s="3" t="n">
        <v>57.69</v>
      </c>
      <c r="G850" s="3" t="s">
        <v>60</v>
      </c>
      <c r="H850" s="3" t="s">
        <v>60</v>
      </c>
      <c r="I850" s="3" t="n">
        <v>375841550</v>
      </c>
      <c r="J850" s="3" t="n">
        <v>6984075</v>
      </c>
      <c r="K850" s="3" t="s">
        <v>61</v>
      </c>
      <c r="L850" s="3" t="s">
        <v>62</v>
      </c>
      <c r="M850" s="3" t="s">
        <v>1467</v>
      </c>
      <c r="N850" s="3" t="n">
        <v>3</v>
      </c>
      <c r="O850" s="3" t="s">
        <v>64</v>
      </c>
      <c r="P850" s="3" t="s">
        <v>65</v>
      </c>
    </row>
    <row r="851" customFormat="false" ht="15" hidden="false" customHeight="false" outlineLevel="0" collapsed="false">
      <c r="A851" s="3" t="s">
        <v>1465</v>
      </c>
      <c r="B851" s="3" t="s">
        <v>1468</v>
      </c>
      <c r="C851" s="3" t="s">
        <v>1469</v>
      </c>
      <c r="D851" s="4" t="n">
        <v>732</v>
      </c>
      <c r="E851" s="3" t="s">
        <v>60</v>
      </c>
      <c r="F851" s="3" t="n">
        <v>55.48</v>
      </c>
      <c r="G851" s="3" t="s">
        <v>60</v>
      </c>
      <c r="H851" s="3" t="s">
        <v>60</v>
      </c>
      <c r="I851" s="3" t="n">
        <v>26692000</v>
      </c>
      <c r="J851" s="3" t="n">
        <v>227000</v>
      </c>
      <c r="K851" s="3" t="s">
        <v>61</v>
      </c>
      <c r="L851" s="3" t="s">
        <v>62</v>
      </c>
      <c r="M851" s="3" t="s">
        <v>1470</v>
      </c>
      <c r="N851" s="3" t="n">
        <v>0</v>
      </c>
      <c r="O851" s="3" t="s">
        <v>64</v>
      </c>
      <c r="P851" s="3" t="s">
        <v>65</v>
      </c>
    </row>
    <row r="852" customFormat="false" ht="15" hidden="false" customHeight="false" outlineLevel="0" collapsed="false">
      <c r="A852" s="3" t="s">
        <v>1465</v>
      </c>
      <c r="B852" s="3" t="s">
        <v>550</v>
      </c>
      <c r="C852" s="3" t="s">
        <v>551</v>
      </c>
      <c r="D852" s="4" t="n">
        <v>1615.2</v>
      </c>
      <c r="E852" s="3" t="s">
        <v>60</v>
      </c>
      <c r="F852" s="3" t="n">
        <v>51.35</v>
      </c>
      <c r="G852" s="3" t="s">
        <v>60</v>
      </c>
      <c r="H852" s="3" t="s">
        <v>60</v>
      </c>
      <c r="I852" s="3" t="n">
        <v>5643900</v>
      </c>
      <c r="J852" s="3" t="n">
        <v>21600</v>
      </c>
      <c r="K852" s="3" t="s">
        <v>61</v>
      </c>
      <c r="L852" s="3" t="s">
        <v>62</v>
      </c>
      <c r="M852" s="3" t="s">
        <v>1471</v>
      </c>
      <c r="N852" s="3" t="n">
        <v>5</v>
      </c>
      <c r="O852" s="3" t="s">
        <v>64</v>
      </c>
      <c r="P852" s="3" t="s">
        <v>65</v>
      </c>
    </row>
    <row r="853" customFormat="false" ht="15" hidden="false" customHeight="false" outlineLevel="0" collapsed="false">
      <c r="A853" s="3" t="s">
        <v>1465</v>
      </c>
      <c r="B853" s="3" t="s">
        <v>912</v>
      </c>
      <c r="C853" s="3" t="s">
        <v>913</v>
      </c>
      <c r="D853" s="4" t="n">
        <v>269.3</v>
      </c>
      <c r="E853" s="3" t="s">
        <v>60</v>
      </c>
      <c r="F853" s="3" t="n">
        <v>62.33</v>
      </c>
      <c r="G853" s="3" t="s">
        <v>60</v>
      </c>
      <c r="H853" s="3" t="s">
        <v>60</v>
      </c>
      <c r="I853" s="3" t="n">
        <v>87054325</v>
      </c>
      <c r="J853" s="3" t="n">
        <v>10521125</v>
      </c>
      <c r="K853" s="3" t="s">
        <v>61</v>
      </c>
      <c r="L853" s="3" t="s">
        <v>62</v>
      </c>
      <c r="M853" s="3" t="s">
        <v>1472</v>
      </c>
      <c r="N853" s="3" t="n">
        <v>1</v>
      </c>
      <c r="O853" s="3" t="s">
        <v>64</v>
      </c>
      <c r="P853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90"/>
    <col collapsed="false" customWidth="true" hidden="false" outlineLevel="0" max="10" min="10" style="0" width="9"/>
  </cols>
  <sheetData>
    <row r="1" customFormat="false" ht="23.85" hidden="false" customHeight="false" outlineLevel="0" collapsed="false">
      <c r="A1" s="5" t="s">
        <v>41</v>
      </c>
      <c r="B1" s="5" t="s">
        <v>42</v>
      </c>
      <c r="C1" s="5" t="s">
        <v>44</v>
      </c>
      <c r="D1" s="5" t="s">
        <v>1473</v>
      </c>
      <c r="E1" s="5" t="s">
        <v>1474</v>
      </c>
      <c r="F1" s="5" t="s">
        <v>1475</v>
      </c>
      <c r="G1" s="5" t="s">
        <v>1476</v>
      </c>
      <c r="H1" s="5" t="s">
        <v>1477</v>
      </c>
      <c r="I1" s="5" t="s">
        <v>1478</v>
      </c>
      <c r="J1" s="5" t="s">
        <v>54</v>
      </c>
    </row>
    <row r="2" customFormat="false" ht="15" hidden="false" customHeight="false" outlineLevel="0" collapsed="false">
      <c r="A2" s="3" t="s">
        <v>57</v>
      </c>
      <c r="B2" s="3" t="s">
        <v>58</v>
      </c>
      <c r="C2" s="4" t="n">
        <v>1731.1</v>
      </c>
      <c r="D2" s="4" t="n">
        <v>2197</v>
      </c>
      <c r="E2" s="3" t="s">
        <v>1479</v>
      </c>
      <c r="F2" s="4" t="n">
        <f aca="false">IF(AND(ISNUMBER(C2),ISNUMBER(D2)),D2-C2,"N/A")</f>
        <v>465.9</v>
      </c>
      <c r="G2" s="6" t="n">
        <f aca="false">IF(ISNUMBER(F2),F2/C2*100,"N/A")</f>
        <v>26.9135231933453</v>
      </c>
      <c r="H2" s="3" t="str">
        <f aca="false">IF(NOT(ISNUMBER(F2)),"NO CURRENT DATA",IF(F2&gt;0,"RISEN",IF(F2&lt;0,"FALLEN","UNCHANGED")))</f>
        <v>RISEN</v>
      </c>
      <c r="I2" s="3" t="s">
        <v>1480</v>
      </c>
      <c r="J2" s="3" t="n">
        <v>0</v>
      </c>
    </row>
    <row r="3" customFormat="false" ht="15" hidden="false" customHeight="false" outlineLevel="0" collapsed="false">
      <c r="A3" s="3" t="s">
        <v>57</v>
      </c>
      <c r="B3" s="3" t="s">
        <v>66</v>
      </c>
      <c r="C3" s="4" t="n">
        <v>5710</v>
      </c>
      <c r="D3" s="4" t="n">
        <v>9550</v>
      </c>
      <c r="E3" s="3" t="s">
        <v>1479</v>
      </c>
      <c r="F3" s="4" t="n">
        <f aca="false">IF(AND(ISNUMBER(C3),ISNUMBER(D3)),D3-C3,"N/A")</f>
        <v>3840</v>
      </c>
      <c r="G3" s="6" t="n">
        <f aca="false">IF(ISNUMBER(F3),F3/C3*100,"N/A")</f>
        <v>67.2504378283713</v>
      </c>
      <c r="H3" s="3" t="str">
        <f aca="false">IF(NOT(ISNUMBER(F3)),"NO CURRENT DATA",IF(F3&gt;0,"RISEN",IF(F3&lt;0,"FALLEN","UNCHANGED")))</f>
        <v>RISEN</v>
      </c>
      <c r="I3" s="3" t="s">
        <v>1480</v>
      </c>
      <c r="J3" s="3" t="n">
        <v>0</v>
      </c>
    </row>
    <row r="4" customFormat="false" ht="15" hidden="false" customHeight="false" outlineLevel="0" collapsed="false">
      <c r="A4" s="3" t="s">
        <v>57</v>
      </c>
      <c r="B4" s="3" t="s">
        <v>71</v>
      </c>
      <c r="C4" s="4" t="n">
        <v>989.65</v>
      </c>
      <c r="D4" s="4" t="n">
        <v>830.75</v>
      </c>
      <c r="E4" s="3" t="s">
        <v>1479</v>
      </c>
      <c r="F4" s="4" t="n">
        <f aca="false">IF(AND(ISNUMBER(C4),ISNUMBER(D4)),D4-C4,"N/A")</f>
        <v>-158.9</v>
      </c>
      <c r="G4" s="6" t="n">
        <f aca="false">IF(ISNUMBER(F4),F4/C4*100,"N/A")</f>
        <v>-16.0561814783004</v>
      </c>
      <c r="H4" s="3" t="str">
        <f aca="false">IF(NOT(ISNUMBER(F4)),"NO CURRENT DATA",IF(F4&gt;0,"RISEN",IF(F4&lt;0,"FALLEN","UNCHANGED")))</f>
        <v>FALLEN</v>
      </c>
      <c r="I4" s="3" t="s">
        <v>1480</v>
      </c>
      <c r="J4" s="3" t="n">
        <v>0</v>
      </c>
    </row>
    <row r="5" customFormat="false" ht="15" hidden="false" customHeight="false" outlineLevel="0" collapsed="false">
      <c r="A5" s="3" t="s">
        <v>57</v>
      </c>
      <c r="B5" s="3" t="s">
        <v>74</v>
      </c>
      <c r="C5" s="4" t="n">
        <v>1903.6</v>
      </c>
      <c r="D5" s="4" t="n">
        <v>1540</v>
      </c>
      <c r="E5" s="3" t="s">
        <v>1479</v>
      </c>
      <c r="F5" s="4" t="n">
        <f aca="false">IF(AND(ISNUMBER(C5),ISNUMBER(D5)),D5-C5,"N/A")</f>
        <v>-363.6</v>
      </c>
      <c r="G5" s="6" t="n">
        <f aca="false">IF(ISNUMBER(F5),F5/C5*100,"N/A")</f>
        <v>-19.1006513973524</v>
      </c>
      <c r="H5" s="3" t="str">
        <f aca="false">IF(NOT(ISNUMBER(F5)),"NO CURRENT DATA",IF(F5&gt;0,"RISEN",IF(F5&lt;0,"FALLEN","UNCHANGED")))</f>
        <v>FALLEN</v>
      </c>
      <c r="I5" s="3" t="s">
        <v>1480</v>
      </c>
      <c r="J5" s="3" t="n">
        <v>0</v>
      </c>
    </row>
    <row r="6" customFormat="false" ht="15" hidden="false" customHeight="false" outlineLevel="0" collapsed="false">
      <c r="A6" s="3" t="s">
        <v>57</v>
      </c>
      <c r="B6" s="3" t="s">
        <v>77</v>
      </c>
      <c r="C6" s="4" t="n">
        <v>141.18</v>
      </c>
      <c r="D6" s="4" t="n">
        <v>111.35</v>
      </c>
      <c r="E6" s="3" t="s">
        <v>1479</v>
      </c>
      <c r="F6" s="4" t="n">
        <f aca="false">IF(AND(ISNUMBER(C6),ISNUMBER(D6)),D6-C6,"N/A")</f>
        <v>-29.83</v>
      </c>
      <c r="G6" s="6" t="n">
        <f aca="false">IF(ISNUMBER(F6),F6/C6*100,"N/A")</f>
        <v>-21.1290551069557</v>
      </c>
      <c r="H6" s="3" t="str">
        <f aca="false">IF(NOT(ISNUMBER(F6)),"NO CURRENT DATA",IF(F6&gt;0,"RISEN",IF(F6&lt;0,"FALLEN","UNCHANGED")))</f>
        <v>FALLEN</v>
      </c>
      <c r="I6" s="3" t="s">
        <v>1480</v>
      </c>
      <c r="J6" s="3" t="n">
        <v>0</v>
      </c>
    </row>
    <row r="7" customFormat="false" ht="15" hidden="false" customHeight="false" outlineLevel="0" collapsed="false">
      <c r="A7" s="3" t="s">
        <v>57</v>
      </c>
      <c r="B7" s="3" t="s">
        <v>80</v>
      </c>
      <c r="C7" s="4" t="n">
        <v>1621.9</v>
      </c>
      <c r="D7" s="4" t="n">
        <v>1444</v>
      </c>
      <c r="E7" s="3" t="s">
        <v>1479</v>
      </c>
      <c r="F7" s="4" t="n">
        <f aca="false">IF(AND(ISNUMBER(C7),ISNUMBER(D7)),D7-C7,"N/A")</f>
        <v>-177.9</v>
      </c>
      <c r="G7" s="6" t="n">
        <f aca="false">IF(ISNUMBER(F7),F7/C7*100,"N/A")</f>
        <v>-10.9686170540724</v>
      </c>
      <c r="H7" s="3" t="str">
        <f aca="false">IF(NOT(ISNUMBER(F7)),"NO CURRENT DATA",IF(F7&gt;0,"RISEN",IF(F7&lt;0,"FALLEN","UNCHANGED")))</f>
        <v>FALLEN</v>
      </c>
      <c r="I7" s="3" t="s">
        <v>1480</v>
      </c>
      <c r="J7" s="3" t="n">
        <v>0</v>
      </c>
    </row>
    <row r="8" customFormat="false" ht="15" hidden="false" customHeight="false" outlineLevel="0" collapsed="false">
      <c r="A8" s="3" t="s">
        <v>57</v>
      </c>
      <c r="B8" s="3" t="s">
        <v>83</v>
      </c>
      <c r="C8" s="4" t="n">
        <v>2907.1</v>
      </c>
      <c r="D8" s="4" t="n">
        <v>2491.5</v>
      </c>
      <c r="E8" s="3" t="s">
        <v>1479</v>
      </c>
      <c r="F8" s="4" t="n">
        <f aca="false">IF(AND(ISNUMBER(C8),ISNUMBER(D8)),D8-C8,"N/A")</f>
        <v>-415.6</v>
      </c>
      <c r="G8" s="6" t="n">
        <f aca="false">IF(ISNUMBER(F8),F8/C8*100,"N/A")</f>
        <v>-14.2960338481648</v>
      </c>
      <c r="H8" s="3" t="str">
        <f aca="false">IF(NOT(ISNUMBER(F8)),"NO CURRENT DATA",IF(F8&gt;0,"RISEN",IF(F8&lt;0,"FALLEN","UNCHANGED")))</f>
        <v>FALLEN</v>
      </c>
      <c r="I8" s="3" t="s">
        <v>1480</v>
      </c>
      <c r="J8" s="3" t="n">
        <v>0</v>
      </c>
    </row>
    <row r="9" customFormat="false" ht="15" hidden="false" customHeight="false" outlineLevel="0" collapsed="false">
      <c r="A9" s="3" t="s">
        <v>57</v>
      </c>
      <c r="B9" s="3" t="s">
        <v>86</v>
      </c>
      <c r="C9" s="4" t="n">
        <v>21.76</v>
      </c>
      <c r="D9" s="4" t="n">
        <v>21.18</v>
      </c>
      <c r="E9" s="3" t="s">
        <v>1479</v>
      </c>
      <c r="F9" s="4" t="n">
        <f aca="false">IF(AND(ISNUMBER(C9),ISNUMBER(D9)),D9-C9,"N/A")</f>
        <v>-0.580000000000002</v>
      </c>
      <c r="G9" s="6" t="n">
        <f aca="false">IF(ISNUMBER(F9),F9/C9*100,"N/A")</f>
        <v>-2.6654411764706</v>
      </c>
      <c r="H9" s="3" t="str">
        <f aca="false">IF(NOT(ISNUMBER(F9)),"NO CURRENT DATA",IF(F9&gt;0,"RISEN",IF(F9&lt;0,"FALLEN","UNCHANGED")))</f>
        <v>FALLEN</v>
      </c>
      <c r="I9" s="3" t="s">
        <v>1480</v>
      </c>
      <c r="J9" s="3" t="n">
        <v>0</v>
      </c>
    </row>
    <row r="10" customFormat="false" ht="15" hidden="false" customHeight="false" outlineLevel="0" collapsed="false">
      <c r="A10" s="3" t="s">
        <v>89</v>
      </c>
      <c r="B10" s="3" t="s">
        <v>90</v>
      </c>
      <c r="C10" s="4" t="n">
        <v>8679.5</v>
      </c>
      <c r="D10" s="4" t="n">
        <v>11024</v>
      </c>
      <c r="E10" s="3" t="s">
        <v>1479</v>
      </c>
      <c r="F10" s="4" t="n">
        <f aca="false">IF(AND(ISNUMBER(C10),ISNUMBER(D10)),D10-C10,"N/A")</f>
        <v>2344.5</v>
      </c>
      <c r="G10" s="6" t="n">
        <f aca="false">IF(ISNUMBER(F10),F10/C10*100,"N/A")</f>
        <v>27.0119246500374</v>
      </c>
      <c r="H10" s="3" t="str">
        <f aca="false">IF(NOT(ISNUMBER(F10)),"NO CURRENT DATA",IF(F10&gt;0,"RISEN",IF(F10&lt;0,"FALLEN","UNCHANGED")))</f>
        <v>RISEN</v>
      </c>
      <c r="I10" s="3" t="s">
        <v>1480</v>
      </c>
      <c r="J10" s="3" t="n">
        <v>0</v>
      </c>
    </row>
    <row r="11" customFormat="false" ht="15" hidden="false" customHeight="false" outlineLevel="0" collapsed="false">
      <c r="A11" s="3" t="s">
        <v>89</v>
      </c>
      <c r="B11" s="3" t="s">
        <v>93</v>
      </c>
      <c r="C11" s="4" t="n">
        <v>2253.7</v>
      </c>
      <c r="D11" s="4" t="n">
        <v>1651.6</v>
      </c>
      <c r="E11" s="3" t="s">
        <v>1479</v>
      </c>
      <c r="F11" s="4" t="n">
        <f aca="false">IF(AND(ISNUMBER(C11),ISNUMBER(D11)),D11-C11,"N/A")</f>
        <v>-602.1</v>
      </c>
      <c r="G11" s="6" t="n">
        <f aca="false">IF(ISNUMBER(F11),F11/C11*100,"N/A")</f>
        <v>-26.7160669121888</v>
      </c>
      <c r="H11" s="3" t="str">
        <f aca="false">IF(NOT(ISNUMBER(F11)),"NO CURRENT DATA",IF(F11&gt;0,"RISEN",IF(F11&lt;0,"FALLEN","UNCHANGED")))</f>
        <v>FALLEN</v>
      </c>
      <c r="I11" s="3" t="s">
        <v>1480</v>
      </c>
      <c r="J11" s="3" t="n">
        <v>0</v>
      </c>
    </row>
    <row r="12" customFormat="false" ht="15" hidden="false" customHeight="false" outlineLevel="0" collapsed="false">
      <c r="A12" s="3" t="s">
        <v>89</v>
      </c>
      <c r="B12" s="3" t="s">
        <v>96</v>
      </c>
      <c r="C12" s="4" t="n">
        <v>437.3</v>
      </c>
      <c r="D12" s="4" t="n">
        <v>407.5</v>
      </c>
      <c r="E12" s="3" t="s">
        <v>1479</v>
      </c>
      <c r="F12" s="4" t="n">
        <f aca="false">IF(AND(ISNUMBER(C12),ISNUMBER(D12)),D12-C12,"N/A")</f>
        <v>-29.8</v>
      </c>
      <c r="G12" s="6" t="n">
        <f aca="false">IF(ISNUMBER(F12),F12/C12*100,"N/A")</f>
        <v>-6.81454379144752</v>
      </c>
      <c r="H12" s="3" t="str">
        <f aca="false">IF(NOT(ISNUMBER(F12)),"NO CURRENT DATA",IF(F12&gt;0,"RISEN",IF(F12&lt;0,"FALLEN","UNCHANGED")))</f>
        <v>FALLEN</v>
      </c>
      <c r="I12" s="3" t="s">
        <v>1480</v>
      </c>
      <c r="J12" s="3" t="n">
        <v>0</v>
      </c>
    </row>
    <row r="13" customFormat="false" ht="15" hidden="false" customHeight="false" outlineLevel="0" collapsed="false">
      <c r="A13" s="3" t="s">
        <v>89</v>
      </c>
      <c r="B13" s="3" t="s">
        <v>66</v>
      </c>
      <c r="C13" s="4" t="n">
        <v>5866</v>
      </c>
      <c r="D13" s="4" t="n">
        <v>9550</v>
      </c>
      <c r="E13" s="3" t="s">
        <v>1479</v>
      </c>
      <c r="F13" s="4" t="n">
        <f aca="false">IF(AND(ISNUMBER(C13),ISNUMBER(D13)),D13-C13,"N/A")</f>
        <v>3684</v>
      </c>
      <c r="G13" s="6" t="n">
        <f aca="false">IF(ISNUMBER(F13),F13/C13*100,"N/A")</f>
        <v>62.8025912035459</v>
      </c>
      <c r="H13" s="3" t="str">
        <f aca="false">IF(NOT(ISNUMBER(F13)),"NO CURRENT DATA",IF(F13&gt;0,"RISEN",IF(F13&lt;0,"FALLEN","UNCHANGED")))</f>
        <v>RISEN</v>
      </c>
      <c r="I13" s="3" t="s">
        <v>1480</v>
      </c>
      <c r="J13" s="3" t="n">
        <v>0</v>
      </c>
    </row>
    <row r="14" customFormat="false" ht="15" hidden="false" customHeight="false" outlineLevel="0" collapsed="false">
      <c r="A14" s="3" t="s">
        <v>89</v>
      </c>
      <c r="B14" s="3" t="s">
        <v>101</v>
      </c>
      <c r="C14" s="4" t="n">
        <v>5591</v>
      </c>
      <c r="D14" s="4" t="n">
        <v>2302.3</v>
      </c>
      <c r="E14" s="3" t="s">
        <v>1479</v>
      </c>
      <c r="F14" s="4" t="n">
        <f aca="false">IF(AND(ISNUMBER(C14),ISNUMBER(D14)),D14-C14,"N/A")</f>
        <v>-3288.7</v>
      </c>
      <c r="G14" s="6" t="n">
        <f aca="false">IF(ISNUMBER(F14),F14/C14*100,"N/A")</f>
        <v>-58.8213199785369</v>
      </c>
      <c r="H14" s="3" t="str">
        <f aca="false">IF(NOT(ISNUMBER(F14)),"NO CURRENT DATA",IF(F14&gt;0,"RISEN",IF(F14&lt;0,"FALLEN","UNCHANGED")))</f>
        <v>FALLEN</v>
      </c>
      <c r="I14" s="3" t="s">
        <v>1481</v>
      </c>
      <c r="J14" s="3" t="n">
        <v>0</v>
      </c>
    </row>
    <row r="15" customFormat="false" ht="15" hidden="false" customHeight="false" outlineLevel="0" collapsed="false">
      <c r="A15" s="3" t="s">
        <v>89</v>
      </c>
      <c r="B15" s="3" t="s">
        <v>104</v>
      </c>
      <c r="C15" s="4" t="n">
        <v>446.3</v>
      </c>
      <c r="D15" s="4" t="n">
        <v>342.45</v>
      </c>
      <c r="E15" s="3" t="s">
        <v>1479</v>
      </c>
      <c r="F15" s="4" t="n">
        <f aca="false">IF(AND(ISNUMBER(C15),ISNUMBER(D15)),D15-C15,"N/A")</f>
        <v>-103.85</v>
      </c>
      <c r="G15" s="6" t="n">
        <f aca="false">IF(ISNUMBER(F15),F15/C15*100,"N/A")</f>
        <v>-23.2691015012324</v>
      </c>
      <c r="H15" s="3" t="str">
        <f aca="false">IF(NOT(ISNUMBER(F15)),"NO CURRENT DATA",IF(F15&gt;0,"RISEN",IF(F15&lt;0,"FALLEN","UNCHANGED")))</f>
        <v>FALLEN</v>
      </c>
      <c r="I15" s="3" t="s">
        <v>1480</v>
      </c>
      <c r="J15" s="3" t="n">
        <v>0</v>
      </c>
    </row>
    <row r="16" customFormat="false" ht="15" hidden="false" customHeight="false" outlineLevel="0" collapsed="false">
      <c r="A16" s="3" t="s">
        <v>89</v>
      </c>
      <c r="B16" s="3" t="s">
        <v>77</v>
      </c>
      <c r="C16" s="4" t="n">
        <v>143.59</v>
      </c>
      <c r="D16" s="4" t="n">
        <v>111.35</v>
      </c>
      <c r="E16" s="3" t="s">
        <v>1479</v>
      </c>
      <c r="F16" s="4" t="n">
        <f aca="false">IF(AND(ISNUMBER(C16),ISNUMBER(D16)),D16-C16,"N/A")</f>
        <v>-32.24</v>
      </c>
      <c r="G16" s="6" t="n">
        <f aca="false">IF(ISNUMBER(F16),F16/C16*100,"N/A")</f>
        <v>-22.452817048541</v>
      </c>
      <c r="H16" s="3" t="str">
        <f aca="false">IF(NOT(ISNUMBER(F16)),"NO CURRENT DATA",IF(F16&gt;0,"RISEN",IF(F16&lt;0,"FALLEN","UNCHANGED")))</f>
        <v>FALLEN</v>
      </c>
      <c r="I16" s="3" t="s">
        <v>1480</v>
      </c>
      <c r="J16" s="3" t="n">
        <v>0</v>
      </c>
    </row>
    <row r="17" customFormat="false" ht="15" hidden="false" customHeight="false" outlineLevel="0" collapsed="false">
      <c r="A17" s="3" t="s">
        <v>89</v>
      </c>
      <c r="B17" s="3" t="s">
        <v>108</v>
      </c>
      <c r="C17" s="4" t="n">
        <v>1076.5</v>
      </c>
      <c r="D17" s="4" t="n">
        <v>1139.6</v>
      </c>
      <c r="E17" s="3" t="s">
        <v>1479</v>
      </c>
      <c r="F17" s="4" t="n">
        <f aca="false">IF(AND(ISNUMBER(C17),ISNUMBER(D17)),D17-C17,"N/A")</f>
        <v>63.0999999999999</v>
      </c>
      <c r="G17" s="6" t="n">
        <f aca="false">IF(ISNUMBER(F17),F17/C17*100,"N/A")</f>
        <v>5.86158848118903</v>
      </c>
      <c r="H17" s="3" t="str">
        <f aca="false">IF(NOT(ISNUMBER(F17)),"NO CURRENT DATA",IF(F17&gt;0,"RISEN",IF(F17&lt;0,"FALLEN","UNCHANGED")))</f>
        <v>RISEN</v>
      </c>
      <c r="I17" s="3" t="s">
        <v>1480</v>
      </c>
      <c r="J17" s="3" t="n">
        <v>0</v>
      </c>
    </row>
    <row r="18" customFormat="false" ht="15" hidden="false" customHeight="false" outlineLevel="0" collapsed="false">
      <c r="A18" s="3" t="s">
        <v>89</v>
      </c>
      <c r="B18" s="3" t="s">
        <v>111</v>
      </c>
      <c r="C18" s="4" t="n">
        <v>262.33</v>
      </c>
      <c r="D18" s="4" t="n">
        <v>280.85</v>
      </c>
      <c r="E18" s="3" t="s">
        <v>1479</v>
      </c>
      <c r="F18" s="4" t="n">
        <f aca="false">IF(AND(ISNUMBER(C18),ISNUMBER(D18)),D18-C18,"N/A")</f>
        <v>18.52</v>
      </c>
      <c r="G18" s="6" t="n">
        <f aca="false">IF(ISNUMBER(F18),F18/C18*100,"N/A")</f>
        <v>7.0598101627721</v>
      </c>
      <c r="H18" s="3" t="str">
        <f aca="false">IF(NOT(ISNUMBER(F18)),"NO CURRENT DATA",IF(F18&gt;0,"RISEN",IF(F18&lt;0,"FALLEN","UNCHANGED")))</f>
        <v>RISEN</v>
      </c>
      <c r="I18" s="3" t="s">
        <v>1480</v>
      </c>
      <c r="J18" s="3" t="n">
        <v>0</v>
      </c>
    </row>
    <row r="19" customFormat="false" ht="15" hidden="false" customHeight="false" outlineLevel="0" collapsed="false">
      <c r="A19" s="3" t="s">
        <v>89</v>
      </c>
      <c r="B19" s="3" t="s">
        <v>114</v>
      </c>
      <c r="C19" s="4" t="n">
        <v>77.1</v>
      </c>
      <c r="D19" s="4" t="n">
        <v>77.43</v>
      </c>
      <c r="E19" s="3" t="s">
        <v>1479</v>
      </c>
      <c r="F19" s="4" t="n">
        <f aca="false">IF(AND(ISNUMBER(C19),ISNUMBER(D19)),D19-C19,"N/A")</f>
        <v>0.330000000000013</v>
      </c>
      <c r="G19" s="6" t="n">
        <f aca="false">IF(ISNUMBER(F19),F19/C19*100,"N/A")</f>
        <v>0.428015564202351</v>
      </c>
      <c r="H19" s="3" t="str">
        <f aca="false">IF(NOT(ISNUMBER(F19)),"NO CURRENT DATA",IF(F19&gt;0,"RISEN",IF(F19&lt;0,"FALLEN","UNCHANGED")))</f>
        <v>RISEN</v>
      </c>
      <c r="I19" s="3" t="s">
        <v>1480</v>
      </c>
      <c r="J19" s="3" t="n">
        <v>0</v>
      </c>
    </row>
    <row r="20" customFormat="false" ht="15" hidden="false" customHeight="false" outlineLevel="0" collapsed="false">
      <c r="A20" s="3" t="s">
        <v>89</v>
      </c>
      <c r="B20" s="3" t="s">
        <v>117</v>
      </c>
      <c r="C20" s="4" t="n">
        <v>278.95</v>
      </c>
      <c r="D20" s="4" t="n">
        <v>289.85</v>
      </c>
      <c r="E20" s="3" t="s">
        <v>1479</v>
      </c>
      <c r="F20" s="4" t="n">
        <f aca="false">IF(AND(ISNUMBER(C20),ISNUMBER(D20)),D20-C20,"N/A")</f>
        <v>10.9</v>
      </c>
      <c r="G20" s="6" t="n">
        <f aca="false">IF(ISNUMBER(F20),F20/C20*100,"N/A")</f>
        <v>3.90751030650656</v>
      </c>
      <c r="H20" s="3" t="str">
        <f aca="false">IF(NOT(ISNUMBER(F20)),"NO CURRENT DATA",IF(F20&gt;0,"RISEN",IF(F20&lt;0,"FALLEN","UNCHANGED")))</f>
        <v>RISEN</v>
      </c>
      <c r="I20" s="3" t="s">
        <v>1480</v>
      </c>
      <c r="J20" s="3" t="n">
        <v>0</v>
      </c>
    </row>
    <row r="21" customFormat="false" ht="15" hidden="false" customHeight="false" outlineLevel="0" collapsed="false">
      <c r="A21" s="3" t="s">
        <v>89</v>
      </c>
      <c r="B21" s="3" t="s">
        <v>120</v>
      </c>
      <c r="C21" s="4" t="n">
        <v>412.2</v>
      </c>
      <c r="D21" s="4" t="n">
        <v>330</v>
      </c>
      <c r="E21" s="3" t="s">
        <v>1479</v>
      </c>
      <c r="F21" s="4" t="n">
        <f aca="false">IF(AND(ISNUMBER(C21),ISNUMBER(D21)),D21-C21,"N/A")</f>
        <v>-82.2</v>
      </c>
      <c r="G21" s="6" t="n">
        <f aca="false">IF(ISNUMBER(F21),F21/C21*100,"N/A")</f>
        <v>-19.9417758369723</v>
      </c>
      <c r="H21" s="3" t="str">
        <f aca="false">IF(NOT(ISNUMBER(F21)),"NO CURRENT DATA",IF(F21&gt;0,"RISEN",IF(F21&lt;0,"FALLEN","UNCHANGED")))</f>
        <v>FALLEN</v>
      </c>
      <c r="I21" s="3" t="s">
        <v>1480</v>
      </c>
      <c r="J21" s="3" t="n">
        <v>0</v>
      </c>
    </row>
    <row r="22" customFormat="false" ht="15" hidden="false" customHeight="false" outlineLevel="0" collapsed="false">
      <c r="A22" s="3" t="s">
        <v>89</v>
      </c>
      <c r="B22" s="3" t="s">
        <v>123</v>
      </c>
      <c r="C22" s="4" t="n">
        <v>114.37</v>
      </c>
      <c r="D22" s="4" t="n">
        <v>112.6</v>
      </c>
      <c r="E22" s="3" t="s">
        <v>1479</v>
      </c>
      <c r="F22" s="4" t="n">
        <f aca="false">IF(AND(ISNUMBER(C22),ISNUMBER(D22)),D22-C22,"N/A")</f>
        <v>-1.77000000000001</v>
      </c>
      <c r="G22" s="6" t="n">
        <f aca="false">IF(ISNUMBER(F22),F22/C22*100,"N/A")</f>
        <v>-1.54760863862902</v>
      </c>
      <c r="H22" s="3" t="str">
        <f aca="false">IF(NOT(ISNUMBER(F22)),"NO CURRENT DATA",IF(F22&gt;0,"RISEN",IF(F22&lt;0,"FALLEN","UNCHANGED")))</f>
        <v>FALLEN</v>
      </c>
      <c r="I22" s="3" t="s">
        <v>1480</v>
      </c>
      <c r="J22" s="3" t="n">
        <v>0</v>
      </c>
    </row>
    <row r="23" customFormat="false" ht="15" hidden="false" customHeight="false" outlineLevel="0" collapsed="false">
      <c r="A23" s="3" t="s">
        <v>89</v>
      </c>
      <c r="B23" s="3" t="s">
        <v>126</v>
      </c>
      <c r="C23" s="4" t="n">
        <v>470.95</v>
      </c>
      <c r="D23" s="4" t="n">
        <v>259</v>
      </c>
      <c r="E23" s="3" t="s">
        <v>1479</v>
      </c>
      <c r="F23" s="4" t="n">
        <f aca="false">IF(AND(ISNUMBER(C23),ISNUMBER(D23)),D23-C23,"N/A")</f>
        <v>-211.95</v>
      </c>
      <c r="G23" s="6" t="n">
        <f aca="false">IF(ISNUMBER(F23),F23/C23*100,"N/A")</f>
        <v>-45.0047775772375</v>
      </c>
      <c r="H23" s="3" t="str">
        <f aca="false">IF(NOT(ISNUMBER(F23)),"NO CURRENT DATA",IF(F23&gt;0,"RISEN",IF(F23&lt;0,"FALLEN","UNCHANGED")))</f>
        <v>FALLEN</v>
      </c>
      <c r="I23" s="3" t="s">
        <v>1482</v>
      </c>
      <c r="J23" s="3" t="n">
        <v>0</v>
      </c>
    </row>
    <row r="24" customFormat="false" ht="15" hidden="false" customHeight="false" outlineLevel="0" collapsed="false">
      <c r="A24" s="3" t="s">
        <v>129</v>
      </c>
      <c r="B24" s="3" t="s">
        <v>130</v>
      </c>
      <c r="C24" s="4" t="n">
        <v>3825.5</v>
      </c>
      <c r="D24" s="4" t="n">
        <v>691.55</v>
      </c>
      <c r="E24" s="3" t="s">
        <v>1479</v>
      </c>
      <c r="F24" s="4" t="n">
        <f aca="false">IF(AND(ISNUMBER(C24),ISNUMBER(D24)),D24-C24,"N/A")</f>
        <v>-3133.95</v>
      </c>
      <c r="G24" s="6" t="n">
        <f aca="false">IF(ISNUMBER(F24),F24/C24*100,"N/A")</f>
        <v>-81.9226244935303</v>
      </c>
      <c r="H24" s="3" t="str">
        <f aca="false">IF(NOT(ISNUMBER(F24)),"NO CURRENT DATA",IF(F24&gt;0,"RISEN",IF(F24&lt;0,"FALLEN","UNCHANGED")))</f>
        <v>FALLEN</v>
      </c>
      <c r="I24" s="3" t="s">
        <v>1483</v>
      </c>
      <c r="J24" s="3" t="n">
        <v>0</v>
      </c>
    </row>
    <row r="25" customFormat="false" ht="15" hidden="false" customHeight="false" outlineLevel="0" collapsed="false">
      <c r="A25" s="3" t="s">
        <v>129</v>
      </c>
      <c r="B25" s="3" t="s">
        <v>133</v>
      </c>
      <c r="C25" s="4" t="n">
        <v>1180.6</v>
      </c>
      <c r="D25" s="4" t="n">
        <v>1082.3</v>
      </c>
      <c r="E25" s="3" t="s">
        <v>1479</v>
      </c>
      <c r="F25" s="4" t="n">
        <f aca="false">IF(AND(ISNUMBER(C25),ISNUMBER(D25)),D25-C25,"N/A")</f>
        <v>-98.3</v>
      </c>
      <c r="G25" s="6" t="n">
        <f aca="false">IF(ISNUMBER(F25),F25/C25*100,"N/A")</f>
        <v>-8.32627477553786</v>
      </c>
      <c r="H25" s="3" t="str">
        <f aca="false">IF(NOT(ISNUMBER(F25)),"NO CURRENT DATA",IF(F25&gt;0,"RISEN",IF(F25&lt;0,"FALLEN","UNCHANGED")))</f>
        <v>FALLEN</v>
      </c>
      <c r="I25" s="3" t="s">
        <v>1480</v>
      </c>
      <c r="J25" s="3" t="n">
        <v>0</v>
      </c>
    </row>
    <row r="26" customFormat="false" ht="15" hidden="false" customHeight="false" outlineLevel="0" collapsed="false">
      <c r="A26" s="3" t="s">
        <v>129</v>
      </c>
      <c r="B26" s="3" t="s">
        <v>136</v>
      </c>
      <c r="C26" s="4" t="n">
        <v>154.84</v>
      </c>
      <c r="D26" s="4" t="n">
        <v>133.32</v>
      </c>
      <c r="E26" s="3" t="s">
        <v>1479</v>
      </c>
      <c r="F26" s="4" t="n">
        <f aca="false">IF(AND(ISNUMBER(C26),ISNUMBER(D26)),D26-C26,"N/A")</f>
        <v>-21.52</v>
      </c>
      <c r="G26" s="6" t="n">
        <f aca="false">IF(ISNUMBER(F26),F26/C26*100,"N/A")</f>
        <v>-13.8982175148541</v>
      </c>
      <c r="H26" s="3" t="str">
        <f aca="false">IF(NOT(ISNUMBER(F26)),"NO CURRENT DATA",IF(F26&gt;0,"RISEN",IF(F26&lt;0,"FALLEN","UNCHANGED")))</f>
        <v>FALLEN</v>
      </c>
      <c r="I26" s="3" t="s">
        <v>1480</v>
      </c>
      <c r="J26" s="3" t="n">
        <v>0</v>
      </c>
    </row>
    <row r="27" customFormat="false" ht="15" hidden="false" customHeight="false" outlineLevel="0" collapsed="false">
      <c r="A27" s="3" t="s">
        <v>129</v>
      </c>
      <c r="B27" s="3" t="s">
        <v>139</v>
      </c>
      <c r="C27" s="4" t="n">
        <v>2456.3</v>
      </c>
      <c r="D27" s="4" t="n">
        <v>2435.6</v>
      </c>
      <c r="E27" s="3" t="s">
        <v>1479</v>
      </c>
      <c r="F27" s="4" t="n">
        <f aca="false">IF(AND(ISNUMBER(C27),ISNUMBER(D27)),D27-C27,"N/A")</f>
        <v>-20.7000000000003</v>
      </c>
      <c r="G27" s="6" t="n">
        <f aca="false">IF(ISNUMBER(F27),F27/C27*100,"N/A")</f>
        <v>-0.842730936774835</v>
      </c>
      <c r="H27" s="3" t="str">
        <f aca="false">IF(NOT(ISNUMBER(F27)),"NO CURRENT DATA",IF(F27&gt;0,"RISEN",IF(F27&lt;0,"FALLEN","UNCHANGED")))</f>
        <v>FALLEN</v>
      </c>
      <c r="I27" s="3" t="s">
        <v>1480</v>
      </c>
      <c r="J27" s="3" t="n">
        <v>0</v>
      </c>
    </row>
    <row r="28" customFormat="false" ht="15" hidden="false" customHeight="false" outlineLevel="0" collapsed="false">
      <c r="A28" s="3" t="s">
        <v>129</v>
      </c>
      <c r="B28" s="3" t="s">
        <v>142</v>
      </c>
      <c r="C28" s="4" t="n">
        <v>1142.1</v>
      </c>
      <c r="D28" s="4" t="n">
        <v>960</v>
      </c>
      <c r="E28" s="3" t="s">
        <v>1479</v>
      </c>
      <c r="F28" s="4" t="n">
        <f aca="false">IF(AND(ISNUMBER(C28),ISNUMBER(D28)),D28-C28,"N/A")</f>
        <v>-182.1</v>
      </c>
      <c r="G28" s="6" t="n">
        <f aca="false">IF(ISNUMBER(F28),F28/C28*100,"N/A")</f>
        <v>-15.9443131074337</v>
      </c>
      <c r="H28" s="3" t="str">
        <f aca="false">IF(NOT(ISNUMBER(F28)),"NO CURRENT DATA",IF(F28&gt;0,"RISEN",IF(F28&lt;0,"FALLEN","UNCHANGED")))</f>
        <v>FALLEN</v>
      </c>
      <c r="I28" s="3" t="s">
        <v>1480</v>
      </c>
      <c r="J28" s="3" t="n">
        <v>0</v>
      </c>
    </row>
    <row r="29" customFormat="false" ht="15" hidden="false" customHeight="false" outlineLevel="0" collapsed="false">
      <c r="A29" s="3" t="s">
        <v>129</v>
      </c>
      <c r="B29" s="3" t="s">
        <v>145</v>
      </c>
      <c r="C29" s="4" t="n">
        <v>1439.3</v>
      </c>
      <c r="D29" s="4" t="n">
        <v>1542.2</v>
      </c>
      <c r="E29" s="3" t="s">
        <v>1479</v>
      </c>
      <c r="F29" s="4" t="n">
        <f aca="false">IF(AND(ISNUMBER(C29),ISNUMBER(D29)),D29-C29,"N/A")</f>
        <v>102.9</v>
      </c>
      <c r="G29" s="6" t="n">
        <f aca="false">IF(ISNUMBER(F29),F29/C29*100,"N/A")</f>
        <v>7.14930869172515</v>
      </c>
      <c r="H29" s="3" t="str">
        <f aca="false">IF(NOT(ISNUMBER(F29)),"NO CURRENT DATA",IF(F29&gt;0,"RISEN",IF(F29&lt;0,"FALLEN","UNCHANGED")))</f>
        <v>RISEN</v>
      </c>
      <c r="I29" s="3" t="s">
        <v>1480</v>
      </c>
      <c r="J29" s="3" t="n">
        <v>0</v>
      </c>
    </row>
    <row r="30" customFormat="false" ht="15" hidden="false" customHeight="false" outlineLevel="0" collapsed="false">
      <c r="A30" s="3" t="s">
        <v>129</v>
      </c>
      <c r="B30" s="3" t="s">
        <v>148</v>
      </c>
      <c r="C30" s="4" t="n">
        <v>3526</v>
      </c>
      <c r="D30" s="4" t="n">
        <v>4869</v>
      </c>
      <c r="E30" s="3" t="s">
        <v>1479</v>
      </c>
      <c r="F30" s="4" t="n">
        <f aca="false">IF(AND(ISNUMBER(C30),ISNUMBER(D30)),D30-C30,"N/A")</f>
        <v>1343</v>
      </c>
      <c r="G30" s="6" t="n">
        <f aca="false">IF(ISNUMBER(F30),F30/C30*100,"N/A")</f>
        <v>38.0884855360182</v>
      </c>
      <c r="H30" s="3" t="str">
        <f aca="false">IF(NOT(ISNUMBER(F30)),"NO CURRENT DATA",IF(F30&gt;0,"RISEN",IF(F30&lt;0,"FALLEN","UNCHANGED")))</f>
        <v>RISEN</v>
      </c>
      <c r="I30" s="3" t="s">
        <v>1480</v>
      </c>
      <c r="J30" s="3" t="n">
        <v>0</v>
      </c>
    </row>
    <row r="31" customFormat="false" ht="15" hidden="false" customHeight="false" outlineLevel="0" collapsed="false">
      <c r="A31" s="3" t="s">
        <v>151</v>
      </c>
      <c r="B31" s="3" t="s">
        <v>152</v>
      </c>
      <c r="C31" s="4" t="n">
        <v>1145</v>
      </c>
      <c r="D31" s="4" t="n">
        <v>1117.1</v>
      </c>
      <c r="E31" s="3" t="s">
        <v>1479</v>
      </c>
      <c r="F31" s="4" t="n">
        <f aca="false">IF(AND(ISNUMBER(C31),ISNUMBER(D31)),D31-C31,"N/A")</f>
        <v>-27.9000000000001</v>
      </c>
      <c r="G31" s="6" t="n">
        <f aca="false">IF(ISNUMBER(F31),F31/C31*100,"N/A")</f>
        <v>-2.43668122270743</v>
      </c>
      <c r="H31" s="3" t="str">
        <f aca="false">IF(NOT(ISNUMBER(F31)),"NO CURRENT DATA",IF(F31&gt;0,"RISEN",IF(F31&lt;0,"FALLEN","UNCHANGED")))</f>
        <v>FALLEN</v>
      </c>
      <c r="I31" s="3" t="s">
        <v>1480</v>
      </c>
      <c r="J31" s="3" t="n">
        <v>0</v>
      </c>
    </row>
    <row r="32" customFormat="false" ht="15" hidden="false" customHeight="false" outlineLevel="0" collapsed="false">
      <c r="A32" s="3" t="s">
        <v>151</v>
      </c>
      <c r="B32" s="3" t="s">
        <v>148</v>
      </c>
      <c r="C32" s="4" t="n">
        <v>3536.9</v>
      </c>
      <c r="D32" s="4" t="n">
        <v>4869</v>
      </c>
      <c r="E32" s="3" t="s">
        <v>1479</v>
      </c>
      <c r="F32" s="4" t="n">
        <f aca="false">IF(AND(ISNUMBER(C32),ISNUMBER(D32)),D32-C32,"N/A")</f>
        <v>1332.1</v>
      </c>
      <c r="G32" s="6" t="n">
        <f aca="false">IF(ISNUMBER(F32),F32/C32*100,"N/A")</f>
        <v>37.6629251604512</v>
      </c>
      <c r="H32" s="3" t="str">
        <f aca="false">IF(NOT(ISNUMBER(F32)),"NO CURRENT DATA",IF(F32&gt;0,"RISEN",IF(F32&lt;0,"FALLEN","UNCHANGED")))</f>
        <v>RISEN</v>
      </c>
      <c r="I32" s="3" t="s">
        <v>1480</v>
      </c>
      <c r="J32" s="3" t="n">
        <v>0</v>
      </c>
    </row>
    <row r="33" customFormat="false" ht="15" hidden="false" customHeight="false" outlineLevel="0" collapsed="false">
      <c r="A33" s="3" t="s">
        <v>151</v>
      </c>
      <c r="B33" s="3" t="s">
        <v>156</v>
      </c>
      <c r="C33" s="4" t="n">
        <v>1366.3</v>
      </c>
      <c r="D33" s="4" t="n">
        <v>1173</v>
      </c>
      <c r="E33" s="3" t="s">
        <v>1479</v>
      </c>
      <c r="F33" s="4" t="n">
        <f aca="false">IF(AND(ISNUMBER(C33),ISNUMBER(D33)),D33-C33,"N/A")</f>
        <v>-193.3</v>
      </c>
      <c r="G33" s="6" t="n">
        <f aca="false">IF(ISNUMBER(F33),F33/C33*100,"N/A")</f>
        <v>-14.1476981629218</v>
      </c>
      <c r="H33" s="3" t="str">
        <f aca="false">IF(NOT(ISNUMBER(F33)),"NO CURRENT DATA",IF(F33&gt;0,"RISEN",IF(F33&lt;0,"FALLEN","UNCHANGED")))</f>
        <v>FALLEN</v>
      </c>
      <c r="I33" s="3" t="s">
        <v>1480</v>
      </c>
      <c r="J33" s="3" t="n">
        <v>0</v>
      </c>
    </row>
    <row r="34" customFormat="false" ht="15" hidden="false" customHeight="false" outlineLevel="0" collapsed="false">
      <c r="A34" s="3" t="s">
        <v>151</v>
      </c>
      <c r="B34" s="3" t="s">
        <v>159</v>
      </c>
      <c r="C34" s="4" t="n">
        <v>1372.2</v>
      </c>
      <c r="D34" s="4" t="n">
        <v>1135.5</v>
      </c>
      <c r="E34" s="3" t="s">
        <v>1479</v>
      </c>
      <c r="F34" s="4" t="n">
        <f aca="false">IF(AND(ISNUMBER(C34),ISNUMBER(D34)),D34-C34,"N/A")</f>
        <v>-236.7</v>
      </c>
      <c r="G34" s="6" t="n">
        <f aca="false">IF(ISNUMBER(F34),F34/C34*100,"N/A")</f>
        <v>-17.2496720594666</v>
      </c>
      <c r="H34" s="3" t="str">
        <f aca="false">IF(NOT(ISNUMBER(F34)),"NO CURRENT DATA",IF(F34&gt;0,"RISEN",IF(F34&lt;0,"FALLEN","UNCHANGED")))</f>
        <v>FALLEN</v>
      </c>
      <c r="I34" s="3" t="s">
        <v>1480</v>
      </c>
      <c r="J34" s="3" t="n">
        <v>0</v>
      </c>
    </row>
    <row r="35" customFormat="false" ht="15" hidden="false" customHeight="false" outlineLevel="0" collapsed="false">
      <c r="A35" s="3" t="s">
        <v>151</v>
      </c>
      <c r="B35" s="3" t="s">
        <v>86</v>
      </c>
      <c r="C35" s="4" t="n">
        <v>22.22</v>
      </c>
      <c r="D35" s="4" t="n">
        <v>21.18</v>
      </c>
      <c r="E35" s="3" t="s">
        <v>1479</v>
      </c>
      <c r="F35" s="4" t="n">
        <f aca="false">IF(AND(ISNUMBER(C35),ISNUMBER(D35)),D35-C35,"N/A")</f>
        <v>-1.04</v>
      </c>
      <c r="G35" s="6" t="n">
        <f aca="false">IF(ISNUMBER(F35),F35/C35*100,"N/A")</f>
        <v>-4.68046804680468</v>
      </c>
      <c r="H35" s="3" t="str">
        <f aca="false">IF(NOT(ISNUMBER(F35)),"NO CURRENT DATA",IF(F35&gt;0,"RISEN",IF(F35&lt;0,"FALLEN","UNCHANGED")))</f>
        <v>FALLEN</v>
      </c>
      <c r="I35" s="3" t="s">
        <v>1480</v>
      </c>
      <c r="J35" s="3" t="n">
        <v>1</v>
      </c>
    </row>
    <row r="36" customFormat="false" ht="15" hidden="false" customHeight="false" outlineLevel="0" collapsed="false">
      <c r="A36" s="3" t="s">
        <v>163</v>
      </c>
      <c r="B36" s="3" t="s">
        <v>164</v>
      </c>
      <c r="C36" s="4" t="n">
        <v>1493.7</v>
      </c>
      <c r="D36" s="4" t="n">
        <v>1503</v>
      </c>
      <c r="E36" s="3" t="s">
        <v>1479</v>
      </c>
      <c r="F36" s="4" t="n">
        <f aca="false">IF(AND(ISNUMBER(C36),ISNUMBER(D36)),D36-C36,"N/A")</f>
        <v>9.29999999999996</v>
      </c>
      <c r="G36" s="6" t="n">
        <f aca="false">IF(ISNUMBER(F36),F36/C36*100,"N/A")</f>
        <v>0.622614982928296</v>
      </c>
      <c r="H36" s="3" t="str">
        <f aca="false">IF(NOT(ISNUMBER(F36)),"NO CURRENT DATA",IF(F36&gt;0,"RISEN",IF(F36&lt;0,"FALLEN","UNCHANGED")))</f>
        <v>RISEN</v>
      </c>
      <c r="I36" s="3" t="s">
        <v>1480</v>
      </c>
      <c r="J36" s="3" t="n">
        <v>0</v>
      </c>
    </row>
    <row r="37" customFormat="false" ht="15" hidden="false" customHeight="false" outlineLevel="0" collapsed="false">
      <c r="A37" s="3" t="s">
        <v>167</v>
      </c>
      <c r="B37" s="3" t="s">
        <v>168</v>
      </c>
      <c r="C37" s="4" t="n">
        <v>1246.1</v>
      </c>
      <c r="D37" s="4" t="n">
        <v>1221</v>
      </c>
      <c r="E37" s="3" t="s">
        <v>1479</v>
      </c>
      <c r="F37" s="4" t="n">
        <f aca="false">IF(AND(ISNUMBER(C37),ISNUMBER(D37)),D37-C37,"N/A")</f>
        <v>-25.0999999999999</v>
      </c>
      <c r="G37" s="6" t="n">
        <f aca="false">IF(ISNUMBER(F37),F37/C37*100,"N/A")</f>
        <v>-2.01428456785169</v>
      </c>
      <c r="H37" s="3" t="str">
        <f aca="false">IF(NOT(ISNUMBER(F37)),"NO CURRENT DATA",IF(F37&gt;0,"RISEN",IF(F37&lt;0,"FALLEN","UNCHANGED")))</f>
        <v>FALLEN</v>
      </c>
      <c r="I37" s="3" t="s">
        <v>1480</v>
      </c>
      <c r="J37" s="3" t="n">
        <v>0</v>
      </c>
    </row>
    <row r="38" customFormat="false" ht="15" hidden="false" customHeight="false" outlineLevel="0" collapsed="false">
      <c r="A38" s="3" t="s">
        <v>167</v>
      </c>
      <c r="B38" s="3" t="s">
        <v>171</v>
      </c>
      <c r="C38" s="4" t="n">
        <v>774.1</v>
      </c>
      <c r="D38" s="4" t="n">
        <v>955.9</v>
      </c>
      <c r="E38" s="3" t="s">
        <v>1479</v>
      </c>
      <c r="F38" s="4" t="n">
        <f aca="false">IF(AND(ISNUMBER(C38),ISNUMBER(D38)),D38-C38,"N/A")</f>
        <v>181.8</v>
      </c>
      <c r="G38" s="6" t="n">
        <f aca="false">IF(ISNUMBER(F38),F38/C38*100,"N/A")</f>
        <v>23.4853378116522</v>
      </c>
      <c r="H38" s="3" t="str">
        <f aca="false">IF(NOT(ISNUMBER(F38)),"NO CURRENT DATA",IF(F38&gt;0,"RISEN",IF(F38&lt;0,"FALLEN","UNCHANGED")))</f>
        <v>RISEN</v>
      </c>
      <c r="I38" s="3" t="s">
        <v>1480</v>
      </c>
      <c r="J38" s="3" t="n">
        <v>0</v>
      </c>
    </row>
    <row r="39" customFormat="false" ht="15" hidden="false" customHeight="false" outlineLevel="0" collapsed="false">
      <c r="A39" s="3" t="s">
        <v>167</v>
      </c>
      <c r="B39" s="3" t="s">
        <v>136</v>
      </c>
      <c r="C39" s="4" t="n">
        <v>155.25</v>
      </c>
      <c r="D39" s="4" t="n">
        <v>133.32</v>
      </c>
      <c r="E39" s="3" t="s">
        <v>1479</v>
      </c>
      <c r="F39" s="4" t="n">
        <f aca="false">IF(AND(ISNUMBER(C39),ISNUMBER(D39)),D39-C39,"N/A")</f>
        <v>-21.93</v>
      </c>
      <c r="G39" s="6" t="n">
        <f aca="false">IF(ISNUMBER(F39),F39/C39*100,"N/A")</f>
        <v>-14.1256038647343</v>
      </c>
      <c r="H39" s="3" t="str">
        <f aca="false">IF(NOT(ISNUMBER(F39)),"NO CURRENT DATA",IF(F39&gt;0,"RISEN",IF(F39&lt;0,"FALLEN","UNCHANGED")))</f>
        <v>FALLEN</v>
      </c>
      <c r="I39" s="3" t="s">
        <v>1480</v>
      </c>
      <c r="J39" s="3" t="n">
        <v>1</v>
      </c>
    </row>
    <row r="40" customFormat="false" ht="15" hidden="false" customHeight="false" outlineLevel="0" collapsed="false">
      <c r="A40" s="3" t="s">
        <v>167</v>
      </c>
      <c r="B40" s="3" t="s">
        <v>175</v>
      </c>
      <c r="C40" s="4" t="n">
        <v>1175.2</v>
      </c>
      <c r="D40" s="4" t="n">
        <v>1264.1</v>
      </c>
      <c r="E40" s="3" t="s">
        <v>1479</v>
      </c>
      <c r="F40" s="4" t="n">
        <f aca="false">IF(AND(ISNUMBER(C40),ISNUMBER(D40)),D40-C40,"N/A")</f>
        <v>88.8999999999999</v>
      </c>
      <c r="G40" s="6" t="n">
        <f aca="false">IF(ISNUMBER(F40),F40/C40*100,"N/A")</f>
        <v>7.56466984343089</v>
      </c>
      <c r="H40" s="3" t="str">
        <f aca="false">IF(NOT(ISNUMBER(F40)),"NO CURRENT DATA",IF(F40&gt;0,"RISEN",IF(F40&lt;0,"FALLEN","UNCHANGED")))</f>
        <v>RISEN</v>
      </c>
      <c r="I40" s="3" t="s">
        <v>1480</v>
      </c>
      <c r="J40" s="3" t="n">
        <v>0</v>
      </c>
    </row>
    <row r="41" customFormat="false" ht="15" hidden="false" customHeight="false" outlineLevel="0" collapsed="false">
      <c r="A41" s="3" t="s">
        <v>167</v>
      </c>
      <c r="B41" s="3" t="s">
        <v>178</v>
      </c>
      <c r="C41" s="4" t="n">
        <v>388.2</v>
      </c>
      <c r="D41" s="4" t="n">
        <v>361.9</v>
      </c>
      <c r="E41" s="3" t="s">
        <v>1479</v>
      </c>
      <c r="F41" s="4" t="n">
        <f aca="false">IF(AND(ISNUMBER(C41),ISNUMBER(D41)),D41-C41,"N/A")</f>
        <v>-26.3</v>
      </c>
      <c r="G41" s="6" t="n">
        <f aca="false">IF(ISNUMBER(F41),F41/C41*100,"N/A")</f>
        <v>-6.77485832045338</v>
      </c>
      <c r="H41" s="3" t="str">
        <f aca="false">IF(NOT(ISNUMBER(F41)),"NO CURRENT DATA",IF(F41&gt;0,"RISEN",IF(F41&lt;0,"FALLEN","UNCHANGED")))</f>
        <v>FALLEN</v>
      </c>
      <c r="I41" s="3" t="s">
        <v>1480</v>
      </c>
      <c r="J41" s="3" t="n">
        <v>0</v>
      </c>
    </row>
    <row r="42" customFormat="false" ht="15" hidden="false" customHeight="false" outlineLevel="0" collapsed="false">
      <c r="A42" s="3" t="s">
        <v>181</v>
      </c>
      <c r="B42" s="3" t="s">
        <v>182</v>
      </c>
      <c r="C42" s="4" t="n">
        <v>1427.1</v>
      </c>
      <c r="D42" s="4" t="n">
        <v>1370.5</v>
      </c>
      <c r="E42" s="3" t="s">
        <v>1479</v>
      </c>
      <c r="F42" s="4" t="n">
        <f aca="false">IF(AND(ISNUMBER(C42),ISNUMBER(D42)),D42-C42,"N/A")</f>
        <v>-56.5999999999999</v>
      </c>
      <c r="G42" s="6" t="n">
        <f aca="false">IF(ISNUMBER(F42),F42/C42*100,"N/A")</f>
        <v>-3.96608506761964</v>
      </c>
      <c r="H42" s="3" t="str">
        <f aca="false">IF(NOT(ISNUMBER(F42)),"NO CURRENT DATA",IF(F42&gt;0,"RISEN",IF(F42&lt;0,"FALLEN","UNCHANGED")))</f>
        <v>FALLEN</v>
      </c>
      <c r="I42" s="3" t="s">
        <v>1480</v>
      </c>
      <c r="J42" s="3" t="n">
        <v>0</v>
      </c>
    </row>
    <row r="43" customFormat="false" ht="15" hidden="false" customHeight="false" outlineLevel="0" collapsed="false">
      <c r="A43" s="3" t="s">
        <v>181</v>
      </c>
      <c r="B43" s="3" t="s">
        <v>66</v>
      </c>
      <c r="C43" s="4" t="n">
        <v>6474.5</v>
      </c>
      <c r="D43" s="4" t="n">
        <v>9550</v>
      </c>
      <c r="E43" s="3" t="s">
        <v>1479</v>
      </c>
      <c r="F43" s="4" t="n">
        <f aca="false">IF(AND(ISNUMBER(C43),ISNUMBER(D43)),D43-C43,"N/A")</f>
        <v>3075.5</v>
      </c>
      <c r="G43" s="6" t="n">
        <f aca="false">IF(ISNUMBER(F43),F43/C43*100,"N/A")</f>
        <v>47.501737585914</v>
      </c>
      <c r="H43" s="3" t="str">
        <f aca="false">IF(NOT(ISNUMBER(F43)),"NO CURRENT DATA",IF(F43&gt;0,"RISEN",IF(F43&lt;0,"FALLEN","UNCHANGED")))</f>
        <v>RISEN</v>
      </c>
      <c r="I43" s="3" t="s">
        <v>1480</v>
      </c>
      <c r="J43" s="3" t="n">
        <v>1</v>
      </c>
    </row>
    <row r="44" customFormat="false" ht="15" hidden="false" customHeight="false" outlineLevel="0" collapsed="false">
      <c r="A44" s="3" t="s">
        <v>181</v>
      </c>
      <c r="B44" s="3" t="s">
        <v>101</v>
      </c>
      <c r="C44" s="4" t="n">
        <v>5520</v>
      </c>
      <c r="D44" s="4" t="n">
        <v>2302.3</v>
      </c>
      <c r="E44" s="3" t="s">
        <v>1479</v>
      </c>
      <c r="F44" s="4" t="n">
        <f aca="false">IF(AND(ISNUMBER(C44),ISNUMBER(D44)),D44-C44,"N/A")</f>
        <v>-3217.7</v>
      </c>
      <c r="G44" s="6" t="n">
        <f aca="false">IF(ISNUMBER(F44),F44/C44*100,"N/A")</f>
        <v>-58.2916666666667</v>
      </c>
      <c r="H44" s="3" t="str">
        <f aca="false">IF(NOT(ISNUMBER(F44)),"NO CURRENT DATA",IF(F44&gt;0,"RISEN",IF(F44&lt;0,"FALLEN","UNCHANGED")))</f>
        <v>FALLEN</v>
      </c>
      <c r="I44" s="3" t="s">
        <v>1481</v>
      </c>
      <c r="J44" s="3" t="n">
        <v>1</v>
      </c>
    </row>
    <row r="45" customFormat="false" ht="15" hidden="false" customHeight="false" outlineLevel="0" collapsed="false">
      <c r="A45" s="3" t="s">
        <v>181</v>
      </c>
      <c r="B45" s="3" t="s">
        <v>187</v>
      </c>
      <c r="C45" s="4" t="n">
        <v>74.43</v>
      </c>
      <c r="D45" s="4" t="n">
        <v>80.55</v>
      </c>
      <c r="E45" s="3" t="s">
        <v>1479</v>
      </c>
      <c r="F45" s="4" t="n">
        <f aca="false">IF(AND(ISNUMBER(C45),ISNUMBER(D45)),D45-C45,"N/A")</f>
        <v>6.11999999999999</v>
      </c>
      <c r="G45" s="6" t="n">
        <f aca="false">IF(ISNUMBER(F45),F45/C45*100,"N/A")</f>
        <v>8.22249093107617</v>
      </c>
      <c r="H45" s="3" t="str">
        <f aca="false">IF(NOT(ISNUMBER(F45)),"NO CURRENT DATA",IF(F45&gt;0,"RISEN",IF(F45&lt;0,"FALLEN","UNCHANGED")))</f>
        <v>RISEN</v>
      </c>
      <c r="I45" s="3" t="s">
        <v>1480</v>
      </c>
      <c r="J45" s="3" t="n">
        <v>0</v>
      </c>
    </row>
    <row r="46" customFormat="false" ht="15" hidden="false" customHeight="false" outlineLevel="0" collapsed="false">
      <c r="A46" s="3" t="s">
        <v>181</v>
      </c>
      <c r="B46" s="3" t="s">
        <v>190</v>
      </c>
      <c r="C46" s="4" t="n">
        <v>5471.5</v>
      </c>
      <c r="D46" s="4" t="s">
        <v>60</v>
      </c>
      <c r="E46" s="3" t="s">
        <v>60</v>
      </c>
      <c r="F46" s="4" t="str">
        <f aca="false">IF(AND(ISNUMBER(C46),ISNUMBER(D46)),D46-C46,"N/A")</f>
        <v>N/A</v>
      </c>
      <c r="G46" s="6" t="str">
        <f aca="false">IF(ISNUMBER(F46),F46/C46*100,"N/A")</f>
        <v>N/A</v>
      </c>
      <c r="H46" s="3" t="str">
        <f aca="false">IF(NOT(ISNUMBER(F46)),"NO CURRENT DATA",IF(F46&gt;0,"RISEN",IF(F46&lt;0,"FALLEN","UNCHANGED")))</f>
        <v>NO CURRENT DATA</v>
      </c>
      <c r="I46" s="3" t="s">
        <v>1484</v>
      </c>
      <c r="J46" s="3" t="n">
        <v>0</v>
      </c>
    </row>
    <row r="47" customFormat="false" ht="15" hidden="false" customHeight="false" outlineLevel="0" collapsed="false">
      <c r="A47" s="3" t="s">
        <v>181</v>
      </c>
      <c r="B47" s="3" t="s">
        <v>178</v>
      </c>
      <c r="C47" s="4" t="n">
        <v>390.1</v>
      </c>
      <c r="D47" s="4" t="n">
        <v>361.9</v>
      </c>
      <c r="E47" s="3" t="s">
        <v>1479</v>
      </c>
      <c r="F47" s="4" t="n">
        <f aca="false">IF(AND(ISNUMBER(C47),ISNUMBER(D47)),D47-C47,"N/A")</f>
        <v>-28.2</v>
      </c>
      <c r="G47" s="6" t="n">
        <f aca="false">IF(ISNUMBER(F47),F47/C47*100,"N/A")</f>
        <v>-7.22891566265061</v>
      </c>
      <c r="H47" s="3" t="str">
        <f aca="false">IF(NOT(ISNUMBER(F47)),"NO CURRENT DATA",IF(F47&gt;0,"RISEN",IF(F47&lt;0,"FALLEN","UNCHANGED")))</f>
        <v>FALLEN</v>
      </c>
      <c r="I47" s="3" t="s">
        <v>1480</v>
      </c>
      <c r="J47" s="3" t="n">
        <v>0</v>
      </c>
    </row>
    <row r="48" customFormat="false" ht="15" hidden="false" customHeight="false" outlineLevel="0" collapsed="false">
      <c r="A48" s="3" t="s">
        <v>193</v>
      </c>
      <c r="B48" s="3" t="s">
        <v>66</v>
      </c>
      <c r="C48" s="4" t="n">
        <v>6556</v>
      </c>
      <c r="D48" s="4" t="n">
        <v>9550</v>
      </c>
      <c r="E48" s="3" t="s">
        <v>1479</v>
      </c>
      <c r="F48" s="4" t="n">
        <f aca="false">IF(AND(ISNUMBER(C48),ISNUMBER(D48)),D48-C48,"N/A")</f>
        <v>2994</v>
      </c>
      <c r="G48" s="6" t="n">
        <f aca="false">IF(ISNUMBER(F48),F48/C48*100,"N/A")</f>
        <v>45.6680902989628</v>
      </c>
      <c r="H48" s="3" t="str">
        <f aca="false">IF(NOT(ISNUMBER(F48)),"NO CURRENT DATA",IF(F48&gt;0,"RISEN",IF(F48&lt;0,"FALLEN","UNCHANGED")))</f>
        <v>RISEN</v>
      </c>
      <c r="I48" s="3" t="s">
        <v>1480</v>
      </c>
      <c r="J48" s="3" t="n">
        <v>1</v>
      </c>
    </row>
    <row r="49" customFormat="false" ht="15" hidden="false" customHeight="false" outlineLevel="0" collapsed="false">
      <c r="A49" s="3" t="s">
        <v>193</v>
      </c>
      <c r="B49" s="3" t="s">
        <v>195</v>
      </c>
      <c r="C49" s="4" t="n">
        <v>213.02</v>
      </c>
      <c r="D49" s="4" t="n">
        <v>325</v>
      </c>
      <c r="E49" s="3" t="s">
        <v>1479</v>
      </c>
      <c r="F49" s="4" t="n">
        <f aca="false">IF(AND(ISNUMBER(C49),ISNUMBER(D49)),D49-C49,"N/A")</f>
        <v>111.98</v>
      </c>
      <c r="G49" s="6" t="n">
        <f aca="false">IF(ISNUMBER(F49),F49/C49*100,"N/A")</f>
        <v>52.5678340061966</v>
      </c>
      <c r="H49" s="3" t="str">
        <f aca="false">IF(NOT(ISNUMBER(F49)),"NO CURRENT DATA",IF(F49&gt;0,"RISEN",IF(F49&lt;0,"FALLEN","UNCHANGED")))</f>
        <v>RISEN</v>
      </c>
      <c r="I49" s="3" t="s">
        <v>1480</v>
      </c>
      <c r="J49" s="3" t="n">
        <v>0</v>
      </c>
    </row>
    <row r="50" customFormat="false" ht="15" hidden="false" customHeight="false" outlineLevel="0" collapsed="false">
      <c r="A50" s="3" t="s">
        <v>198</v>
      </c>
      <c r="B50" s="3" t="s">
        <v>199</v>
      </c>
      <c r="C50" s="4" t="n">
        <v>351.85</v>
      </c>
      <c r="D50" s="4" t="n">
        <v>374.9</v>
      </c>
      <c r="E50" s="3" t="s">
        <v>1479</v>
      </c>
      <c r="F50" s="4" t="n">
        <f aca="false">IF(AND(ISNUMBER(C50),ISNUMBER(D50)),D50-C50,"N/A")</f>
        <v>23.05</v>
      </c>
      <c r="G50" s="6" t="n">
        <f aca="false">IF(ISNUMBER(F50),F50/C50*100,"N/A")</f>
        <v>6.55108711098478</v>
      </c>
      <c r="H50" s="3" t="str">
        <f aca="false">IF(NOT(ISNUMBER(F50)),"NO CURRENT DATA",IF(F50&gt;0,"RISEN",IF(F50&lt;0,"FALLEN","UNCHANGED")))</f>
        <v>RISEN</v>
      </c>
      <c r="I50" s="3" t="s">
        <v>1480</v>
      </c>
      <c r="J50" s="3" t="n">
        <v>0</v>
      </c>
    </row>
    <row r="51" customFormat="false" ht="15" hidden="false" customHeight="false" outlineLevel="0" collapsed="false">
      <c r="A51" s="3" t="s">
        <v>198</v>
      </c>
      <c r="B51" s="3" t="s">
        <v>195</v>
      </c>
      <c r="C51" s="4" t="n">
        <v>215.44</v>
      </c>
      <c r="D51" s="4" t="n">
        <v>325</v>
      </c>
      <c r="E51" s="3" t="s">
        <v>1479</v>
      </c>
      <c r="F51" s="4" t="n">
        <f aca="false">IF(AND(ISNUMBER(C51),ISNUMBER(D51)),D51-C51,"N/A")</f>
        <v>109.56</v>
      </c>
      <c r="G51" s="6" t="n">
        <f aca="false">IF(ISNUMBER(F51),F51/C51*100,"N/A")</f>
        <v>50.8540660972893</v>
      </c>
      <c r="H51" s="3" t="str">
        <f aca="false">IF(NOT(ISNUMBER(F51)),"NO CURRENT DATA",IF(F51&gt;0,"RISEN",IF(F51&lt;0,"FALLEN","UNCHANGED")))</f>
        <v>RISEN</v>
      </c>
      <c r="I51" s="3" t="s">
        <v>1480</v>
      </c>
      <c r="J51" s="3" t="n">
        <v>0</v>
      </c>
    </row>
    <row r="52" customFormat="false" ht="15" hidden="false" customHeight="false" outlineLevel="0" collapsed="false">
      <c r="A52" s="3" t="s">
        <v>198</v>
      </c>
      <c r="B52" s="3" t="s">
        <v>203</v>
      </c>
      <c r="C52" s="4" t="n">
        <v>877.95</v>
      </c>
      <c r="D52" s="4" t="n">
        <v>2010.7</v>
      </c>
      <c r="E52" s="3" t="s">
        <v>1479</v>
      </c>
      <c r="F52" s="4" t="n">
        <f aca="false">IF(AND(ISNUMBER(C52),ISNUMBER(D52)),D52-C52,"N/A")</f>
        <v>1132.75</v>
      </c>
      <c r="G52" s="6" t="n">
        <f aca="false">IF(ISNUMBER(F52),F52/C52*100,"N/A")</f>
        <v>129.022153881201</v>
      </c>
      <c r="H52" s="3" t="str">
        <f aca="false">IF(NOT(ISNUMBER(F52)),"NO CURRENT DATA",IF(F52&gt;0,"RISEN",IF(F52&lt;0,"FALLEN","UNCHANGED")))</f>
        <v>RISEN</v>
      </c>
      <c r="I52" s="3" t="s">
        <v>1480</v>
      </c>
      <c r="J52" s="3" t="n">
        <v>0</v>
      </c>
    </row>
    <row r="53" customFormat="false" ht="15" hidden="false" customHeight="false" outlineLevel="0" collapsed="false">
      <c r="A53" s="3" t="s">
        <v>206</v>
      </c>
      <c r="B53" s="3" t="s">
        <v>207</v>
      </c>
      <c r="C53" s="4" t="n">
        <v>1160.4</v>
      </c>
      <c r="D53" s="4" t="n">
        <v>1045</v>
      </c>
      <c r="E53" s="3" t="s">
        <v>1479</v>
      </c>
      <c r="F53" s="4" t="n">
        <f aca="false">IF(AND(ISNUMBER(C53),ISNUMBER(D53)),D53-C53,"N/A")</f>
        <v>-115.4</v>
      </c>
      <c r="G53" s="6" t="n">
        <f aca="false">IF(ISNUMBER(F53),F53/C53*100,"N/A")</f>
        <v>-9.9448466046191</v>
      </c>
      <c r="H53" s="3" t="str">
        <f aca="false">IF(NOT(ISNUMBER(F53)),"NO CURRENT DATA",IF(F53&gt;0,"RISEN",IF(F53&lt;0,"FALLEN","UNCHANGED")))</f>
        <v>FALLEN</v>
      </c>
      <c r="I53" s="3" t="s">
        <v>1480</v>
      </c>
      <c r="J53" s="3" t="n">
        <v>0</v>
      </c>
    </row>
    <row r="54" customFormat="false" ht="15" hidden="false" customHeight="false" outlineLevel="0" collapsed="false">
      <c r="A54" s="3" t="s">
        <v>206</v>
      </c>
      <c r="B54" s="3" t="s">
        <v>210</v>
      </c>
      <c r="C54" s="4" t="n">
        <v>2084.1</v>
      </c>
      <c r="D54" s="4" t="n">
        <v>1752</v>
      </c>
      <c r="E54" s="3" t="s">
        <v>1479</v>
      </c>
      <c r="F54" s="4" t="n">
        <f aca="false">IF(AND(ISNUMBER(C54),ISNUMBER(D54)),D54-C54,"N/A")</f>
        <v>-332.1</v>
      </c>
      <c r="G54" s="6" t="n">
        <f aca="false">IF(ISNUMBER(F54),F54/C54*100,"N/A")</f>
        <v>-15.9349359435728</v>
      </c>
      <c r="H54" s="3" t="str">
        <f aca="false">IF(NOT(ISNUMBER(F54)),"NO CURRENT DATA",IF(F54&gt;0,"RISEN",IF(F54&lt;0,"FALLEN","UNCHANGED")))</f>
        <v>FALLEN</v>
      </c>
      <c r="I54" s="3" t="s">
        <v>1480</v>
      </c>
      <c r="J54" s="3" t="n">
        <v>0</v>
      </c>
    </row>
    <row r="55" customFormat="false" ht="15" hidden="false" customHeight="false" outlineLevel="0" collapsed="false">
      <c r="A55" s="3" t="s">
        <v>206</v>
      </c>
      <c r="B55" s="3" t="s">
        <v>213</v>
      </c>
      <c r="C55" s="4" t="n">
        <v>1059.9</v>
      </c>
      <c r="D55" s="4" t="n">
        <v>985</v>
      </c>
      <c r="E55" s="3" t="s">
        <v>1479</v>
      </c>
      <c r="F55" s="4" t="n">
        <f aca="false">IF(AND(ISNUMBER(C55),ISNUMBER(D55)),D55-C55,"N/A")</f>
        <v>-74.9000000000001</v>
      </c>
      <c r="G55" s="6" t="n">
        <f aca="false">IF(ISNUMBER(F55),F55/C55*100,"N/A")</f>
        <v>-7.06670440607605</v>
      </c>
      <c r="H55" s="3" t="str">
        <f aca="false">IF(NOT(ISNUMBER(F55)),"NO CURRENT DATA",IF(F55&gt;0,"RISEN",IF(F55&lt;0,"FALLEN","UNCHANGED")))</f>
        <v>FALLEN</v>
      </c>
      <c r="I55" s="3" t="s">
        <v>1480</v>
      </c>
      <c r="J55" s="3" t="n">
        <v>0</v>
      </c>
    </row>
    <row r="56" customFormat="false" ht="15" hidden="false" customHeight="false" outlineLevel="0" collapsed="false">
      <c r="A56" s="3" t="s">
        <v>206</v>
      </c>
      <c r="B56" s="3" t="s">
        <v>216</v>
      </c>
      <c r="C56" s="4" t="n">
        <v>1558.7</v>
      </c>
      <c r="D56" s="4" t="n">
        <v>1383.7</v>
      </c>
      <c r="E56" s="3" t="s">
        <v>1479</v>
      </c>
      <c r="F56" s="4" t="n">
        <f aca="false">IF(AND(ISNUMBER(C56),ISNUMBER(D56)),D56-C56,"N/A")</f>
        <v>-175</v>
      </c>
      <c r="G56" s="6" t="n">
        <f aca="false">IF(ISNUMBER(F56),F56/C56*100,"N/A")</f>
        <v>-11.2273048052865</v>
      </c>
      <c r="H56" s="3" t="str">
        <f aca="false">IF(NOT(ISNUMBER(F56)),"NO CURRENT DATA",IF(F56&gt;0,"RISEN",IF(F56&lt;0,"FALLEN","UNCHANGED")))</f>
        <v>FALLEN</v>
      </c>
      <c r="I56" s="3" t="s">
        <v>1480</v>
      </c>
      <c r="J56" s="3" t="n">
        <v>0</v>
      </c>
    </row>
    <row r="57" customFormat="false" ht="15" hidden="false" customHeight="false" outlineLevel="0" collapsed="false">
      <c r="A57" s="3" t="s">
        <v>206</v>
      </c>
      <c r="B57" s="3" t="s">
        <v>171</v>
      </c>
      <c r="C57" s="4" t="n">
        <v>764.25</v>
      </c>
      <c r="D57" s="4" t="n">
        <v>955.9</v>
      </c>
      <c r="E57" s="3" t="s">
        <v>1479</v>
      </c>
      <c r="F57" s="4" t="n">
        <f aca="false">IF(AND(ISNUMBER(C57),ISNUMBER(D57)),D57-C57,"N/A")</f>
        <v>191.65</v>
      </c>
      <c r="G57" s="6" t="n">
        <f aca="false">IF(ISNUMBER(F57),F57/C57*100,"N/A")</f>
        <v>25.0768727510631</v>
      </c>
      <c r="H57" s="3" t="str">
        <f aca="false">IF(NOT(ISNUMBER(F57)),"NO CURRENT DATA",IF(F57&gt;0,"RISEN",IF(F57&lt;0,"FALLEN","UNCHANGED")))</f>
        <v>RISEN</v>
      </c>
      <c r="I57" s="3" t="s">
        <v>1480</v>
      </c>
      <c r="J57" s="3" t="n">
        <v>1</v>
      </c>
    </row>
    <row r="58" customFormat="false" ht="15" hidden="false" customHeight="false" outlineLevel="0" collapsed="false">
      <c r="A58" s="3" t="s">
        <v>206</v>
      </c>
      <c r="B58" s="3" t="s">
        <v>104</v>
      </c>
      <c r="C58" s="4" t="n">
        <v>448.65</v>
      </c>
      <c r="D58" s="4" t="n">
        <v>342.45</v>
      </c>
      <c r="E58" s="3" t="s">
        <v>1479</v>
      </c>
      <c r="F58" s="4" t="n">
        <f aca="false">IF(AND(ISNUMBER(C58),ISNUMBER(D58)),D58-C58,"N/A")</f>
        <v>-106.2</v>
      </c>
      <c r="G58" s="6" t="n">
        <f aca="false">IF(ISNUMBER(F58),F58/C58*100,"N/A")</f>
        <v>-23.6710130391174</v>
      </c>
      <c r="H58" s="3" t="str">
        <f aca="false">IF(NOT(ISNUMBER(F58)),"NO CURRENT DATA",IF(F58&gt;0,"RISEN",IF(F58&lt;0,"FALLEN","UNCHANGED")))</f>
        <v>FALLEN</v>
      </c>
      <c r="I58" s="3" t="s">
        <v>1480</v>
      </c>
      <c r="J58" s="3" t="n">
        <v>1</v>
      </c>
    </row>
    <row r="59" customFormat="false" ht="15" hidden="false" customHeight="false" outlineLevel="0" collapsed="false">
      <c r="A59" s="3" t="s">
        <v>206</v>
      </c>
      <c r="B59" s="3" t="s">
        <v>136</v>
      </c>
      <c r="C59" s="4" t="n">
        <v>153.69</v>
      </c>
      <c r="D59" s="4" t="n">
        <v>133.32</v>
      </c>
      <c r="E59" s="3" t="s">
        <v>1479</v>
      </c>
      <c r="F59" s="4" t="n">
        <f aca="false">IF(AND(ISNUMBER(C59),ISNUMBER(D59)),D59-C59,"N/A")</f>
        <v>-20.37</v>
      </c>
      <c r="G59" s="6" t="n">
        <f aca="false">IF(ISNUMBER(F59),F59/C59*100,"N/A")</f>
        <v>-13.2539527620535</v>
      </c>
      <c r="H59" s="3" t="str">
        <f aca="false">IF(NOT(ISNUMBER(F59)),"NO CURRENT DATA",IF(F59&gt;0,"RISEN",IF(F59&lt;0,"FALLEN","UNCHANGED")))</f>
        <v>FALLEN</v>
      </c>
      <c r="I59" s="3" t="s">
        <v>1480</v>
      </c>
      <c r="J59" s="3" t="n">
        <v>2</v>
      </c>
    </row>
    <row r="60" customFormat="false" ht="15" hidden="false" customHeight="false" outlineLevel="0" collapsed="false">
      <c r="A60" s="3" t="s">
        <v>206</v>
      </c>
      <c r="B60" s="3" t="s">
        <v>83</v>
      </c>
      <c r="C60" s="4" t="n">
        <v>3088.6</v>
      </c>
      <c r="D60" s="4" t="n">
        <v>2491.5</v>
      </c>
      <c r="E60" s="3" t="s">
        <v>1479</v>
      </c>
      <c r="F60" s="4" t="n">
        <f aca="false">IF(AND(ISNUMBER(C60),ISNUMBER(D60)),D60-C60,"N/A")</f>
        <v>-597.1</v>
      </c>
      <c r="G60" s="6" t="n">
        <f aca="false">IF(ISNUMBER(F60),F60/C60*100,"N/A")</f>
        <v>-19.332383604222</v>
      </c>
      <c r="H60" s="3" t="str">
        <f aca="false">IF(NOT(ISNUMBER(F60)),"NO CURRENT DATA",IF(F60&gt;0,"RISEN",IF(F60&lt;0,"FALLEN","UNCHANGED")))</f>
        <v>FALLEN</v>
      </c>
      <c r="I60" s="3" t="s">
        <v>1480</v>
      </c>
      <c r="J60" s="3" t="n">
        <v>1</v>
      </c>
    </row>
    <row r="61" customFormat="false" ht="15" hidden="false" customHeight="false" outlineLevel="0" collapsed="false">
      <c r="A61" s="3" t="s">
        <v>206</v>
      </c>
      <c r="B61" s="3" t="s">
        <v>223</v>
      </c>
      <c r="C61" s="4" t="n">
        <v>250.21</v>
      </c>
      <c r="D61" s="4" t="n">
        <v>161.56</v>
      </c>
      <c r="E61" s="3" t="s">
        <v>1479</v>
      </c>
      <c r="F61" s="4" t="n">
        <f aca="false">IF(AND(ISNUMBER(C61),ISNUMBER(D61)),D61-C61,"N/A")</f>
        <v>-88.65</v>
      </c>
      <c r="G61" s="6" t="n">
        <f aca="false">IF(ISNUMBER(F61),F61/C61*100,"N/A")</f>
        <v>-35.4302385995764</v>
      </c>
      <c r="H61" s="3" t="str">
        <f aca="false">IF(NOT(ISNUMBER(F61)),"NO CURRENT DATA",IF(F61&gt;0,"RISEN",IF(F61&lt;0,"FALLEN","UNCHANGED")))</f>
        <v>FALLEN</v>
      </c>
      <c r="I61" s="3" t="s">
        <v>1480</v>
      </c>
      <c r="J61" s="3" t="n">
        <v>0</v>
      </c>
    </row>
    <row r="62" customFormat="false" ht="15" hidden="false" customHeight="false" outlineLevel="0" collapsed="false">
      <c r="A62" s="3" t="s">
        <v>226</v>
      </c>
      <c r="B62" s="3" t="s">
        <v>227</v>
      </c>
      <c r="C62" s="4" t="n">
        <v>1479.5</v>
      </c>
      <c r="D62" s="4" t="n">
        <v>1743.7</v>
      </c>
      <c r="E62" s="3" t="s">
        <v>1479</v>
      </c>
      <c r="F62" s="4" t="n">
        <f aca="false">IF(AND(ISNUMBER(C62),ISNUMBER(D62)),D62-C62,"N/A")</f>
        <v>264.2</v>
      </c>
      <c r="G62" s="6" t="n">
        <f aca="false">IF(ISNUMBER(F62),F62/C62*100,"N/A")</f>
        <v>17.8573842514363</v>
      </c>
      <c r="H62" s="3" t="str">
        <f aca="false">IF(NOT(ISNUMBER(F62)),"NO CURRENT DATA",IF(F62&gt;0,"RISEN",IF(F62&lt;0,"FALLEN","UNCHANGED")))</f>
        <v>RISEN</v>
      </c>
      <c r="I62" s="3" t="s">
        <v>1480</v>
      </c>
      <c r="J62" s="3" t="n">
        <v>0</v>
      </c>
    </row>
    <row r="63" customFormat="false" ht="15" hidden="false" customHeight="false" outlineLevel="0" collapsed="false">
      <c r="A63" s="3" t="s">
        <v>226</v>
      </c>
      <c r="B63" s="3" t="s">
        <v>210</v>
      </c>
      <c r="C63" s="4" t="n">
        <v>2090.2</v>
      </c>
      <c r="D63" s="4" t="n">
        <v>1752</v>
      </c>
      <c r="E63" s="3" t="s">
        <v>1479</v>
      </c>
      <c r="F63" s="4" t="n">
        <f aca="false">IF(AND(ISNUMBER(C63),ISNUMBER(D63)),D63-C63,"N/A")</f>
        <v>-338.2</v>
      </c>
      <c r="G63" s="6" t="n">
        <f aca="false">IF(ISNUMBER(F63),F63/C63*100,"N/A")</f>
        <v>-16.1802698306382</v>
      </c>
      <c r="H63" s="3" t="str">
        <f aca="false">IF(NOT(ISNUMBER(F63)),"NO CURRENT DATA",IF(F63&gt;0,"RISEN",IF(F63&lt;0,"FALLEN","UNCHANGED")))</f>
        <v>FALLEN</v>
      </c>
      <c r="I63" s="3" t="s">
        <v>1480</v>
      </c>
      <c r="J63" s="3" t="n">
        <v>0</v>
      </c>
    </row>
    <row r="64" customFormat="false" ht="15" hidden="false" customHeight="false" outlineLevel="0" collapsed="false">
      <c r="A64" s="3" t="s">
        <v>226</v>
      </c>
      <c r="B64" s="3" t="s">
        <v>231</v>
      </c>
      <c r="C64" s="4" t="n">
        <v>405.15</v>
      </c>
      <c r="D64" s="4" t="n">
        <v>265.2</v>
      </c>
      <c r="E64" s="3" t="s">
        <v>1479</v>
      </c>
      <c r="F64" s="4" t="n">
        <f aca="false">IF(AND(ISNUMBER(C64),ISNUMBER(D64)),D64-C64,"N/A")</f>
        <v>-139.95</v>
      </c>
      <c r="G64" s="6" t="n">
        <f aca="false">IF(ISNUMBER(F64),F64/C64*100,"N/A")</f>
        <v>-34.5427619400222</v>
      </c>
      <c r="H64" s="3" t="str">
        <f aca="false">IF(NOT(ISNUMBER(F64)),"NO CURRENT DATA",IF(F64&gt;0,"RISEN",IF(F64&lt;0,"FALLEN","UNCHANGED")))</f>
        <v>FALLEN</v>
      </c>
      <c r="I64" s="3" t="s">
        <v>1480</v>
      </c>
      <c r="J64" s="3" t="n">
        <v>0</v>
      </c>
    </row>
    <row r="65" customFormat="false" ht="15" hidden="false" customHeight="false" outlineLevel="0" collapsed="false">
      <c r="A65" s="3" t="s">
        <v>226</v>
      </c>
      <c r="B65" s="3" t="s">
        <v>234</v>
      </c>
      <c r="C65" s="4" t="n">
        <v>2205.4</v>
      </c>
      <c r="D65" s="4" t="n">
        <v>401.55</v>
      </c>
      <c r="E65" s="3" t="s">
        <v>1479</v>
      </c>
      <c r="F65" s="4" t="n">
        <f aca="false">IF(AND(ISNUMBER(C65),ISNUMBER(D65)),D65-C65,"N/A")</f>
        <v>-1803.85</v>
      </c>
      <c r="G65" s="6" t="n">
        <f aca="false">IF(ISNUMBER(F65),F65/C65*100,"N/A")</f>
        <v>-81.7924186088691</v>
      </c>
      <c r="H65" s="3" t="str">
        <f aca="false">IF(NOT(ISNUMBER(F65)),"NO CURRENT DATA",IF(F65&gt;0,"RISEN",IF(F65&lt;0,"FALLEN","UNCHANGED")))</f>
        <v>FALLEN</v>
      </c>
      <c r="I65" s="3" t="s">
        <v>1485</v>
      </c>
      <c r="J65" s="3" t="n">
        <v>0</v>
      </c>
    </row>
    <row r="66" customFormat="false" ht="15" hidden="false" customHeight="false" outlineLevel="0" collapsed="false">
      <c r="A66" s="3" t="s">
        <v>226</v>
      </c>
      <c r="B66" s="3" t="s">
        <v>237</v>
      </c>
      <c r="C66" s="4" t="n">
        <v>1694.9</v>
      </c>
      <c r="D66" s="4" t="n">
        <v>1952.2</v>
      </c>
      <c r="E66" s="3" t="s">
        <v>1479</v>
      </c>
      <c r="F66" s="4" t="n">
        <f aca="false">IF(AND(ISNUMBER(C66),ISNUMBER(D66)),D66-C66,"N/A")</f>
        <v>257.3</v>
      </c>
      <c r="G66" s="6" t="n">
        <f aca="false">IF(ISNUMBER(F66),F66/C66*100,"N/A")</f>
        <v>15.1808366275296</v>
      </c>
      <c r="H66" s="3" t="str">
        <f aca="false">IF(NOT(ISNUMBER(F66)),"NO CURRENT DATA",IF(F66&gt;0,"RISEN",IF(F66&lt;0,"FALLEN","UNCHANGED")))</f>
        <v>RISEN</v>
      </c>
      <c r="I66" s="3" t="s">
        <v>1480</v>
      </c>
      <c r="J66" s="3" t="n">
        <v>0</v>
      </c>
    </row>
    <row r="67" customFormat="false" ht="15" hidden="false" customHeight="false" outlineLevel="0" collapsed="false">
      <c r="A67" s="3" t="s">
        <v>226</v>
      </c>
      <c r="B67" s="3" t="s">
        <v>142</v>
      </c>
      <c r="C67" s="4" t="n">
        <v>1149.3</v>
      </c>
      <c r="D67" s="4" t="n">
        <v>960</v>
      </c>
      <c r="E67" s="3" t="s">
        <v>1479</v>
      </c>
      <c r="F67" s="4" t="n">
        <f aca="false">IF(AND(ISNUMBER(C67),ISNUMBER(D67)),D67-C67,"N/A")</f>
        <v>-189.3</v>
      </c>
      <c r="G67" s="6" t="n">
        <f aca="false">IF(ISNUMBER(F67),F67/C67*100,"N/A")</f>
        <v>-16.4708953275907</v>
      </c>
      <c r="H67" s="3" t="str">
        <f aca="false">IF(NOT(ISNUMBER(F67)),"NO CURRENT DATA",IF(F67&gt;0,"RISEN",IF(F67&lt;0,"FALLEN","UNCHANGED")))</f>
        <v>FALLEN</v>
      </c>
      <c r="I67" s="3" t="s">
        <v>1480</v>
      </c>
      <c r="J67" s="3" t="n">
        <v>1</v>
      </c>
    </row>
    <row r="68" customFormat="false" ht="15" hidden="false" customHeight="false" outlineLevel="0" collapsed="false">
      <c r="A68" s="3" t="s">
        <v>241</v>
      </c>
      <c r="B68" s="3" t="s">
        <v>242</v>
      </c>
      <c r="C68" s="4" t="n">
        <v>2012</v>
      </c>
      <c r="D68" s="4" t="n">
        <v>1771.4</v>
      </c>
      <c r="E68" s="3" t="s">
        <v>1479</v>
      </c>
      <c r="F68" s="4" t="n">
        <f aca="false">IF(AND(ISNUMBER(C68),ISNUMBER(D68)),D68-C68,"N/A")</f>
        <v>-240.6</v>
      </c>
      <c r="G68" s="6" t="n">
        <f aca="false">IF(ISNUMBER(F68),F68/C68*100,"N/A")</f>
        <v>-11.9582504970179</v>
      </c>
      <c r="H68" s="3" t="str">
        <f aca="false">IF(NOT(ISNUMBER(F68)),"NO CURRENT DATA",IF(F68&gt;0,"RISEN",IF(F68&lt;0,"FALLEN","UNCHANGED")))</f>
        <v>FALLEN</v>
      </c>
      <c r="I68" s="3" t="s">
        <v>1480</v>
      </c>
      <c r="J68" s="3" t="n">
        <v>0</v>
      </c>
    </row>
    <row r="69" customFormat="false" ht="15" hidden="false" customHeight="false" outlineLevel="0" collapsed="false">
      <c r="A69" s="3" t="s">
        <v>241</v>
      </c>
      <c r="B69" s="3" t="s">
        <v>245</v>
      </c>
      <c r="C69" s="4" t="n">
        <v>2603.7</v>
      </c>
      <c r="D69" s="4" t="n">
        <v>1896</v>
      </c>
      <c r="E69" s="3" t="s">
        <v>1479</v>
      </c>
      <c r="F69" s="4" t="n">
        <f aca="false">IF(AND(ISNUMBER(C69),ISNUMBER(D69)),D69-C69,"N/A")</f>
        <v>-707.7</v>
      </c>
      <c r="G69" s="6" t="n">
        <f aca="false">IF(ISNUMBER(F69),F69/C69*100,"N/A")</f>
        <v>-27.1805507546952</v>
      </c>
      <c r="H69" s="3" t="str">
        <f aca="false">IF(NOT(ISNUMBER(F69)),"NO CURRENT DATA",IF(F69&gt;0,"RISEN",IF(F69&lt;0,"FALLEN","UNCHANGED")))</f>
        <v>FALLEN</v>
      </c>
      <c r="I69" s="3" t="s">
        <v>1480</v>
      </c>
      <c r="J69" s="3" t="n">
        <v>0</v>
      </c>
    </row>
    <row r="70" customFormat="false" ht="15" hidden="false" customHeight="false" outlineLevel="0" collapsed="false">
      <c r="A70" s="3" t="s">
        <v>241</v>
      </c>
      <c r="B70" s="3" t="s">
        <v>139</v>
      </c>
      <c r="C70" s="4" t="n">
        <v>2476.6</v>
      </c>
      <c r="D70" s="4" t="n">
        <v>2435.6</v>
      </c>
      <c r="E70" s="3" t="s">
        <v>1479</v>
      </c>
      <c r="F70" s="4" t="n">
        <f aca="false">IF(AND(ISNUMBER(C70),ISNUMBER(D70)),D70-C70,"N/A")</f>
        <v>-41</v>
      </c>
      <c r="G70" s="6" t="n">
        <f aca="false">IF(ISNUMBER(F70),F70/C70*100,"N/A")</f>
        <v>-1.65549543729306</v>
      </c>
      <c r="H70" s="3" t="str">
        <f aca="false">IF(NOT(ISNUMBER(F70)),"NO CURRENT DATA",IF(F70&gt;0,"RISEN",IF(F70&lt;0,"FALLEN","UNCHANGED")))</f>
        <v>FALLEN</v>
      </c>
      <c r="I70" s="3" t="s">
        <v>1480</v>
      </c>
      <c r="J70" s="3" t="n">
        <v>1</v>
      </c>
    </row>
    <row r="71" customFormat="false" ht="15" hidden="false" customHeight="false" outlineLevel="0" collapsed="false">
      <c r="A71" s="3" t="s">
        <v>241</v>
      </c>
      <c r="B71" s="3" t="s">
        <v>164</v>
      </c>
      <c r="C71" s="4" t="n">
        <v>1542.7</v>
      </c>
      <c r="D71" s="4" t="n">
        <v>1503</v>
      </c>
      <c r="E71" s="3" t="s">
        <v>1479</v>
      </c>
      <c r="F71" s="4" t="n">
        <f aca="false">IF(AND(ISNUMBER(C71),ISNUMBER(D71)),D71-C71,"N/A")</f>
        <v>-39.7</v>
      </c>
      <c r="G71" s="6" t="n">
        <f aca="false">IF(ISNUMBER(F71),F71/C71*100,"N/A")</f>
        <v>-2.57341025474817</v>
      </c>
      <c r="H71" s="3" t="str">
        <f aca="false">IF(NOT(ISNUMBER(F71)),"NO CURRENT DATA",IF(F71&gt;0,"RISEN",IF(F71&lt;0,"FALLEN","UNCHANGED")))</f>
        <v>FALLEN</v>
      </c>
      <c r="I71" s="3" t="s">
        <v>1480</v>
      </c>
      <c r="J71" s="3" t="n">
        <v>1</v>
      </c>
    </row>
    <row r="72" customFormat="false" ht="15" hidden="false" customHeight="false" outlineLevel="0" collapsed="false">
      <c r="A72" s="3" t="s">
        <v>250</v>
      </c>
      <c r="B72" s="3" t="s">
        <v>216</v>
      </c>
      <c r="C72" s="4" t="n">
        <v>1639.1</v>
      </c>
      <c r="D72" s="4" t="n">
        <v>1383.7</v>
      </c>
      <c r="E72" s="3" t="s">
        <v>1479</v>
      </c>
      <c r="F72" s="4" t="n">
        <f aca="false">IF(AND(ISNUMBER(C72),ISNUMBER(D72)),D72-C72,"N/A")</f>
        <v>-255.4</v>
      </c>
      <c r="G72" s="6" t="n">
        <f aca="false">IF(ISNUMBER(F72),F72/C72*100,"N/A")</f>
        <v>-15.5817216765298</v>
      </c>
      <c r="H72" s="3" t="str">
        <f aca="false">IF(NOT(ISNUMBER(F72)),"NO CURRENT DATA",IF(F72&gt;0,"RISEN",IF(F72&lt;0,"FALLEN","UNCHANGED")))</f>
        <v>FALLEN</v>
      </c>
      <c r="I72" s="3" t="s">
        <v>1480</v>
      </c>
      <c r="J72" s="3" t="n">
        <v>1</v>
      </c>
    </row>
    <row r="73" customFormat="false" ht="15" hidden="false" customHeight="false" outlineLevel="0" collapsed="false">
      <c r="A73" s="3" t="s">
        <v>252</v>
      </c>
      <c r="B73" s="3" t="s">
        <v>199</v>
      </c>
      <c r="C73" s="4" t="n">
        <v>373.7</v>
      </c>
      <c r="D73" s="4" t="n">
        <v>374.9</v>
      </c>
      <c r="E73" s="3" t="s">
        <v>1479</v>
      </c>
      <c r="F73" s="4" t="n">
        <f aca="false">IF(AND(ISNUMBER(C73),ISNUMBER(D73)),D73-C73,"N/A")</f>
        <v>1.19999999999999</v>
      </c>
      <c r="G73" s="6" t="n">
        <f aca="false">IF(ISNUMBER(F73),F73/C73*100,"N/A")</f>
        <v>0.321113192400318</v>
      </c>
      <c r="H73" s="3" t="str">
        <f aca="false">IF(NOT(ISNUMBER(F73)),"NO CURRENT DATA",IF(F73&gt;0,"RISEN",IF(F73&lt;0,"FALLEN","UNCHANGED")))</f>
        <v>RISEN</v>
      </c>
      <c r="I73" s="3" t="s">
        <v>1480</v>
      </c>
      <c r="J73" s="3" t="n">
        <v>1</v>
      </c>
    </row>
    <row r="74" customFormat="false" ht="15" hidden="false" customHeight="false" outlineLevel="0" collapsed="false">
      <c r="A74" s="3" t="s">
        <v>252</v>
      </c>
      <c r="B74" s="3" t="s">
        <v>254</v>
      </c>
      <c r="C74" s="4" t="n">
        <v>778.7</v>
      </c>
      <c r="D74" s="4" t="n">
        <v>663.55</v>
      </c>
      <c r="E74" s="3" t="s">
        <v>1479</v>
      </c>
      <c r="F74" s="4" t="n">
        <f aca="false">IF(AND(ISNUMBER(C74),ISNUMBER(D74)),D74-C74,"N/A")</f>
        <v>-115.15</v>
      </c>
      <c r="G74" s="6" t="n">
        <f aca="false">IF(ISNUMBER(F74),F74/C74*100,"N/A")</f>
        <v>-14.7874662899705</v>
      </c>
      <c r="H74" s="3" t="str">
        <f aca="false">IF(NOT(ISNUMBER(F74)),"NO CURRENT DATA",IF(F74&gt;0,"RISEN",IF(F74&lt;0,"FALLEN","UNCHANGED")))</f>
        <v>FALLEN</v>
      </c>
      <c r="I74" s="3" t="s">
        <v>1480</v>
      </c>
      <c r="J74" s="3" t="n">
        <v>0</v>
      </c>
    </row>
    <row r="75" customFormat="false" ht="15" hidden="false" customHeight="false" outlineLevel="0" collapsed="false">
      <c r="A75" s="3" t="s">
        <v>252</v>
      </c>
      <c r="B75" s="3" t="s">
        <v>257</v>
      </c>
      <c r="C75" s="4" t="n">
        <v>184.64</v>
      </c>
      <c r="D75" s="4" t="n">
        <v>172.45</v>
      </c>
      <c r="E75" s="3" t="s">
        <v>1479</v>
      </c>
      <c r="F75" s="4" t="n">
        <f aca="false">IF(AND(ISNUMBER(C75),ISNUMBER(D75)),D75-C75,"N/A")</f>
        <v>-12.19</v>
      </c>
      <c r="G75" s="6" t="n">
        <f aca="false">IF(ISNUMBER(F75),F75/C75*100,"N/A")</f>
        <v>-6.60203639514731</v>
      </c>
      <c r="H75" s="3" t="str">
        <f aca="false">IF(NOT(ISNUMBER(F75)),"NO CURRENT DATA",IF(F75&gt;0,"RISEN",IF(F75&lt;0,"FALLEN","UNCHANGED")))</f>
        <v>FALLEN</v>
      </c>
      <c r="I75" s="3" t="s">
        <v>1480</v>
      </c>
      <c r="J75" s="3" t="n">
        <v>0</v>
      </c>
    </row>
    <row r="76" customFormat="false" ht="15" hidden="false" customHeight="false" outlineLevel="0" collapsed="false">
      <c r="A76" s="3" t="s">
        <v>252</v>
      </c>
      <c r="B76" s="3" t="s">
        <v>260</v>
      </c>
      <c r="C76" s="4" t="n">
        <v>92.97</v>
      </c>
      <c r="D76" s="4" t="n">
        <v>94.75</v>
      </c>
      <c r="E76" s="3" t="s">
        <v>1479</v>
      </c>
      <c r="F76" s="4" t="n">
        <f aca="false">IF(AND(ISNUMBER(C76),ISNUMBER(D76)),D76-C76,"N/A")</f>
        <v>1.78</v>
      </c>
      <c r="G76" s="6" t="n">
        <f aca="false">IF(ISNUMBER(F76),F76/C76*100,"N/A")</f>
        <v>1.91459610627084</v>
      </c>
      <c r="H76" s="3" t="str">
        <f aca="false">IF(NOT(ISNUMBER(F76)),"NO CURRENT DATA",IF(F76&gt;0,"RISEN",IF(F76&lt;0,"FALLEN","UNCHANGED")))</f>
        <v>RISEN</v>
      </c>
      <c r="I76" s="3" t="s">
        <v>1480</v>
      </c>
      <c r="J76" s="3" t="n">
        <v>0</v>
      </c>
    </row>
    <row r="77" customFormat="false" ht="15" hidden="false" customHeight="false" outlineLevel="0" collapsed="false">
      <c r="A77" s="3" t="s">
        <v>252</v>
      </c>
      <c r="B77" s="3" t="s">
        <v>263</v>
      </c>
      <c r="C77" s="4" t="n">
        <v>730.65</v>
      </c>
      <c r="D77" s="4" t="n">
        <v>453.5</v>
      </c>
      <c r="E77" s="3" t="s">
        <v>1479</v>
      </c>
      <c r="F77" s="4" t="n">
        <f aca="false">IF(AND(ISNUMBER(C77),ISNUMBER(D77)),D77-C77,"N/A")</f>
        <v>-277.15</v>
      </c>
      <c r="G77" s="6" t="n">
        <f aca="false">IF(ISNUMBER(F77),F77/C77*100,"N/A")</f>
        <v>-37.9319783754191</v>
      </c>
      <c r="H77" s="3" t="str">
        <f aca="false">IF(NOT(ISNUMBER(F77)),"NO CURRENT DATA",IF(F77&gt;0,"RISEN",IF(F77&lt;0,"FALLEN","UNCHANGED")))</f>
        <v>FALLEN</v>
      </c>
      <c r="I77" s="3" t="s">
        <v>1480</v>
      </c>
      <c r="J77" s="3" t="n">
        <v>0</v>
      </c>
    </row>
    <row r="78" customFormat="false" ht="15" hidden="false" customHeight="false" outlineLevel="0" collapsed="false">
      <c r="A78" s="3" t="s">
        <v>252</v>
      </c>
      <c r="B78" s="3" t="s">
        <v>266</v>
      </c>
      <c r="C78" s="4" t="n">
        <v>2874.6</v>
      </c>
      <c r="D78" s="4" t="n">
        <v>2237.5</v>
      </c>
      <c r="E78" s="3" t="s">
        <v>1479</v>
      </c>
      <c r="F78" s="4" t="n">
        <f aca="false">IF(AND(ISNUMBER(C78),ISNUMBER(D78)),D78-C78,"N/A")</f>
        <v>-637.1</v>
      </c>
      <c r="G78" s="6" t="n">
        <f aca="false">IF(ISNUMBER(F78),F78/C78*100,"N/A")</f>
        <v>-22.1630835594517</v>
      </c>
      <c r="H78" s="3" t="str">
        <f aca="false">IF(NOT(ISNUMBER(F78)),"NO CURRENT DATA",IF(F78&gt;0,"RISEN",IF(F78&lt;0,"FALLEN","UNCHANGED")))</f>
        <v>FALLEN</v>
      </c>
      <c r="I78" s="3" t="s">
        <v>1480</v>
      </c>
      <c r="J78" s="3" t="n">
        <v>0</v>
      </c>
    </row>
    <row r="79" customFormat="false" ht="15" hidden="false" customHeight="false" outlineLevel="0" collapsed="false">
      <c r="A79" s="3" t="s">
        <v>252</v>
      </c>
      <c r="B79" s="3" t="s">
        <v>269</v>
      </c>
      <c r="C79" s="4" t="n">
        <v>115.22</v>
      </c>
      <c r="D79" s="4" t="n">
        <v>80.21</v>
      </c>
      <c r="E79" s="3" t="s">
        <v>1479</v>
      </c>
      <c r="F79" s="4" t="n">
        <f aca="false">IF(AND(ISNUMBER(C79),ISNUMBER(D79)),D79-C79,"N/A")</f>
        <v>-35.01</v>
      </c>
      <c r="G79" s="6" t="n">
        <f aca="false">IF(ISNUMBER(F79),F79/C79*100,"N/A")</f>
        <v>-30.3853497656657</v>
      </c>
      <c r="H79" s="3" t="str">
        <f aca="false">IF(NOT(ISNUMBER(F79)),"NO CURRENT DATA",IF(F79&gt;0,"RISEN",IF(F79&lt;0,"FALLEN","UNCHANGED")))</f>
        <v>FALLEN</v>
      </c>
      <c r="I79" s="3" t="s">
        <v>1480</v>
      </c>
      <c r="J79" s="3" t="n">
        <v>0</v>
      </c>
    </row>
    <row r="80" customFormat="false" ht="15" hidden="false" customHeight="false" outlineLevel="0" collapsed="false">
      <c r="A80" s="3" t="s">
        <v>252</v>
      </c>
      <c r="B80" s="3" t="s">
        <v>272</v>
      </c>
      <c r="C80" s="4" t="n">
        <v>347.5</v>
      </c>
      <c r="D80" s="4" t="n">
        <v>321.1</v>
      </c>
      <c r="E80" s="3" t="s">
        <v>1479</v>
      </c>
      <c r="F80" s="4" t="n">
        <f aca="false">IF(AND(ISNUMBER(C80),ISNUMBER(D80)),D80-C80,"N/A")</f>
        <v>-26.4</v>
      </c>
      <c r="G80" s="6" t="n">
        <f aca="false">IF(ISNUMBER(F80),F80/C80*100,"N/A")</f>
        <v>-7.59712230215827</v>
      </c>
      <c r="H80" s="3" t="str">
        <f aca="false">IF(NOT(ISNUMBER(F80)),"NO CURRENT DATA",IF(F80&gt;0,"RISEN",IF(F80&lt;0,"FALLEN","UNCHANGED")))</f>
        <v>FALLEN</v>
      </c>
      <c r="I80" s="3" t="s">
        <v>1480</v>
      </c>
      <c r="J80" s="3" t="n">
        <v>0</v>
      </c>
    </row>
    <row r="81" customFormat="false" ht="15" hidden="false" customHeight="false" outlineLevel="0" collapsed="false">
      <c r="A81" s="3" t="s">
        <v>252</v>
      </c>
      <c r="B81" s="3" t="s">
        <v>275</v>
      </c>
      <c r="C81" s="4" t="n">
        <v>604.7</v>
      </c>
      <c r="D81" s="4" t="n">
        <v>390.8</v>
      </c>
      <c r="E81" s="3" t="s">
        <v>1479</v>
      </c>
      <c r="F81" s="4" t="n">
        <f aca="false">IF(AND(ISNUMBER(C81),ISNUMBER(D81)),D81-C81,"N/A")</f>
        <v>-213.9</v>
      </c>
      <c r="G81" s="6" t="n">
        <f aca="false">IF(ISNUMBER(F81),F81/C81*100,"N/A")</f>
        <v>-35.3729121878618</v>
      </c>
      <c r="H81" s="3" t="str">
        <f aca="false">IF(NOT(ISNUMBER(F81)),"NO CURRENT DATA",IF(F81&gt;0,"RISEN",IF(F81&lt;0,"FALLEN","UNCHANGED")))</f>
        <v>FALLEN</v>
      </c>
      <c r="I81" s="3" t="s">
        <v>1480</v>
      </c>
      <c r="J81" s="3" t="n">
        <v>0</v>
      </c>
    </row>
    <row r="82" customFormat="false" ht="15" hidden="false" customHeight="false" outlineLevel="0" collapsed="false">
      <c r="A82" s="3" t="s">
        <v>252</v>
      </c>
      <c r="B82" s="3" t="s">
        <v>117</v>
      </c>
      <c r="C82" s="4" t="n">
        <v>283.75</v>
      </c>
      <c r="D82" s="4" t="n">
        <v>289.85</v>
      </c>
      <c r="E82" s="3" t="s">
        <v>1479</v>
      </c>
      <c r="F82" s="4" t="n">
        <f aca="false">IF(AND(ISNUMBER(C82),ISNUMBER(D82)),D82-C82,"N/A")</f>
        <v>6.10000000000002</v>
      </c>
      <c r="G82" s="6" t="n">
        <f aca="false">IF(ISNUMBER(F82),F82/C82*100,"N/A")</f>
        <v>2.14977973568283</v>
      </c>
      <c r="H82" s="3" t="str">
        <f aca="false">IF(NOT(ISNUMBER(F82)),"NO CURRENT DATA",IF(F82&gt;0,"RISEN",IF(F82&lt;0,"FALLEN","UNCHANGED")))</f>
        <v>RISEN</v>
      </c>
      <c r="I82" s="3" t="s">
        <v>1480</v>
      </c>
      <c r="J82" s="3" t="n">
        <v>1</v>
      </c>
    </row>
    <row r="83" customFormat="false" ht="15" hidden="false" customHeight="false" outlineLevel="0" collapsed="false">
      <c r="A83" s="3" t="s">
        <v>252</v>
      </c>
      <c r="B83" s="3" t="s">
        <v>279</v>
      </c>
      <c r="C83" s="4" t="n">
        <v>720.05</v>
      </c>
      <c r="D83" s="4" t="n">
        <v>549.5</v>
      </c>
      <c r="E83" s="3" t="s">
        <v>1479</v>
      </c>
      <c r="F83" s="4" t="n">
        <f aca="false">IF(AND(ISNUMBER(C83),ISNUMBER(D83)),D83-C83,"N/A")</f>
        <v>-170.55</v>
      </c>
      <c r="G83" s="6" t="n">
        <f aca="false">IF(ISNUMBER(F83),F83/C83*100,"N/A")</f>
        <v>-23.685855148948</v>
      </c>
      <c r="H83" s="3" t="str">
        <f aca="false">IF(NOT(ISNUMBER(F83)),"NO CURRENT DATA",IF(F83&gt;0,"RISEN",IF(F83&lt;0,"FALLEN","UNCHANGED")))</f>
        <v>FALLEN</v>
      </c>
      <c r="I83" s="3" t="s">
        <v>1480</v>
      </c>
      <c r="J83" s="3" t="n">
        <v>0</v>
      </c>
    </row>
    <row r="84" customFormat="false" ht="15" hidden="false" customHeight="false" outlineLevel="0" collapsed="false">
      <c r="A84" s="3" t="s">
        <v>282</v>
      </c>
      <c r="B84" s="3" t="s">
        <v>199</v>
      </c>
      <c r="C84" s="4" t="n">
        <v>376.6</v>
      </c>
      <c r="D84" s="4" t="n">
        <v>374.9</v>
      </c>
      <c r="E84" s="3" t="s">
        <v>1479</v>
      </c>
      <c r="F84" s="4" t="n">
        <f aca="false">IF(AND(ISNUMBER(C84),ISNUMBER(D84)),D84-C84,"N/A")</f>
        <v>-1.70000000000005</v>
      </c>
      <c r="G84" s="6" t="n">
        <f aca="false">IF(ISNUMBER(F84),F84/C84*100,"N/A")</f>
        <v>-0.451407328730761</v>
      </c>
      <c r="H84" s="3" t="str">
        <f aca="false">IF(NOT(ISNUMBER(F84)),"NO CURRENT DATA",IF(F84&gt;0,"RISEN",IF(F84&lt;0,"FALLEN","UNCHANGED")))</f>
        <v>FALLEN</v>
      </c>
      <c r="I84" s="3" t="s">
        <v>1480</v>
      </c>
      <c r="J84" s="3" t="n">
        <v>1</v>
      </c>
    </row>
    <row r="85" customFormat="false" ht="15" hidden="false" customHeight="false" outlineLevel="0" collapsed="false">
      <c r="A85" s="3" t="s">
        <v>282</v>
      </c>
      <c r="B85" s="3" t="s">
        <v>284</v>
      </c>
      <c r="C85" s="4" t="n">
        <v>1882.8</v>
      </c>
      <c r="D85" s="4" t="n">
        <v>2325.7</v>
      </c>
      <c r="E85" s="3" t="s">
        <v>1479</v>
      </c>
      <c r="F85" s="4" t="n">
        <f aca="false">IF(AND(ISNUMBER(C85),ISNUMBER(D85)),D85-C85,"N/A")</f>
        <v>442.9</v>
      </c>
      <c r="G85" s="6" t="n">
        <f aca="false">IF(ISNUMBER(F85),F85/C85*100,"N/A")</f>
        <v>23.5234756745273</v>
      </c>
      <c r="H85" s="3" t="str">
        <f aca="false">IF(NOT(ISNUMBER(F85)),"NO CURRENT DATA",IF(F85&gt;0,"RISEN",IF(F85&lt;0,"FALLEN","UNCHANGED")))</f>
        <v>RISEN</v>
      </c>
      <c r="I85" s="3" t="s">
        <v>1480</v>
      </c>
      <c r="J85" s="3" t="n">
        <v>0</v>
      </c>
    </row>
    <row r="86" customFormat="false" ht="15" hidden="false" customHeight="false" outlineLevel="0" collapsed="false">
      <c r="A86" s="3" t="s">
        <v>282</v>
      </c>
      <c r="B86" s="3" t="s">
        <v>260</v>
      </c>
      <c r="C86" s="4" t="n">
        <v>94.47</v>
      </c>
      <c r="D86" s="4" t="n">
        <v>94.75</v>
      </c>
      <c r="E86" s="3" t="s">
        <v>1479</v>
      </c>
      <c r="F86" s="4" t="n">
        <f aca="false">IF(AND(ISNUMBER(C86),ISNUMBER(D86)),D86-C86,"N/A")</f>
        <v>0.280000000000001</v>
      </c>
      <c r="G86" s="6" t="n">
        <f aca="false">IF(ISNUMBER(F86),F86/C86*100,"N/A")</f>
        <v>0.296390388483118</v>
      </c>
      <c r="H86" s="3" t="str">
        <f aca="false">IF(NOT(ISNUMBER(F86)),"NO CURRENT DATA",IF(F86&gt;0,"RISEN",IF(F86&lt;0,"FALLEN","UNCHANGED")))</f>
        <v>RISEN</v>
      </c>
      <c r="I86" s="3" t="s">
        <v>1480</v>
      </c>
      <c r="J86" s="3" t="n">
        <v>0</v>
      </c>
    </row>
    <row r="87" customFormat="false" ht="15" hidden="false" customHeight="false" outlineLevel="0" collapsed="false">
      <c r="A87" s="3" t="s">
        <v>288</v>
      </c>
      <c r="B87" s="3" t="s">
        <v>289</v>
      </c>
      <c r="C87" s="4" t="n">
        <v>141.53</v>
      </c>
      <c r="D87" s="4" t="n">
        <v>155.22</v>
      </c>
      <c r="E87" s="3" t="s">
        <v>1479</v>
      </c>
      <c r="F87" s="4" t="n">
        <f aca="false">IF(AND(ISNUMBER(C87),ISNUMBER(D87)),D87-C87,"N/A")</f>
        <v>13.69</v>
      </c>
      <c r="G87" s="6" t="n">
        <f aca="false">IF(ISNUMBER(F87),F87/C87*100,"N/A")</f>
        <v>9.67286087755246</v>
      </c>
      <c r="H87" s="3" t="str">
        <f aca="false">IF(NOT(ISNUMBER(F87)),"NO CURRENT DATA",IF(F87&gt;0,"RISEN",IF(F87&lt;0,"FALLEN","UNCHANGED")))</f>
        <v>RISEN</v>
      </c>
      <c r="I87" s="3" t="s">
        <v>1480</v>
      </c>
      <c r="J87" s="3" t="n">
        <v>0</v>
      </c>
    </row>
    <row r="88" customFormat="false" ht="15" hidden="false" customHeight="false" outlineLevel="0" collapsed="false">
      <c r="A88" s="3" t="s">
        <v>288</v>
      </c>
      <c r="B88" s="3" t="s">
        <v>104</v>
      </c>
      <c r="C88" s="4" t="n">
        <v>476</v>
      </c>
      <c r="D88" s="4" t="n">
        <v>342.45</v>
      </c>
      <c r="E88" s="3" t="s">
        <v>1479</v>
      </c>
      <c r="F88" s="4" t="n">
        <f aca="false">IF(AND(ISNUMBER(C88),ISNUMBER(D88)),D88-C88,"N/A")</f>
        <v>-133.55</v>
      </c>
      <c r="G88" s="6" t="n">
        <f aca="false">IF(ISNUMBER(F88),F88/C88*100,"N/A")</f>
        <v>-28.0567226890756</v>
      </c>
      <c r="H88" s="3" t="str">
        <f aca="false">IF(NOT(ISNUMBER(F88)),"NO CURRENT DATA",IF(F88&gt;0,"RISEN",IF(F88&lt;0,"FALLEN","UNCHANGED")))</f>
        <v>FALLEN</v>
      </c>
      <c r="I88" s="3" t="s">
        <v>1480</v>
      </c>
      <c r="J88" s="3" t="n">
        <v>2</v>
      </c>
    </row>
    <row r="89" customFormat="false" ht="15" hidden="false" customHeight="false" outlineLevel="0" collapsed="false">
      <c r="A89" s="3" t="s">
        <v>288</v>
      </c>
      <c r="B89" s="3" t="s">
        <v>293</v>
      </c>
      <c r="C89" s="4" t="n">
        <v>858.7</v>
      </c>
      <c r="D89" s="4" t="n">
        <v>802.45</v>
      </c>
      <c r="E89" s="3" t="s">
        <v>1479</v>
      </c>
      <c r="F89" s="4" t="n">
        <f aca="false">IF(AND(ISNUMBER(C89),ISNUMBER(D89)),D89-C89,"N/A")</f>
        <v>-56.25</v>
      </c>
      <c r="G89" s="6" t="n">
        <f aca="false">IF(ISNUMBER(F89),F89/C89*100,"N/A")</f>
        <v>-6.55059974379877</v>
      </c>
      <c r="H89" s="3" t="str">
        <f aca="false">IF(NOT(ISNUMBER(F89)),"NO CURRENT DATA",IF(F89&gt;0,"RISEN",IF(F89&lt;0,"FALLEN","UNCHANGED")))</f>
        <v>FALLEN</v>
      </c>
      <c r="I89" s="3" t="s">
        <v>1480</v>
      </c>
      <c r="J89" s="3" t="n">
        <v>0</v>
      </c>
    </row>
    <row r="90" customFormat="false" ht="15" hidden="false" customHeight="false" outlineLevel="0" collapsed="false">
      <c r="A90" s="3" t="s">
        <v>288</v>
      </c>
      <c r="B90" s="3" t="s">
        <v>296</v>
      </c>
      <c r="C90" s="4" t="n">
        <v>1963.5</v>
      </c>
      <c r="D90" s="4" t="n">
        <v>2062</v>
      </c>
      <c r="E90" s="3" t="s">
        <v>1479</v>
      </c>
      <c r="F90" s="4" t="n">
        <f aca="false">IF(AND(ISNUMBER(C90),ISNUMBER(D90)),D90-C90,"N/A")</f>
        <v>98.5</v>
      </c>
      <c r="G90" s="6" t="n">
        <f aca="false">IF(ISNUMBER(F90),F90/C90*100,"N/A")</f>
        <v>5.01655207537561</v>
      </c>
      <c r="H90" s="3" t="str">
        <f aca="false">IF(NOT(ISNUMBER(F90)),"NO CURRENT DATA",IF(F90&gt;0,"RISEN",IF(F90&lt;0,"FALLEN","UNCHANGED")))</f>
        <v>RISEN</v>
      </c>
      <c r="I90" s="3" t="s">
        <v>1480</v>
      </c>
      <c r="J90" s="3" t="n">
        <v>0</v>
      </c>
    </row>
    <row r="91" customFormat="false" ht="15" hidden="false" customHeight="false" outlineLevel="0" collapsed="false">
      <c r="A91" s="3" t="s">
        <v>288</v>
      </c>
      <c r="B91" s="3" t="s">
        <v>300</v>
      </c>
      <c r="C91" s="4" t="n">
        <v>937</v>
      </c>
      <c r="D91" s="4" t="n">
        <v>962</v>
      </c>
      <c r="E91" s="3" t="s">
        <v>1479</v>
      </c>
      <c r="F91" s="4" t="n">
        <f aca="false">IF(AND(ISNUMBER(C91),ISNUMBER(D91)),D91-C91,"N/A")</f>
        <v>25</v>
      </c>
      <c r="G91" s="6" t="n">
        <f aca="false">IF(ISNUMBER(F91),F91/C91*100,"N/A")</f>
        <v>2.66808964781217</v>
      </c>
      <c r="H91" s="3" t="str">
        <f aca="false">IF(NOT(ISNUMBER(F91)),"NO CURRENT DATA",IF(F91&gt;0,"RISEN",IF(F91&lt;0,"FALLEN","UNCHANGED")))</f>
        <v>RISEN</v>
      </c>
      <c r="I91" s="3" t="s">
        <v>1480</v>
      </c>
      <c r="J91" s="3" t="n">
        <v>0</v>
      </c>
    </row>
    <row r="92" customFormat="false" ht="15" hidden="false" customHeight="false" outlineLevel="0" collapsed="false">
      <c r="A92" s="3" t="s">
        <v>288</v>
      </c>
      <c r="B92" s="3" t="s">
        <v>303</v>
      </c>
      <c r="C92" s="4" t="n">
        <v>748.9</v>
      </c>
      <c r="D92" s="4" t="n">
        <v>976.3</v>
      </c>
      <c r="E92" s="3" t="s">
        <v>1479</v>
      </c>
      <c r="F92" s="4" t="n">
        <f aca="false">IF(AND(ISNUMBER(C92),ISNUMBER(D92)),D92-C92,"N/A")</f>
        <v>227.4</v>
      </c>
      <c r="G92" s="6" t="n">
        <f aca="false">IF(ISNUMBER(F92),F92/C92*100,"N/A")</f>
        <v>30.3645346508212</v>
      </c>
      <c r="H92" s="3" t="str">
        <f aca="false">IF(NOT(ISNUMBER(F92)),"NO CURRENT DATA",IF(F92&gt;0,"RISEN",IF(F92&lt;0,"FALLEN","UNCHANGED")))</f>
        <v>RISEN</v>
      </c>
      <c r="I92" s="3" t="s">
        <v>1480</v>
      </c>
      <c r="J92" s="3" t="n">
        <v>0</v>
      </c>
    </row>
    <row r="93" customFormat="false" ht="15" hidden="false" customHeight="false" outlineLevel="0" collapsed="false">
      <c r="A93" s="3" t="s">
        <v>306</v>
      </c>
      <c r="B93" s="3" t="s">
        <v>182</v>
      </c>
      <c r="C93" s="4" t="n">
        <v>1480.7</v>
      </c>
      <c r="D93" s="4" t="n">
        <v>1370.5</v>
      </c>
      <c r="E93" s="3" t="s">
        <v>1479</v>
      </c>
      <c r="F93" s="4" t="n">
        <f aca="false">IF(AND(ISNUMBER(C93),ISNUMBER(D93)),D93-C93,"N/A")</f>
        <v>-110.2</v>
      </c>
      <c r="G93" s="6" t="n">
        <f aca="false">IF(ISNUMBER(F93),F93/C93*100,"N/A")</f>
        <v>-7.44242587965152</v>
      </c>
      <c r="H93" s="3" t="str">
        <f aca="false">IF(NOT(ISNUMBER(F93)),"NO CURRENT DATA",IF(F93&gt;0,"RISEN",IF(F93&lt;0,"FALLEN","UNCHANGED")))</f>
        <v>FALLEN</v>
      </c>
      <c r="I93" s="3" t="s">
        <v>1480</v>
      </c>
      <c r="J93" s="3" t="n">
        <v>1</v>
      </c>
    </row>
    <row r="94" customFormat="false" ht="15" hidden="false" customHeight="false" outlineLevel="0" collapsed="false">
      <c r="A94" s="3" t="s">
        <v>306</v>
      </c>
      <c r="B94" s="3" t="s">
        <v>199</v>
      </c>
      <c r="C94" s="4" t="n">
        <v>377.15</v>
      </c>
      <c r="D94" s="4" t="n">
        <v>374.9</v>
      </c>
      <c r="E94" s="3" t="s">
        <v>1479</v>
      </c>
      <c r="F94" s="4" t="n">
        <f aca="false">IF(AND(ISNUMBER(C94),ISNUMBER(D94)),D94-C94,"N/A")</f>
        <v>-2.25</v>
      </c>
      <c r="G94" s="6" t="n">
        <f aca="false">IF(ISNUMBER(F94),F94/C94*100,"N/A")</f>
        <v>-0.596579610234655</v>
      </c>
      <c r="H94" s="3" t="str">
        <f aca="false">IF(NOT(ISNUMBER(F94)),"NO CURRENT DATA",IF(F94&gt;0,"RISEN",IF(F94&lt;0,"FALLEN","UNCHANGED")))</f>
        <v>FALLEN</v>
      </c>
      <c r="I94" s="3" t="s">
        <v>1480</v>
      </c>
      <c r="J94" s="3" t="n">
        <v>2</v>
      </c>
    </row>
    <row r="95" customFormat="false" ht="15" hidden="false" customHeight="false" outlineLevel="0" collapsed="false">
      <c r="A95" s="3" t="s">
        <v>306</v>
      </c>
      <c r="B95" s="3" t="s">
        <v>309</v>
      </c>
      <c r="C95" s="4" t="n">
        <v>4379.7</v>
      </c>
      <c r="D95" s="4" t="n">
        <v>4855</v>
      </c>
      <c r="E95" s="3" t="s">
        <v>1479</v>
      </c>
      <c r="F95" s="4" t="n">
        <f aca="false">IF(AND(ISNUMBER(C95),ISNUMBER(D95)),D95-C95,"N/A")</f>
        <v>475.3</v>
      </c>
      <c r="G95" s="6" t="n">
        <f aca="false">IF(ISNUMBER(F95),F95/C95*100,"N/A")</f>
        <v>10.8523414845766</v>
      </c>
      <c r="H95" s="3" t="str">
        <f aca="false">IF(NOT(ISNUMBER(F95)),"NO CURRENT DATA",IF(F95&gt;0,"RISEN",IF(F95&lt;0,"FALLEN","UNCHANGED")))</f>
        <v>RISEN</v>
      </c>
      <c r="I95" s="3" t="s">
        <v>1480</v>
      </c>
      <c r="J95" s="3" t="n">
        <v>0</v>
      </c>
    </row>
    <row r="96" customFormat="false" ht="15" hidden="false" customHeight="false" outlineLevel="0" collapsed="false">
      <c r="A96" s="3" t="s">
        <v>306</v>
      </c>
      <c r="B96" s="3" t="s">
        <v>312</v>
      </c>
      <c r="C96" s="4" t="n">
        <v>919.9</v>
      </c>
      <c r="D96" s="4" t="n">
        <v>400.65</v>
      </c>
      <c r="E96" s="3" t="s">
        <v>1479</v>
      </c>
      <c r="F96" s="4" t="n">
        <f aca="false">IF(AND(ISNUMBER(C96),ISNUMBER(D96)),D96-C96,"N/A")</f>
        <v>-519.25</v>
      </c>
      <c r="G96" s="6" t="n">
        <f aca="false">IF(ISNUMBER(F96),F96/C96*100,"N/A")</f>
        <v>-56.4463528644418</v>
      </c>
      <c r="H96" s="3" t="str">
        <f aca="false">IF(NOT(ISNUMBER(F96)),"NO CURRENT DATA",IF(F96&gt;0,"RISEN",IF(F96&lt;0,"FALLEN","UNCHANGED")))</f>
        <v>FALLEN</v>
      </c>
      <c r="I96" s="3" t="s">
        <v>1486</v>
      </c>
      <c r="J96" s="3" t="n">
        <v>0</v>
      </c>
    </row>
    <row r="97" customFormat="false" ht="15" hidden="false" customHeight="false" outlineLevel="0" collapsed="false">
      <c r="A97" s="3" t="s">
        <v>306</v>
      </c>
      <c r="B97" s="3" t="s">
        <v>296</v>
      </c>
      <c r="C97" s="4" t="n">
        <v>1983.8</v>
      </c>
      <c r="D97" s="4" t="n">
        <v>2062</v>
      </c>
      <c r="E97" s="3" t="s">
        <v>1479</v>
      </c>
      <c r="F97" s="4" t="n">
        <f aca="false">IF(AND(ISNUMBER(C97),ISNUMBER(D97)),D97-C97,"N/A")</f>
        <v>78.2000000000001</v>
      </c>
      <c r="G97" s="6" t="n">
        <f aca="false">IF(ISNUMBER(F97),F97/C97*100,"N/A")</f>
        <v>3.94192963000303</v>
      </c>
      <c r="H97" s="3" t="str">
        <f aca="false">IF(NOT(ISNUMBER(F97)),"NO CURRENT DATA",IF(F97&gt;0,"RISEN",IF(F97&lt;0,"FALLEN","UNCHANGED")))</f>
        <v>RISEN</v>
      </c>
      <c r="I97" s="3" t="s">
        <v>1480</v>
      </c>
      <c r="J97" s="3" t="n">
        <v>0</v>
      </c>
    </row>
    <row r="98" customFormat="false" ht="15" hidden="false" customHeight="false" outlineLevel="0" collapsed="false">
      <c r="A98" s="3" t="s">
        <v>318</v>
      </c>
      <c r="B98" s="3" t="s">
        <v>319</v>
      </c>
      <c r="C98" s="4" t="n">
        <v>1745.9</v>
      </c>
      <c r="D98" s="4" t="n">
        <v>1634.2</v>
      </c>
      <c r="E98" s="3" t="s">
        <v>1479</v>
      </c>
      <c r="F98" s="4" t="n">
        <f aca="false">IF(AND(ISNUMBER(C98),ISNUMBER(D98)),D98-C98,"N/A")</f>
        <v>-111.7</v>
      </c>
      <c r="G98" s="6" t="n">
        <f aca="false">IF(ISNUMBER(F98),F98/C98*100,"N/A")</f>
        <v>-6.39784638295435</v>
      </c>
      <c r="H98" s="3" t="str">
        <f aca="false">IF(NOT(ISNUMBER(F98)),"NO CURRENT DATA",IF(F98&gt;0,"RISEN",IF(F98&lt;0,"FALLEN","UNCHANGED")))</f>
        <v>FALLEN</v>
      </c>
      <c r="I98" s="3" t="s">
        <v>1480</v>
      </c>
      <c r="J98" s="3" t="n">
        <v>0</v>
      </c>
    </row>
    <row r="99" customFormat="false" ht="15" hidden="false" customHeight="false" outlineLevel="0" collapsed="false">
      <c r="A99" s="3" t="s">
        <v>318</v>
      </c>
      <c r="B99" s="3" t="s">
        <v>96</v>
      </c>
      <c r="C99" s="4" t="n">
        <v>484.85</v>
      </c>
      <c r="D99" s="4" t="n">
        <v>407.5</v>
      </c>
      <c r="E99" s="3" t="s">
        <v>1479</v>
      </c>
      <c r="F99" s="4" t="n">
        <f aca="false">IF(AND(ISNUMBER(C99),ISNUMBER(D99)),D99-C99,"N/A")</f>
        <v>-77.35</v>
      </c>
      <c r="G99" s="6" t="n">
        <f aca="false">IF(ISNUMBER(F99),F99/C99*100,"N/A")</f>
        <v>-15.9533876456636</v>
      </c>
      <c r="H99" s="3" t="str">
        <f aca="false">IF(NOT(ISNUMBER(F99)),"NO CURRENT DATA",IF(F99&gt;0,"RISEN",IF(F99&lt;0,"FALLEN","UNCHANGED")))</f>
        <v>FALLEN</v>
      </c>
      <c r="I99" s="3" t="s">
        <v>1480</v>
      </c>
      <c r="J99" s="3" t="n">
        <v>1</v>
      </c>
    </row>
    <row r="100" customFormat="false" ht="15" hidden="false" customHeight="false" outlineLevel="0" collapsed="false">
      <c r="A100" s="3" t="s">
        <v>318</v>
      </c>
      <c r="B100" s="3" t="s">
        <v>296</v>
      </c>
      <c r="C100" s="4" t="n">
        <v>1997</v>
      </c>
      <c r="D100" s="4" t="n">
        <v>2062</v>
      </c>
      <c r="E100" s="3" t="s">
        <v>1479</v>
      </c>
      <c r="F100" s="4" t="n">
        <f aca="false">IF(AND(ISNUMBER(C100),ISNUMBER(D100)),D100-C100,"N/A")</f>
        <v>65</v>
      </c>
      <c r="G100" s="6" t="n">
        <f aca="false">IF(ISNUMBER(F100),F100/C100*100,"N/A")</f>
        <v>3.25488232348523</v>
      </c>
      <c r="H100" s="3" t="str">
        <f aca="false">IF(NOT(ISNUMBER(F100)),"NO CURRENT DATA",IF(F100&gt;0,"RISEN",IF(F100&lt;0,"FALLEN","UNCHANGED")))</f>
        <v>RISEN</v>
      </c>
      <c r="I100" s="3" t="s">
        <v>1480</v>
      </c>
      <c r="J100" s="3" t="n">
        <v>0</v>
      </c>
    </row>
    <row r="101" customFormat="false" ht="15" hidden="false" customHeight="false" outlineLevel="0" collapsed="false">
      <c r="A101" s="3" t="s">
        <v>318</v>
      </c>
      <c r="B101" s="3" t="s">
        <v>80</v>
      </c>
      <c r="C101" s="4" t="n">
        <v>1592.4</v>
      </c>
      <c r="D101" s="4" t="n">
        <v>1444</v>
      </c>
      <c r="E101" s="3" t="s">
        <v>1479</v>
      </c>
      <c r="F101" s="4" t="n">
        <f aca="false">IF(AND(ISNUMBER(C101),ISNUMBER(D101)),D101-C101,"N/A")</f>
        <v>-148.4</v>
      </c>
      <c r="G101" s="6" t="n">
        <f aca="false">IF(ISNUMBER(F101),F101/C101*100,"N/A")</f>
        <v>-9.31926651595077</v>
      </c>
      <c r="H101" s="3" t="str">
        <f aca="false">IF(NOT(ISNUMBER(F101)),"NO CURRENT DATA",IF(F101&gt;0,"RISEN",IF(F101&lt;0,"FALLEN","UNCHANGED")))</f>
        <v>FALLEN</v>
      </c>
      <c r="I101" s="3" t="s">
        <v>1480</v>
      </c>
      <c r="J101" s="3" t="n">
        <v>1</v>
      </c>
    </row>
    <row r="102" customFormat="false" ht="15" hidden="false" customHeight="false" outlineLevel="0" collapsed="false">
      <c r="A102" s="3" t="s">
        <v>326</v>
      </c>
      <c r="B102" s="3" t="s">
        <v>199</v>
      </c>
      <c r="C102" s="4" t="n">
        <v>385.2</v>
      </c>
      <c r="D102" s="4" t="n">
        <v>374.9</v>
      </c>
      <c r="E102" s="3" t="s">
        <v>1479</v>
      </c>
      <c r="F102" s="4" t="n">
        <f aca="false">IF(AND(ISNUMBER(C102),ISNUMBER(D102)),D102-C102,"N/A")</f>
        <v>-10.3</v>
      </c>
      <c r="G102" s="6" t="n">
        <f aca="false">IF(ISNUMBER(F102),F102/C102*100,"N/A")</f>
        <v>-2.67393561786085</v>
      </c>
      <c r="H102" s="3" t="str">
        <f aca="false">IF(NOT(ISNUMBER(F102)),"NO CURRENT DATA",IF(F102&gt;0,"RISEN",IF(F102&lt;0,"FALLEN","UNCHANGED")))</f>
        <v>FALLEN</v>
      </c>
      <c r="I102" s="3" t="s">
        <v>1480</v>
      </c>
      <c r="J102" s="3" t="n">
        <v>3</v>
      </c>
    </row>
    <row r="103" customFormat="false" ht="15" hidden="false" customHeight="false" outlineLevel="0" collapsed="false">
      <c r="A103" s="3" t="s">
        <v>326</v>
      </c>
      <c r="B103" s="3" t="s">
        <v>328</v>
      </c>
      <c r="C103" s="4" t="n">
        <v>6013.5</v>
      </c>
      <c r="D103" s="4" t="n">
        <v>4915</v>
      </c>
      <c r="E103" s="3" t="s">
        <v>1479</v>
      </c>
      <c r="F103" s="4" t="n">
        <f aca="false">IF(AND(ISNUMBER(C103),ISNUMBER(D103)),D103-C103,"N/A")</f>
        <v>-1098.5</v>
      </c>
      <c r="G103" s="6" t="n">
        <f aca="false">IF(ISNUMBER(F103),F103/C103*100,"N/A")</f>
        <v>-18.2672320611956</v>
      </c>
      <c r="H103" s="3" t="str">
        <f aca="false">IF(NOT(ISNUMBER(F103)),"NO CURRENT DATA",IF(F103&gt;0,"RISEN",IF(F103&lt;0,"FALLEN","UNCHANGED")))</f>
        <v>FALLEN</v>
      </c>
      <c r="I103" s="3" t="s">
        <v>1480</v>
      </c>
      <c r="J103" s="3" t="n">
        <v>0</v>
      </c>
    </row>
    <row r="104" customFormat="false" ht="15" hidden="false" customHeight="false" outlineLevel="0" collapsed="false">
      <c r="A104" s="3" t="s">
        <v>326</v>
      </c>
      <c r="B104" s="3" t="s">
        <v>66</v>
      </c>
      <c r="C104" s="4" t="n">
        <v>6883.5</v>
      </c>
      <c r="D104" s="4" t="n">
        <v>9550</v>
      </c>
      <c r="E104" s="3" t="s">
        <v>1479</v>
      </c>
      <c r="F104" s="4" t="n">
        <f aca="false">IF(AND(ISNUMBER(C104),ISNUMBER(D104)),D104-C104,"N/A")</f>
        <v>2666.5</v>
      </c>
      <c r="G104" s="6" t="n">
        <f aca="false">IF(ISNUMBER(F104),F104/C104*100,"N/A")</f>
        <v>38.7375608338781</v>
      </c>
      <c r="H104" s="3" t="str">
        <f aca="false">IF(NOT(ISNUMBER(F104)),"NO CURRENT DATA",IF(F104&gt;0,"RISEN",IF(F104&lt;0,"FALLEN","UNCHANGED")))</f>
        <v>RISEN</v>
      </c>
      <c r="I104" s="3" t="s">
        <v>1480</v>
      </c>
      <c r="J104" s="3" t="n">
        <v>2</v>
      </c>
    </row>
    <row r="105" customFormat="false" ht="15" hidden="false" customHeight="false" outlineLevel="0" collapsed="false">
      <c r="A105" s="3" t="s">
        <v>332</v>
      </c>
      <c r="B105" s="3" t="s">
        <v>333</v>
      </c>
      <c r="C105" s="4" t="n">
        <v>5668.5</v>
      </c>
      <c r="D105" s="4" t="n">
        <v>5175</v>
      </c>
      <c r="E105" s="3" t="s">
        <v>1479</v>
      </c>
      <c r="F105" s="4" t="n">
        <f aca="false">IF(AND(ISNUMBER(C105),ISNUMBER(D105)),D105-C105,"N/A")</f>
        <v>-493.5</v>
      </c>
      <c r="G105" s="6" t="n">
        <f aca="false">IF(ISNUMBER(F105),F105/C105*100,"N/A")</f>
        <v>-8.70600688012702</v>
      </c>
      <c r="H105" s="3" t="str">
        <f aca="false">IF(NOT(ISNUMBER(F105)),"NO CURRENT DATA",IF(F105&gt;0,"RISEN",IF(F105&lt;0,"FALLEN","UNCHANGED")))</f>
        <v>FALLEN</v>
      </c>
      <c r="I105" s="3" t="s">
        <v>1480</v>
      </c>
      <c r="J105" s="3" t="n">
        <v>0</v>
      </c>
    </row>
    <row r="106" customFormat="false" ht="15" hidden="false" customHeight="false" outlineLevel="0" collapsed="false">
      <c r="A106" s="3" t="s">
        <v>332</v>
      </c>
      <c r="B106" s="3" t="s">
        <v>328</v>
      </c>
      <c r="C106" s="4" t="n">
        <v>6157.5</v>
      </c>
      <c r="D106" s="4" t="n">
        <v>4915</v>
      </c>
      <c r="E106" s="3" t="s">
        <v>1479</v>
      </c>
      <c r="F106" s="4" t="n">
        <f aca="false">IF(AND(ISNUMBER(C106),ISNUMBER(D106)),D106-C106,"N/A")</f>
        <v>-1242.5</v>
      </c>
      <c r="G106" s="6" t="n">
        <f aca="false">IF(ISNUMBER(F106),F106/C106*100,"N/A")</f>
        <v>-20.1786439301665</v>
      </c>
      <c r="H106" s="3" t="str">
        <f aca="false">IF(NOT(ISNUMBER(F106)),"NO CURRENT DATA",IF(F106&gt;0,"RISEN",IF(F106&lt;0,"FALLEN","UNCHANGED")))</f>
        <v>FALLEN</v>
      </c>
      <c r="I106" s="3" t="s">
        <v>1480</v>
      </c>
      <c r="J106" s="3" t="n">
        <v>0</v>
      </c>
    </row>
    <row r="107" customFormat="false" ht="15" hidden="false" customHeight="false" outlineLevel="0" collapsed="false">
      <c r="A107" s="3" t="s">
        <v>332</v>
      </c>
      <c r="B107" s="3" t="s">
        <v>337</v>
      </c>
      <c r="C107" s="4" t="n">
        <v>6886</v>
      </c>
      <c r="D107" s="4" t="n">
        <v>7213.5</v>
      </c>
      <c r="E107" s="3" t="s">
        <v>1479</v>
      </c>
      <c r="F107" s="4" t="n">
        <f aca="false">IF(AND(ISNUMBER(C107),ISNUMBER(D107)),D107-C107,"N/A")</f>
        <v>327.5</v>
      </c>
      <c r="G107" s="6" t="n">
        <f aca="false">IF(ISNUMBER(F107),F107/C107*100,"N/A")</f>
        <v>4.75602672088295</v>
      </c>
      <c r="H107" s="3" t="str">
        <f aca="false">IF(NOT(ISNUMBER(F107)),"NO CURRENT DATA",IF(F107&gt;0,"RISEN",IF(F107&lt;0,"FALLEN","UNCHANGED")))</f>
        <v>RISEN</v>
      </c>
      <c r="I107" s="3" t="s">
        <v>1480</v>
      </c>
      <c r="J107" s="3" t="n">
        <v>0</v>
      </c>
    </row>
    <row r="108" customFormat="false" ht="15" hidden="false" customHeight="false" outlineLevel="0" collapsed="false">
      <c r="A108" s="3" t="s">
        <v>332</v>
      </c>
      <c r="B108" s="3" t="s">
        <v>303</v>
      </c>
      <c r="C108" s="4" t="n">
        <v>816.35</v>
      </c>
      <c r="D108" s="4" t="n">
        <v>976.3</v>
      </c>
      <c r="E108" s="3" t="s">
        <v>1479</v>
      </c>
      <c r="F108" s="4" t="n">
        <f aca="false">IF(AND(ISNUMBER(C108),ISNUMBER(D108)),D108-C108,"N/A")</f>
        <v>159.95</v>
      </c>
      <c r="G108" s="6" t="n">
        <f aca="false">IF(ISNUMBER(F108),F108/C108*100,"N/A")</f>
        <v>19.5933116922888</v>
      </c>
      <c r="H108" s="3" t="str">
        <f aca="false">IF(NOT(ISNUMBER(F108)),"NO CURRENT DATA",IF(F108&gt;0,"RISEN",IF(F108&lt;0,"FALLEN","UNCHANGED")))</f>
        <v>RISEN</v>
      </c>
      <c r="I108" s="3" t="s">
        <v>1480</v>
      </c>
      <c r="J108" s="3" t="n">
        <v>1</v>
      </c>
    </row>
    <row r="109" customFormat="false" ht="15" hidden="false" customHeight="false" outlineLevel="0" collapsed="false">
      <c r="A109" s="3" t="s">
        <v>341</v>
      </c>
      <c r="B109" s="3" t="s">
        <v>342</v>
      </c>
      <c r="C109" s="4" t="n">
        <v>2650.4</v>
      </c>
      <c r="D109" s="4" t="n">
        <v>2420</v>
      </c>
      <c r="E109" s="3" t="s">
        <v>1479</v>
      </c>
      <c r="F109" s="4" t="n">
        <f aca="false">IF(AND(ISNUMBER(C109),ISNUMBER(D109)),D109-C109,"N/A")</f>
        <v>-230.4</v>
      </c>
      <c r="G109" s="6" t="n">
        <f aca="false">IF(ISNUMBER(F109),F109/C109*100,"N/A")</f>
        <v>-8.69302746755207</v>
      </c>
      <c r="H109" s="3" t="str">
        <f aca="false">IF(NOT(ISNUMBER(F109)),"NO CURRENT DATA",IF(F109&gt;0,"RISEN",IF(F109&lt;0,"FALLEN","UNCHANGED")))</f>
        <v>FALLEN</v>
      </c>
      <c r="I109" s="3" t="s">
        <v>1480</v>
      </c>
      <c r="J109" s="3" t="n">
        <v>0</v>
      </c>
    </row>
    <row r="110" customFormat="false" ht="15" hidden="false" customHeight="false" outlineLevel="0" collapsed="false">
      <c r="A110" s="3" t="s">
        <v>341</v>
      </c>
      <c r="B110" s="3" t="s">
        <v>90</v>
      </c>
      <c r="C110" s="4" t="n">
        <v>8772</v>
      </c>
      <c r="D110" s="4" t="n">
        <v>11024</v>
      </c>
      <c r="E110" s="3" t="s">
        <v>1479</v>
      </c>
      <c r="F110" s="4" t="n">
        <f aca="false">IF(AND(ISNUMBER(C110),ISNUMBER(D110)),D110-C110,"N/A")</f>
        <v>2252</v>
      </c>
      <c r="G110" s="6" t="n">
        <f aca="false">IF(ISNUMBER(F110),F110/C110*100,"N/A")</f>
        <v>25.672594619243</v>
      </c>
      <c r="H110" s="3" t="str">
        <f aca="false">IF(NOT(ISNUMBER(F110)),"NO CURRENT DATA",IF(F110&gt;0,"RISEN",IF(F110&lt;0,"FALLEN","UNCHANGED")))</f>
        <v>RISEN</v>
      </c>
      <c r="I110" s="3" t="s">
        <v>1480</v>
      </c>
      <c r="J110" s="3" t="n">
        <v>1</v>
      </c>
    </row>
    <row r="111" customFormat="false" ht="15" hidden="false" customHeight="false" outlineLevel="0" collapsed="false">
      <c r="A111" s="3" t="s">
        <v>341</v>
      </c>
      <c r="B111" s="3" t="s">
        <v>346</v>
      </c>
      <c r="C111" s="4" t="n">
        <v>277.95</v>
      </c>
      <c r="D111" s="4" t="n">
        <v>313</v>
      </c>
      <c r="E111" s="3" t="s">
        <v>1479</v>
      </c>
      <c r="F111" s="4" t="n">
        <f aca="false">IF(AND(ISNUMBER(C111),ISNUMBER(D111)),D111-C111,"N/A")</f>
        <v>35.05</v>
      </c>
      <c r="G111" s="6" t="n">
        <f aca="false">IF(ISNUMBER(F111),F111/C111*100,"N/A")</f>
        <v>12.6101816873538</v>
      </c>
      <c r="H111" s="3" t="str">
        <f aca="false">IF(NOT(ISNUMBER(F111)),"NO CURRENT DATA",IF(F111&gt;0,"RISEN",IF(F111&lt;0,"FALLEN","UNCHANGED")))</f>
        <v>RISEN</v>
      </c>
      <c r="I111" s="3" t="s">
        <v>1480</v>
      </c>
      <c r="J111" s="3" t="n">
        <v>0</v>
      </c>
    </row>
    <row r="112" customFormat="false" ht="15" hidden="false" customHeight="false" outlineLevel="0" collapsed="false">
      <c r="A112" s="3" t="s">
        <v>341</v>
      </c>
      <c r="B112" s="3" t="s">
        <v>145</v>
      </c>
      <c r="C112" s="4" t="n">
        <v>1397.8</v>
      </c>
      <c r="D112" s="4" t="n">
        <v>1542.2</v>
      </c>
      <c r="E112" s="3" t="s">
        <v>1479</v>
      </c>
      <c r="F112" s="4" t="n">
        <f aca="false">IF(AND(ISNUMBER(C112),ISNUMBER(D112)),D112-C112,"N/A")</f>
        <v>144.4</v>
      </c>
      <c r="G112" s="6" t="n">
        <f aca="false">IF(ISNUMBER(F112),F112/C112*100,"N/A")</f>
        <v>10.3305193876091</v>
      </c>
      <c r="H112" s="3" t="str">
        <f aca="false">IF(NOT(ISNUMBER(F112)),"NO CURRENT DATA",IF(F112&gt;0,"RISEN",IF(F112&lt;0,"FALLEN","UNCHANGED")))</f>
        <v>RISEN</v>
      </c>
      <c r="I112" s="3" t="s">
        <v>1480</v>
      </c>
      <c r="J112" s="3" t="n">
        <v>1</v>
      </c>
    </row>
    <row r="113" customFormat="false" ht="15" hidden="false" customHeight="false" outlineLevel="0" collapsed="false">
      <c r="A113" s="3" t="s">
        <v>350</v>
      </c>
      <c r="B113" s="3" t="s">
        <v>136</v>
      </c>
      <c r="C113" s="4" t="n">
        <v>172.44</v>
      </c>
      <c r="D113" s="4" t="n">
        <v>133.32</v>
      </c>
      <c r="E113" s="3" t="s">
        <v>1479</v>
      </c>
      <c r="F113" s="4" t="n">
        <f aca="false">IF(AND(ISNUMBER(C113),ISNUMBER(D113)),D113-C113,"N/A")</f>
        <v>-39.12</v>
      </c>
      <c r="G113" s="6" t="n">
        <f aca="false">IF(ISNUMBER(F113),F113/C113*100,"N/A")</f>
        <v>-22.6861517049409</v>
      </c>
      <c r="H113" s="3" t="str">
        <f aca="false">IF(NOT(ISNUMBER(F113)),"NO CURRENT DATA",IF(F113&gt;0,"RISEN",IF(F113&lt;0,"FALLEN","UNCHANGED")))</f>
        <v>FALLEN</v>
      </c>
      <c r="I113" s="3" t="s">
        <v>1480</v>
      </c>
      <c r="J113" s="3" t="n">
        <v>3</v>
      </c>
    </row>
    <row r="114" customFormat="false" ht="15" hidden="false" customHeight="false" outlineLevel="0" collapsed="false">
      <c r="A114" s="3" t="s">
        <v>350</v>
      </c>
      <c r="B114" s="3" t="s">
        <v>352</v>
      </c>
      <c r="C114" s="4" t="n">
        <v>6031</v>
      </c>
      <c r="D114" s="4" t="n">
        <v>5328.5</v>
      </c>
      <c r="E114" s="3" t="s">
        <v>1479</v>
      </c>
      <c r="F114" s="4" t="n">
        <f aca="false">IF(AND(ISNUMBER(C114),ISNUMBER(D114)),D114-C114,"N/A")</f>
        <v>-702.5</v>
      </c>
      <c r="G114" s="6" t="n">
        <f aca="false">IF(ISNUMBER(F114),F114/C114*100,"N/A")</f>
        <v>-11.6481512187034</v>
      </c>
      <c r="H114" s="3" t="str">
        <f aca="false">IF(NOT(ISNUMBER(F114)),"NO CURRENT DATA",IF(F114&gt;0,"RISEN",IF(F114&lt;0,"FALLEN","UNCHANGED")))</f>
        <v>FALLEN</v>
      </c>
      <c r="I114" s="3" t="s">
        <v>1480</v>
      </c>
      <c r="J114" s="3" t="n">
        <v>0</v>
      </c>
    </row>
    <row r="115" customFormat="false" ht="15" hidden="false" customHeight="false" outlineLevel="0" collapsed="false">
      <c r="A115" s="3" t="s">
        <v>350</v>
      </c>
      <c r="B115" s="3" t="s">
        <v>145</v>
      </c>
      <c r="C115" s="4" t="n">
        <v>1408</v>
      </c>
      <c r="D115" s="4" t="n">
        <v>1542.2</v>
      </c>
      <c r="E115" s="3" t="s">
        <v>1479</v>
      </c>
      <c r="F115" s="4" t="n">
        <f aca="false">IF(AND(ISNUMBER(C115),ISNUMBER(D115)),D115-C115,"N/A")</f>
        <v>134.2</v>
      </c>
      <c r="G115" s="6" t="n">
        <f aca="false">IF(ISNUMBER(F115),F115/C115*100,"N/A")</f>
        <v>9.53125</v>
      </c>
      <c r="H115" s="3" t="str">
        <f aca="false">IF(NOT(ISNUMBER(F115)),"NO CURRENT DATA",IF(F115&gt;0,"RISEN",IF(F115&lt;0,"FALLEN","UNCHANGED")))</f>
        <v>RISEN</v>
      </c>
      <c r="I115" s="3" t="s">
        <v>1480</v>
      </c>
      <c r="J115" s="3" t="n">
        <v>1</v>
      </c>
    </row>
    <row r="116" customFormat="false" ht="15" hidden="false" customHeight="false" outlineLevel="0" collapsed="false">
      <c r="A116" s="3" t="s">
        <v>356</v>
      </c>
      <c r="B116" s="3" t="s">
        <v>357</v>
      </c>
      <c r="C116" s="4" t="n">
        <v>530.45</v>
      </c>
      <c r="D116" s="4" t="n">
        <v>450</v>
      </c>
      <c r="E116" s="3" t="s">
        <v>1479</v>
      </c>
      <c r="F116" s="4" t="n">
        <f aca="false">IF(AND(ISNUMBER(C116),ISNUMBER(D116)),D116-C116,"N/A")</f>
        <v>-80.4500000000001</v>
      </c>
      <c r="G116" s="6" t="n">
        <f aca="false">IF(ISNUMBER(F116),F116/C116*100,"N/A")</f>
        <v>-15.1663681779621</v>
      </c>
      <c r="H116" s="3" t="str">
        <f aca="false">IF(NOT(ISNUMBER(F116)),"NO CURRENT DATA",IF(F116&gt;0,"RISEN",IF(F116&lt;0,"FALLEN","UNCHANGED")))</f>
        <v>FALLEN</v>
      </c>
      <c r="I116" s="3" t="s">
        <v>1480</v>
      </c>
      <c r="J116" s="3" t="n">
        <v>0</v>
      </c>
    </row>
    <row r="117" customFormat="false" ht="15" hidden="false" customHeight="false" outlineLevel="0" collapsed="false">
      <c r="A117" s="3" t="s">
        <v>356</v>
      </c>
      <c r="B117" s="3" t="s">
        <v>360</v>
      </c>
      <c r="C117" s="4" t="n">
        <v>308.8</v>
      </c>
      <c r="D117" s="4" t="n">
        <v>330.95</v>
      </c>
      <c r="E117" s="3" t="s">
        <v>1479</v>
      </c>
      <c r="F117" s="4" t="n">
        <f aca="false">IF(AND(ISNUMBER(C117),ISNUMBER(D117)),D117-C117,"N/A")</f>
        <v>22.15</v>
      </c>
      <c r="G117" s="6" t="n">
        <f aca="false">IF(ISNUMBER(F117),F117/C117*100,"N/A")</f>
        <v>7.17292746113989</v>
      </c>
      <c r="H117" s="3" t="str">
        <f aca="false">IF(NOT(ISNUMBER(F117)),"NO CURRENT DATA",IF(F117&gt;0,"RISEN",IF(F117&lt;0,"FALLEN","UNCHANGED")))</f>
        <v>RISEN</v>
      </c>
      <c r="I117" s="3" t="s">
        <v>1480</v>
      </c>
      <c r="J117" s="3" t="n">
        <v>0</v>
      </c>
    </row>
    <row r="118" customFormat="false" ht="15" hidden="false" customHeight="false" outlineLevel="0" collapsed="false">
      <c r="A118" s="3" t="s">
        <v>356</v>
      </c>
      <c r="B118" s="3" t="s">
        <v>284</v>
      </c>
      <c r="C118" s="4" t="n">
        <v>1847.8</v>
      </c>
      <c r="D118" s="4" t="n">
        <v>2325.7</v>
      </c>
      <c r="E118" s="3" t="s">
        <v>1479</v>
      </c>
      <c r="F118" s="4" t="n">
        <f aca="false">IF(AND(ISNUMBER(C118),ISNUMBER(D118)),D118-C118,"N/A")</f>
        <v>477.9</v>
      </c>
      <c r="G118" s="6" t="n">
        <f aca="false">IF(ISNUMBER(F118),F118/C118*100,"N/A")</f>
        <v>25.863188656781</v>
      </c>
      <c r="H118" s="3" t="str">
        <f aca="false">IF(NOT(ISNUMBER(F118)),"NO CURRENT DATA",IF(F118&gt;0,"RISEN",IF(F118&lt;0,"FALLEN","UNCHANGED")))</f>
        <v>RISEN</v>
      </c>
      <c r="I118" s="3" t="s">
        <v>1480</v>
      </c>
      <c r="J118" s="3" t="n">
        <v>1</v>
      </c>
    </row>
    <row r="119" customFormat="false" ht="15" hidden="false" customHeight="false" outlineLevel="0" collapsed="false">
      <c r="A119" s="3" t="s">
        <v>356</v>
      </c>
      <c r="B119" s="3" t="s">
        <v>364</v>
      </c>
      <c r="C119" s="4" t="n">
        <v>632.95</v>
      </c>
      <c r="D119" s="4" t="n">
        <v>458.7</v>
      </c>
      <c r="E119" s="3" t="s">
        <v>1479</v>
      </c>
      <c r="F119" s="4" t="n">
        <f aca="false">IF(AND(ISNUMBER(C119),ISNUMBER(D119)),D119-C119,"N/A")</f>
        <v>-174.25</v>
      </c>
      <c r="G119" s="6" t="n">
        <f aca="false">IF(ISNUMBER(F119),F119/C119*100,"N/A")</f>
        <v>-27.5298206809385</v>
      </c>
      <c r="H119" s="3" t="str">
        <f aca="false">IF(NOT(ISNUMBER(F119)),"NO CURRENT DATA",IF(F119&gt;0,"RISEN",IF(F119&lt;0,"FALLEN","UNCHANGED")))</f>
        <v>FALLEN</v>
      </c>
      <c r="I119" s="3" t="s">
        <v>1480</v>
      </c>
      <c r="J119" s="3" t="n">
        <v>0</v>
      </c>
    </row>
    <row r="120" customFormat="false" ht="15" hidden="false" customHeight="false" outlineLevel="0" collapsed="false">
      <c r="A120" s="3" t="s">
        <v>356</v>
      </c>
      <c r="B120" s="3" t="s">
        <v>190</v>
      </c>
      <c r="C120" s="4" t="n">
        <v>5893.5</v>
      </c>
      <c r="D120" s="4" t="s">
        <v>60</v>
      </c>
      <c r="E120" s="3" t="s">
        <v>60</v>
      </c>
      <c r="F120" s="4" t="str">
        <f aca="false">IF(AND(ISNUMBER(C120),ISNUMBER(D120)),D120-C120,"N/A")</f>
        <v>N/A</v>
      </c>
      <c r="G120" s="6" t="str">
        <f aca="false">IF(ISNUMBER(F120),F120/C120*100,"N/A")</f>
        <v>N/A</v>
      </c>
      <c r="H120" s="3" t="str">
        <f aca="false">IF(NOT(ISNUMBER(F120)),"NO CURRENT DATA",IF(F120&gt;0,"RISEN",IF(F120&lt;0,"FALLEN","UNCHANGED")))</f>
        <v>NO CURRENT DATA</v>
      </c>
      <c r="I120" s="3" t="s">
        <v>1484</v>
      </c>
      <c r="J120" s="3" t="n">
        <v>1</v>
      </c>
    </row>
    <row r="121" customFormat="false" ht="15" hidden="false" customHeight="false" outlineLevel="0" collapsed="false">
      <c r="A121" s="3" t="s">
        <v>356</v>
      </c>
      <c r="B121" s="3" t="s">
        <v>368</v>
      </c>
      <c r="C121" s="4" t="n">
        <v>105.92</v>
      </c>
      <c r="D121" s="4" t="n">
        <v>162.37</v>
      </c>
      <c r="E121" s="3" t="s">
        <v>1479</v>
      </c>
      <c r="F121" s="4" t="n">
        <f aca="false">IF(AND(ISNUMBER(C121),ISNUMBER(D121)),D121-C121,"N/A")</f>
        <v>56.45</v>
      </c>
      <c r="G121" s="6" t="n">
        <f aca="false">IF(ISNUMBER(F121),F121/C121*100,"N/A")</f>
        <v>53.2949395770393</v>
      </c>
      <c r="H121" s="3" t="str">
        <f aca="false">IF(NOT(ISNUMBER(F121)),"NO CURRENT DATA",IF(F121&gt;0,"RISEN",IF(F121&lt;0,"FALLEN","UNCHANGED")))</f>
        <v>RISEN</v>
      </c>
      <c r="I121" s="3" t="s">
        <v>1480</v>
      </c>
      <c r="J121" s="3" t="n">
        <v>0</v>
      </c>
    </row>
    <row r="122" customFormat="false" ht="15" hidden="false" customHeight="false" outlineLevel="0" collapsed="false">
      <c r="A122" s="3" t="s">
        <v>356</v>
      </c>
      <c r="B122" s="3" t="s">
        <v>83</v>
      </c>
      <c r="C122" s="4" t="n">
        <v>2941.4</v>
      </c>
      <c r="D122" s="4" t="n">
        <v>2491.5</v>
      </c>
      <c r="E122" s="3" t="s">
        <v>1479</v>
      </c>
      <c r="F122" s="4" t="n">
        <f aca="false">IF(AND(ISNUMBER(C122),ISNUMBER(D122)),D122-C122,"N/A")</f>
        <v>-449.9</v>
      </c>
      <c r="G122" s="6" t="n">
        <f aca="false">IF(ISNUMBER(F122),F122/C122*100,"N/A")</f>
        <v>-15.2954375467464</v>
      </c>
      <c r="H122" s="3" t="str">
        <f aca="false">IF(NOT(ISNUMBER(F122)),"NO CURRENT DATA",IF(F122&gt;0,"RISEN",IF(F122&lt;0,"FALLEN","UNCHANGED")))</f>
        <v>FALLEN</v>
      </c>
      <c r="I122" s="3" t="s">
        <v>1480</v>
      </c>
      <c r="J122" s="3" t="n">
        <v>2</v>
      </c>
    </row>
    <row r="123" customFormat="false" ht="15" hidden="false" customHeight="false" outlineLevel="0" collapsed="false">
      <c r="A123" s="3" t="s">
        <v>356</v>
      </c>
      <c r="B123" s="3" t="s">
        <v>372</v>
      </c>
      <c r="C123" s="4" t="n">
        <v>663.85</v>
      </c>
      <c r="D123" s="4" t="n">
        <v>376</v>
      </c>
      <c r="E123" s="3" t="s">
        <v>1479</v>
      </c>
      <c r="F123" s="4" t="n">
        <f aca="false">IF(AND(ISNUMBER(C123),ISNUMBER(D123)),D123-C123,"N/A")</f>
        <v>-287.85</v>
      </c>
      <c r="G123" s="6" t="n">
        <f aca="false">IF(ISNUMBER(F123),F123/C123*100,"N/A")</f>
        <v>-43.3606989530768</v>
      </c>
      <c r="H123" s="3" t="str">
        <f aca="false">IF(NOT(ISNUMBER(F123)),"NO CURRENT DATA",IF(F123&gt;0,"RISEN",IF(F123&lt;0,"FALLEN","UNCHANGED")))</f>
        <v>FALLEN</v>
      </c>
      <c r="I123" s="3" t="s">
        <v>1480</v>
      </c>
      <c r="J123" s="3" t="n">
        <v>0</v>
      </c>
    </row>
    <row r="124" customFormat="false" ht="15" hidden="false" customHeight="false" outlineLevel="0" collapsed="false">
      <c r="A124" s="3" t="s">
        <v>375</v>
      </c>
      <c r="B124" s="3" t="s">
        <v>284</v>
      </c>
      <c r="C124" s="4" t="n">
        <v>1880.6</v>
      </c>
      <c r="D124" s="4" t="n">
        <v>2325.7</v>
      </c>
      <c r="E124" s="3" t="s">
        <v>1479</v>
      </c>
      <c r="F124" s="4" t="n">
        <f aca="false">IF(AND(ISNUMBER(C124),ISNUMBER(D124)),D124-C124,"N/A")</f>
        <v>445.1</v>
      </c>
      <c r="G124" s="6" t="n">
        <f aca="false">IF(ISNUMBER(F124),F124/C124*100,"N/A")</f>
        <v>23.6679783047963</v>
      </c>
      <c r="H124" s="3" t="str">
        <f aca="false">IF(NOT(ISNUMBER(F124)),"NO CURRENT DATA",IF(F124&gt;0,"RISEN",IF(F124&lt;0,"FALLEN","UNCHANGED")))</f>
        <v>RISEN</v>
      </c>
      <c r="I124" s="3" t="s">
        <v>1480</v>
      </c>
      <c r="J124" s="3" t="n">
        <v>1</v>
      </c>
    </row>
    <row r="125" customFormat="false" ht="15" hidden="false" customHeight="false" outlineLevel="0" collapsed="false">
      <c r="A125" s="3" t="s">
        <v>375</v>
      </c>
      <c r="B125" s="3" t="s">
        <v>114</v>
      </c>
      <c r="C125" s="4" t="n">
        <v>77.39</v>
      </c>
      <c r="D125" s="4" t="n">
        <v>77.43</v>
      </c>
      <c r="E125" s="3" t="s">
        <v>1479</v>
      </c>
      <c r="F125" s="4" t="n">
        <f aca="false">IF(AND(ISNUMBER(C125),ISNUMBER(D125)),D125-C125,"N/A")</f>
        <v>0.0400000000000063</v>
      </c>
      <c r="G125" s="6" t="n">
        <f aca="false">IF(ISNUMBER(F125),F125/C125*100,"N/A")</f>
        <v>0.0516862643752504</v>
      </c>
      <c r="H125" s="3" t="str">
        <f aca="false">IF(NOT(ISNUMBER(F125)),"NO CURRENT DATA",IF(F125&gt;0,"RISEN",IF(F125&lt;0,"FALLEN","UNCHANGED")))</f>
        <v>RISEN</v>
      </c>
      <c r="I125" s="3" t="s">
        <v>1480</v>
      </c>
      <c r="J125" s="3" t="n">
        <v>1</v>
      </c>
    </row>
    <row r="126" customFormat="false" ht="15" hidden="false" customHeight="false" outlineLevel="0" collapsed="false">
      <c r="A126" s="3" t="s">
        <v>378</v>
      </c>
      <c r="B126" s="3" t="s">
        <v>342</v>
      </c>
      <c r="C126" s="4" t="n">
        <v>2906.4</v>
      </c>
      <c r="D126" s="4" t="n">
        <v>2420</v>
      </c>
      <c r="E126" s="3" t="s">
        <v>1479</v>
      </c>
      <c r="F126" s="4" t="n">
        <f aca="false">IF(AND(ISNUMBER(C126),ISNUMBER(D126)),D126-C126,"N/A")</f>
        <v>-486.4</v>
      </c>
      <c r="G126" s="6" t="n">
        <f aca="false">IF(ISNUMBER(F126),F126/C126*100,"N/A")</f>
        <v>-16.7354803192954</v>
      </c>
      <c r="H126" s="3" t="str">
        <f aca="false">IF(NOT(ISNUMBER(F126)),"NO CURRENT DATA",IF(F126&gt;0,"RISEN",IF(F126&lt;0,"FALLEN","UNCHANGED")))</f>
        <v>FALLEN</v>
      </c>
      <c r="I126" s="3" t="s">
        <v>1480</v>
      </c>
      <c r="J126" s="3" t="n">
        <v>1</v>
      </c>
    </row>
    <row r="127" customFormat="false" ht="15" hidden="false" customHeight="false" outlineLevel="0" collapsed="false">
      <c r="A127" s="3" t="s">
        <v>378</v>
      </c>
      <c r="B127" s="3" t="s">
        <v>380</v>
      </c>
      <c r="C127" s="4" t="n">
        <v>1222.5</v>
      </c>
      <c r="D127" s="4" t="n">
        <v>1697.5</v>
      </c>
      <c r="E127" s="3" t="s">
        <v>1479</v>
      </c>
      <c r="F127" s="4" t="n">
        <f aca="false">IF(AND(ISNUMBER(C127),ISNUMBER(D127)),D127-C127,"N/A")</f>
        <v>475</v>
      </c>
      <c r="G127" s="6" t="n">
        <f aca="false">IF(ISNUMBER(F127),F127/C127*100,"N/A")</f>
        <v>38.8548057259714</v>
      </c>
      <c r="H127" s="3" t="str">
        <f aca="false">IF(NOT(ISNUMBER(F127)),"NO CURRENT DATA",IF(F127&gt;0,"RISEN",IF(F127&lt;0,"FALLEN","UNCHANGED")))</f>
        <v>RISEN</v>
      </c>
      <c r="I127" s="3" t="s">
        <v>1480</v>
      </c>
      <c r="J127" s="3" t="n">
        <v>0</v>
      </c>
    </row>
    <row r="128" customFormat="false" ht="15" hidden="false" customHeight="false" outlineLevel="0" collapsed="false">
      <c r="A128" s="3" t="s">
        <v>378</v>
      </c>
      <c r="B128" s="3" t="s">
        <v>284</v>
      </c>
      <c r="C128" s="4" t="n">
        <v>1895.6</v>
      </c>
      <c r="D128" s="4" t="n">
        <v>2325.7</v>
      </c>
      <c r="E128" s="3" t="s">
        <v>1479</v>
      </c>
      <c r="F128" s="4" t="n">
        <f aca="false">IF(AND(ISNUMBER(C128),ISNUMBER(D128)),D128-C128,"N/A")</f>
        <v>430.1</v>
      </c>
      <c r="G128" s="6" t="n">
        <f aca="false">IF(ISNUMBER(F128),F128/C128*100,"N/A")</f>
        <v>22.6893859464022</v>
      </c>
      <c r="H128" s="3" t="str">
        <f aca="false">IF(NOT(ISNUMBER(F128)),"NO CURRENT DATA",IF(F128&gt;0,"RISEN",IF(F128&lt;0,"FALLEN","UNCHANGED")))</f>
        <v>RISEN</v>
      </c>
      <c r="I128" s="3" t="s">
        <v>1480</v>
      </c>
      <c r="J128" s="3" t="n">
        <v>1</v>
      </c>
    </row>
    <row r="129" customFormat="false" ht="15" hidden="false" customHeight="false" outlineLevel="0" collapsed="false">
      <c r="A129" s="3" t="s">
        <v>378</v>
      </c>
      <c r="B129" s="3" t="s">
        <v>384</v>
      </c>
      <c r="C129" s="4" t="n">
        <v>3084.2</v>
      </c>
      <c r="D129" s="4" t="n">
        <v>3785.5</v>
      </c>
      <c r="E129" s="3" t="s">
        <v>1479</v>
      </c>
      <c r="F129" s="4" t="n">
        <f aca="false">IF(AND(ISNUMBER(C129),ISNUMBER(D129)),D129-C129,"N/A")</f>
        <v>701.3</v>
      </c>
      <c r="G129" s="6" t="n">
        <f aca="false">IF(ISNUMBER(F129),F129/C129*100,"N/A")</f>
        <v>22.7384735101485</v>
      </c>
      <c r="H129" s="3" t="str">
        <f aca="false">IF(NOT(ISNUMBER(F129)),"NO CURRENT DATA",IF(F129&gt;0,"RISEN",IF(F129&lt;0,"FALLEN","UNCHANGED")))</f>
        <v>RISEN</v>
      </c>
      <c r="I129" s="3" t="s">
        <v>1480</v>
      </c>
      <c r="J129" s="3" t="n">
        <v>0</v>
      </c>
    </row>
    <row r="130" customFormat="false" ht="15" hidden="false" customHeight="false" outlineLevel="0" collapsed="false">
      <c r="A130" s="3" t="s">
        <v>387</v>
      </c>
      <c r="B130" s="3" t="s">
        <v>388</v>
      </c>
      <c r="C130" s="4" t="n">
        <v>1815.7</v>
      </c>
      <c r="D130" s="4" t="n">
        <v>1151.3</v>
      </c>
      <c r="E130" s="3" t="s">
        <v>1479</v>
      </c>
      <c r="F130" s="4" t="n">
        <f aca="false">IF(AND(ISNUMBER(C130),ISNUMBER(D130)),D130-C130,"N/A")</f>
        <v>-664.4</v>
      </c>
      <c r="G130" s="6" t="n">
        <f aca="false">IF(ISNUMBER(F130),F130/C130*100,"N/A")</f>
        <v>-36.5919480090323</v>
      </c>
      <c r="H130" s="3" t="str">
        <f aca="false">IF(NOT(ISNUMBER(F130)),"NO CURRENT DATA",IF(F130&gt;0,"RISEN",IF(F130&lt;0,"FALLEN","UNCHANGED")))</f>
        <v>FALLEN</v>
      </c>
      <c r="I130" s="3" t="s">
        <v>1487</v>
      </c>
      <c r="J130" s="3" t="n">
        <v>0</v>
      </c>
    </row>
    <row r="131" customFormat="false" ht="15" hidden="false" customHeight="false" outlineLevel="0" collapsed="false">
      <c r="A131" s="3" t="s">
        <v>391</v>
      </c>
      <c r="B131" s="3" t="s">
        <v>357</v>
      </c>
      <c r="C131" s="4" t="n">
        <v>522.6</v>
      </c>
      <c r="D131" s="4" t="n">
        <v>450</v>
      </c>
      <c r="E131" s="3" t="s">
        <v>1479</v>
      </c>
      <c r="F131" s="4" t="n">
        <f aca="false">IF(AND(ISNUMBER(C131),ISNUMBER(D131)),D131-C131,"N/A")</f>
        <v>-72.6</v>
      </c>
      <c r="G131" s="6" t="n">
        <f aca="false">IF(ISNUMBER(F131),F131/C131*100,"N/A")</f>
        <v>-13.8920780711826</v>
      </c>
      <c r="H131" s="3" t="str">
        <f aca="false">IF(NOT(ISNUMBER(F131)),"NO CURRENT DATA",IF(F131&gt;0,"RISEN",IF(F131&lt;0,"FALLEN","UNCHANGED")))</f>
        <v>FALLEN</v>
      </c>
      <c r="I131" s="3" t="s">
        <v>1480</v>
      </c>
      <c r="J131" s="3" t="n">
        <v>1</v>
      </c>
    </row>
    <row r="132" customFormat="false" ht="15" hidden="false" customHeight="false" outlineLevel="0" collapsed="false">
      <c r="A132" s="3" t="s">
        <v>393</v>
      </c>
      <c r="B132" s="3" t="s">
        <v>145</v>
      </c>
      <c r="C132" s="4" t="n">
        <v>1433.9</v>
      </c>
      <c r="D132" s="4" t="n">
        <v>1542.2</v>
      </c>
      <c r="E132" s="3" t="s">
        <v>1479</v>
      </c>
      <c r="F132" s="4" t="n">
        <f aca="false">IF(AND(ISNUMBER(C132),ISNUMBER(D132)),D132-C132,"N/A")</f>
        <v>108.3</v>
      </c>
      <c r="G132" s="6" t="n">
        <f aca="false">IF(ISNUMBER(F132),F132/C132*100,"N/A")</f>
        <v>7.55282795174001</v>
      </c>
      <c r="H132" s="3" t="str">
        <f aca="false">IF(NOT(ISNUMBER(F132)),"NO CURRENT DATA",IF(F132&gt;0,"RISEN",IF(F132&lt;0,"FALLEN","UNCHANGED")))</f>
        <v>RISEN</v>
      </c>
      <c r="I132" s="3" t="s">
        <v>1480</v>
      </c>
      <c r="J132" s="3" t="n">
        <v>2</v>
      </c>
    </row>
    <row r="133" customFormat="false" ht="15" hidden="false" customHeight="false" outlineLevel="0" collapsed="false">
      <c r="A133" s="3" t="s">
        <v>395</v>
      </c>
      <c r="B133" s="3" t="s">
        <v>396</v>
      </c>
      <c r="C133" s="4" t="n">
        <v>953.75</v>
      </c>
      <c r="D133" s="4" t="n">
        <v>995.3</v>
      </c>
      <c r="E133" s="3" t="s">
        <v>1479</v>
      </c>
      <c r="F133" s="4" t="n">
        <f aca="false">IF(AND(ISNUMBER(C133),ISNUMBER(D133)),D133-C133,"N/A")</f>
        <v>41.55</v>
      </c>
      <c r="G133" s="6" t="n">
        <f aca="false">IF(ISNUMBER(F133),F133/C133*100,"N/A")</f>
        <v>4.35648754914809</v>
      </c>
      <c r="H133" s="3" t="str">
        <f aca="false">IF(NOT(ISNUMBER(F133)),"NO CURRENT DATA",IF(F133&gt;0,"RISEN",IF(F133&lt;0,"FALLEN","UNCHANGED")))</f>
        <v>RISEN</v>
      </c>
      <c r="I133" s="3" t="s">
        <v>1480</v>
      </c>
      <c r="J133" s="3" t="n">
        <v>0</v>
      </c>
    </row>
    <row r="134" customFormat="false" ht="15" hidden="false" customHeight="false" outlineLevel="0" collapsed="false">
      <c r="A134" s="3" t="s">
        <v>395</v>
      </c>
      <c r="B134" s="3" t="s">
        <v>399</v>
      </c>
      <c r="C134" s="4" t="n">
        <v>787.55</v>
      </c>
      <c r="D134" s="4" t="n">
        <v>531.6</v>
      </c>
      <c r="E134" s="3" t="s">
        <v>1479</v>
      </c>
      <c r="F134" s="4" t="n">
        <f aca="false">IF(AND(ISNUMBER(C134),ISNUMBER(D134)),D134-C134,"N/A")</f>
        <v>-255.95</v>
      </c>
      <c r="G134" s="6" t="n">
        <f aca="false">IF(ISNUMBER(F134),F134/C134*100,"N/A")</f>
        <v>-32.4995238397562</v>
      </c>
      <c r="H134" s="3" t="str">
        <f aca="false">IF(NOT(ISNUMBER(F134)),"NO CURRENT DATA",IF(F134&gt;0,"RISEN",IF(F134&lt;0,"FALLEN","UNCHANGED")))</f>
        <v>FALLEN</v>
      </c>
      <c r="I134" s="3" t="s">
        <v>1480</v>
      </c>
      <c r="J134" s="3" t="n">
        <v>0</v>
      </c>
    </row>
    <row r="135" customFormat="false" ht="15" hidden="false" customHeight="false" outlineLevel="0" collapsed="false">
      <c r="A135" s="3" t="s">
        <v>395</v>
      </c>
      <c r="B135" s="3" t="s">
        <v>203</v>
      </c>
      <c r="C135" s="4" t="n">
        <v>986.6</v>
      </c>
      <c r="D135" s="4" t="n">
        <v>2010.7</v>
      </c>
      <c r="E135" s="3" t="s">
        <v>1479</v>
      </c>
      <c r="F135" s="4" t="n">
        <f aca="false">IF(AND(ISNUMBER(C135),ISNUMBER(D135)),D135-C135,"N/A")</f>
        <v>1024.1</v>
      </c>
      <c r="G135" s="6" t="n">
        <f aca="false">IF(ISNUMBER(F135),F135/C135*100,"N/A")</f>
        <v>103.800932495439</v>
      </c>
      <c r="H135" s="3" t="str">
        <f aca="false">IF(NOT(ISNUMBER(F135)),"NO CURRENT DATA",IF(F135&gt;0,"RISEN",IF(F135&lt;0,"FALLEN","UNCHANGED")))</f>
        <v>RISEN</v>
      </c>
      <c r="I135" s="3" t="s">
        <v>1480</v>
      </c>
      <c r="J135" s="3" t="n">
        <v>1</v>
      </c>
    </row>
    <row r="136" customFormat="false" ht="15" hidden="false" customHeight="false" outlineLevel="0" collapsed="false">
      <c r="A136" s="3" t="s">
        <v>395</v>
      </c>
      <c r="B136" s="3" t="s">
        <v>403</v>
      </c>
      <c r="C136" s="4" t="n">
        <v>555.8</v>
      </c>
      <c r="D136" s="4" t="n">
        <v>564.15</v>
      </c>
      <c r="E136" s="3" t="s">
        <v>1479</v>
      </c>
      <c r="F136" s="4" t="n">
        <f aca="false">IF(AND(ISNUMBER(C136),ISNUMBER(D136)),D136-C136,"N/A")</f>
        <v>8.35000000000002</v>
      </c>
      <c r="G136" s="6" t="n">
        <f aca="false">IF(ISNUMBER(F136),F136/C136*100,"N/A")</f>
        <v>1.50233897085283</v>
      </c>
      <c r="H136" s="3" t="str">
        <f aca="false">IF(NOT(ISNUMBER(F136)),"NO CURRENT DATA",IF(F136&gt;0,"RISEN",IF(F136&lt;0,"FALLEN","UNCHANGED")))</f>
        <v>RISEN</v>
      </c>
      <c r="I136" s="3" t="s">
        <v>1480</v>
      </c>
      <c r="J136" s="3" t="n">
        <v>0</v>
      </c>
    </row>
    <row r="137" customFormat="false" ht="15" hidden="false" customHeight="false" outlineLevel="0" collapsed="false">
      <c r="A137" s="3" t="s">
        <v>395</v>
      </c>
      <c r="B137" s="3" t="s">
        <v>406</v>
      </c>
      <c r="C137" s="4" t="n">
        <v>136.92</v>
      </c>
      <c r="D137" s="4" t="n">
        <v>184.2</v>
      </c>
      <c r="E137" s="3" t="s">
        <v>1479</v>
      </c>
      <c r="F137" s="4" t="n">
        <f aca="false">IF(AND(ISNUMBER(C137),ISNUMBER(D137)),D137-C137,"N/A")</f>
        <v>47.28</v>
      </c>
      <c r="G137" s="6" t="n">
        <f aca="false">IF(ISNUMBER(F137),F137/C137*100,"N/A")</f>
        <v>34.5311130587204</v>
      </c>
      <c r="H137" s="3" t="str">
        <f aca="false">IF(NOT(ISNUMBER(F137)),"NO CURRENT DATA",IF(F137&gt;0,"RISEN",IF(F137&lt;0,"FALLEN","UNCHANGED")))</f>
        <v>RISEN</v>
      </c>
      <c r="I137" s="3" t="s">
        <v>1480</v>
      </c>
      <c r="J137" s="3" t="n">
        <v>0</v>
      </c>
    </row>
    <row r="138" customFormat="false" ht="15" hidden="false" customHeight="false" outlineLevel="0" collapsed="false">
      <c r="A138" s="3" t="s">
        <v>395</v>
      </c>
      <c r="B138" s="3" t="s">
        <v>156</v>
      </c>
      <c r="C138" s="4" t="n">
        <v>1320.1</v>
      </c>
      <c r="D138" s="4" t="n">
        <v>1173</v>
      </c>
      <c r="E138" s="3" t="s">
        <v>1479</v>
      </c>
      <c r="F138" s="4" t="n">
        <f aca="false">IF(AND(ISNUMBER(C138),ISNUMBER(D138)),D138-C138,"N/A")</f>
        <v>-147.1</v>
      </c>
      <c r="G138" s="6" t="n">
        <f aca="false">IF(ISNUMBER(F138),F138/C138*100,"N/A")</f>
        <v>-11.1430952200591</v>
      </c>
      <c r="H138" s="3" t="str">
        <f aca="false">IF(NOT(ISNUMBER(F138)),"NO CURRENT DATA",IF(F138&gt;0,"RISEN",IF(F138&lt;0,"FALLEN","UNCHANGED")))</f>
        <v>FALLEN</v>
      </c>
      <c r="I138" s="3" t="s">
        <v>1480</v>
      </c>
      <c r="J138" s="3" t="n">
        <v>1</v>
      </c>
    </row>
    <row r="139" customFormat="false" ht="15" hidden="false" customHeight="false" outlineLevel="0" collapsed="false">
      <c r="A139" s="3" t="s">
        <v>410</v>
      </c>
      <c r="B139" s="3" t="s">
        <v>175</v>
      </c>
      <c r="C139" s="4" t="n">
        <v>1160.6</v>
      </c>
      <c r="D139" s="4" t="n">
        <v>1264.1</v>
      </c>
      <c r="E139" s="3" t="s">
        <v>1479</v>
      </c>
      <c r="F139" s="4" t="n">
        <f aca="false">IF(AND(ISNUMBER(C139),ISNUMBER(D139)),D139-C139,"N/A")</f>
        <v>103.5</v>
      </c>
      <c r="G139" s="6" t="n">
        <f aca="false">IF(ISNUMBER(F139),F139/C139*100,"N/A")</f>
        <v>8.91780113734276</v>
      </c>
      <c r="H139" s="3" t="str">
        <f aca="false">IF(NOT(ISNUMBER(F139)),"NO CURRENT DATA",IF(F139&gt;0,"RISEN",IF(F139&lt;0,"FALLEN","UNCHANGED")))</f>
        <v>RISEN</v>
      </c>
      <c r="I139" s="3" t="s">
        <v>1480</v>
      </c>
      <c r="J139" s="3" t="n">
        <v>1</v>
      </c>
    </row>
    <row r="140" customFormat="false" ht="15" hidden="false" customHeight="false" outlineLevel="0" collapsed="false">
      <c r="A140" s="3" t="s">
        <v>412</v>
      </c>
      <c r="B140" s="3" t="s">
        <v>309</v>
      </c>
      <c r="C140" s="4" t="n">
        <v>4479.3</v>
      </c>
      <c r="D140" s="4" t="n">
        <v>4855</v>
      </c>
      <c r="E140" s="3" t="s">
        <v>1479</v>
      </c>
      <c r="F140" s="4" t="n">
        <f aca="false">IF(AND(ISNUMBER(C140),ISNUMBER(D140)),D140-C140,"N/A")</f>
        <v>375.7</v>
      </c>
      <c r="G140" s="6" t="n">
        <f aca="false">IF(ISNUMBER(F140),F140/C140*100,"N/A")</f>
        <v>8.38747125666956</v>
      </c>
      <c r="H140" s="3" t="str">
        <f aca="false">IF(NOT(ISNUMBER(F140)),"NO CURRENT DATA",IF(F140&gt;0,"RISEN",IF(F140&lt;0,"FALLEN","UNCHANGED")))</f>
        <v>RISEN</v>
      </c>
      <c r="I140" s="3" t="s">
        <v>1480</v>
      </c>
      <c r="J140" s="3" t="n">
        <v>1</v>
      </c>
    </row>
    <row r="141" customFormat="false" ht="15" hidden="false" customHeight="false" outlineLevel="0" collapsed="false">
      <c r="A141" s="3" t="s">
        <v>412</v>
      </c>
      <c r="B141" s="3" t="s">
        <v>414</v>
      </c>
      <c r="C141" s="4" t="n">
        <v>7462.5</v>
      </c>
      <c r="D141" s="4" t="n">
        <v>1640.6</v>
      </c>
      <c r="E141" s="3" t="s">
        <v>1479</v>
      </c>
      <c r="F141" s="4" t="n">
        <f aca="false">IF(AND(ISNUMBER(C141),ISNUMBER(D141)),D141-C141,"N/A")</f>
        <v>-5821.9</v>
      </c>
      <c r="G141" s="6" t="n">
        <f aca="false">IF(ISNUMBER(F141),F141/C141*100,"N/A")</f>
        <v>-78.0154103852596</v>
      </c>
      <c r="H141" s="3" t="str">
        <f aca="false">IF(NOT(ISNUMBER(F141)),"NO CURRENT DATA",IF(F141&gt;0,"RISEN",IF(F141&lt;0,"FALLEN","UNCHANGED")))</f>
        <v>FALLEN</v>
      </c>
      <c r="I141" s="3" t="s">
        <v>1488</v>
      </c>
      <c r="J141" s="3" t="n">
        <v>0</v>
      </c>
    </row>
    <row r="142" customFormat="false" ht="15" hidden="false" customHeight="false" outlineLevel="0" collapsed="false">
      <c r="A142" s="3" t="s">
        <v>417</v>
      </c>
      <c r="B142" s="3" t="s">
        <v>175</v>
      </c>
      <c r="C142" s="4" t="n">
        <v>1168.4</v>
      </c>
      <c r="D142" s="4" t="n">
        <v>1264.1</v>
      </c>
      <c r="E142" s="3" t="s">
        <v>1479</v>
      </c>
      <c r="F142" s="4" t="n">
        <f aca="false">IF(AND(ISNUMBER(C142),ISNUMBER(D142)),D142-C142,"N/A")</f>
        <v>95.6999999999998</v>
      </c>
      <c r="G142" s="6" t="n">
        <f aca="false">IF(ISNUMBER(F142),F142/C142*100,"N/A")</f>
        <v>8.19068812050666</v>
      </c>
      <c r="H142" s="3" t="str">
        <f aca="false">IF(NOT(ISNUMBER(F142)),"NO CURRENT DATA",IF(F142&gt;0,"RISEN",IF(F142&lt;0,"FALLEN","UNCHANGED")))</f>
        <v>RISEN</v>
      </c>
      <c r="I142" s="3" t="s">
        <v>1480</v>
      </c>
      <c r="J142" s="3" t="n">
        <v>2</v>
      </c>
    </row>
    <row r="143" customFormat="false" ht="15" hidden="false" customHeight="false" outlineLevel="0" collapsed="false">
      <c r="A143" s="3" t="s">
        <v>417</v>
      </c>
      <c r="B143" s="3" t="s">
        <v>114</v>
      </c>
      <c r="C143" s="4" t="n">
        <v>75.39</v>
      </c>
      <c r="D143" s="4" t="n">
        <v>77.43</v>
      </c>
      <c r="E143" s="3" t="s">
        <v>1479</v>
      </c>
      <c r="F143" s="4" t="n">
        <f aca="false">IF(AND(ISNUMBER(C143),ISNUMBER(D143)),D143-C143,"N/A")</f>
        <v>2.04000000000001</v>
      </c>
      <c r="G143" s="6" t="n">
        <f aca="false">IF(ISNUMBER(F143),F143/C143*100,"N/A")</f>
        <v>2.70592916832472</v>
      </c>
      <c r="H143" s="3" t="str">
        <f aca="false">IF(NOT(ISNUMBER(F143)),"NO CURRENT DATA",IF(F143&gt;0,"RISEN",IF(F143&lt;0,"FALLEN","UNCHANGED")))</f>
        <v>RISEN</v>
      </c>
      <c r="I143" s="3" t="s">
        <v>1480</v>
      </c>
      <c r="J143" s="3" t="n">
        <v>2</v>
      </c>
    </row>
    <row r="144" customFormat="false" ht="15" hidden="false" customHeight="false" outlineLevel="0" collapsed="false">
      <c r="A144" s="3" t="s">
        <v>420</v>
      </c>
      <c r="B144" s="3" t="s">
        <v>368</v>
      </c>
      <c r="C144" s="4" t="n">
        <v>119.26</v>
      </c>
      <c r="D144" s="4" t="n">
        <v>162.37</v>
      </c>
      <c r="E144" s="3" t="s">
        <v>1479</v>
      </c>
      <c r="F144" s="4" t="n">
        <f aca="false">IF(AND(ISNUMBER(C144),ISNUMBER(D144)),D144-C144,"N/A")</f>
        <v>43.11</v>
      </c>
      <c r="G144" s="6" t="n">
        <f aca="false">IF(ISNUMBER(F144),F144/C144*100,"N/A")</f>
        <v>36.1479121247694</v>
      </c>
      <c r="H144" s="3" t="str">
        <f aca="false">IF(NOT(ISNUMBER(F144)),"NO CURRENT DATA",IF(F144&gt;0,"RISEN",IF(F144&lt;0,"FALLEN","UNCHANGED")))</f>
        <v>RISEN</v>
      </c>
      <c r="I144" s="3" t="s">
        <v>1480</v>
      </c>
      <c r="J144" s="3" t="n">
        <v>1</v>
      </c>
    </row>
    <row r="145" customFormat="false" ht="15" hidden="false" customHeight="false" outlineLevel="0" collapsed="false">
      <c r="A145" s="3" t="s">
        <v>420</v>
      </c>
      <c r="B145" s="3" t="s">
        <v>422</v>
      </c>
      <c r="C145" s="4" t="n">
        <v>26545</v>
      </c>
      <c r="D145" s="4" t="n">
        <v>22170</v>
      </c>
      <c r="E145" s="3" t="s">
        <v>1479</v>
      </c>
      <c r="F145" s="4" t="n">
        <f aca="false">IF(AND(ISNUMBER(C145),ISNUMBER(D145)),D145-C145,"N/A")</f>
        <v>-4375</v>
      </c>
      <c r="G145" s="6" t="n">
        <f aca="false">IF(ISNUMBER(F145),F145/C145*100,"N/A")</f>
        <v>-16.481446600113</v>
      </c>
      <c r="H145" s="3" t="str">
        <f aca="false">IF(NOT(ISNUMBER(F145)),"NO CURRENT DATA",IF(F145&gt;0,"RISEN",IF(F145&lt;0,"FALLEN","UNCHANGED")))</f>
        <v>FALLEN</v>
      </c>
      <c r="I145" s="3" t="s">
        <v>1480</v>
      </c>
      <c r="J145" s="3" t="n">
        <v>0</v>
      </c>
    </row>
    <row r="146" customFormat="false" ht="15" hidden="false" customHeight="false" outlineLevel="0" collapsed="false">
      <c r="A146" s="3" t="s">
        <v>425</v>
      </c>
      <c r="B146" s="3" t="s">
        <v>426</v>
      </c>
      <c r="C146" s="4" t="n">
        <v>2217.9</v>
      </c>
      <c r="D146" s="4" t="n">
        <v>2831.1</v>
      </c>
      <c r="E146" s="3" t="s">
        <v>1479</v>
      </c>
      <c r="F146" s="4" t="n">
        <f aca="false">IF(AND(ISNUMBER(C146),ISNUMBER(D146)),D146-C146,"N/A")</f>
        <v>613.2</v>
      </c>
      <c r="G146" s="6" t="n">
        <f aca="false">IF(ISNUMBER(F146),F146/C146*100,"N/A")</f>
        <v>27.6477749222237</v>
      </c>
      <c r="H146" s="3" t="str">
        <f aca="false">IF(NOT(ISNUMBER(F146)),"NO CURRENT DATA",IF(F146&gt;0,"RISEN",IF(F146&lt;0,"FALLEN","UNCHANGED")))</f>
        <v>RISEN</v>
      </c>
      <c r="I146" s="3" t="s">
        <v>1480</v>
      </c>
      <c r="J146" s="3" t="n">
        <v>0</v>
      </c>
    </row>
    <row r="147" customFormat="false" ht="15" hidden="false" customHeight="false" outlineLevel="0" collapsed="false">
      <c r="A147" s="3" t="s">
        <v>425</v>
      </c>
      <c r="B147" s="3" t="s">
        <v>352</v>
      </c>
      <c r="C147" s="4" t="n">
        <v>6452</v>
      </c>
      <c r="D147" s="4" t="n">
        <v>5328.5</v>
      </c>
      <c r="E147" s="3" t="s">
        <v>1479</v>
      </c>
      <c r="F147" s="4" t="n">
        <f aca="false">IF(AND(ISNUMBER(C147),ISNUMBER(D147)),D147-C147,"N/A")</f>
        <v>-1123.5</v>
      </c>
      <c r="G147" s="6" t="n">
        <f aca="false">IF(ISNUMBER(F147),F147/C147*100,"N/A")</f>
        <v>-17.4132052076875</v>
      </c>
      <c r="H147" s="3" t="str">
        <f aca="false">IF(NOT(ISNUMBER(F147)),"NO CURRENT DATA",IF(F147&gt;0,"RISEN",IF(F147&lt;0,"FALLEN","UNCHANGED")))</f>
        <v>FALLEN</v>
      </c>
      <c r="I147" s="3" t="s">
        <v>1480</v>
      </c>
      <c r="J147" s="3" t="n">
        <v>1</v>
      </c>
    </row>
    <row r="148" customFormat="false" ht="15" hidden="false" customHeight="false" outlineLevel="0" collapsed="false">
      <c r="A148" s="3" t="s">
        <v>430</v>
      </c>
      <c r="B148" s="3" t="s">
        <v>195</v>
      </c>
      <c r="C148" s="4" t="n">
        <v>260.85</v>
      </c>
      <c r="D148" s="4" t="n">
        <v>325</v>
      </c>
      <c r="E148" s="3" t="s">
        <v>1479</v>
      </c>
      <c r="F148" s="4" t="n">
        <f aca="false">IF(AND(ISNUMBER(C148),ISNUMBER(D148)),D148-C148,"N/A")</f>
        <v>64.15</v>
      </c>
      <c r="G148" s="6" t="n">
        <f aca="false">IF(ISNUMBER(F148),F148/C148*100,"N/A")</f>
        <v>24.5926777841671</v>
      </c>
      <c r="H148" s="3" t="str">
        <f aca="false">IF(NOT(ISNUMBER(F148)),"NO CURRENT DATA",IF(F148&gt;0,"RISEN",IF(F148&lt;0,"FALLEN","UNCHANGED")))</f>
        <v>RISEN</v>
      </c>
      <c r="I148" s="3" t="s">
        <v>1480</v>
      </c>
      <c r="J148" s="3" t="n">
        <v>1</v>
      </c>
    </row>
    <row r="149" customFormat="false" ht="15" hidden="false" customHeight="false" outlineLevel="0" collapsed="false">
      <c r="A149" s="3" t="s">
        <v>432</v>
      </c>
      <c r="B149" s="3" t="s">
        <v>396</v>
      </c>
      <c r="C149" s="4" t="n">
        <v>993.7</v>
      </c>
      <c r="D149" s="4" t="n">
        <v>995.3</v>
      </c>
      <c r="E149" s="3" t="s">
        <v>1479</v>
      </c>
      <c r="F149" s="4" t="n">
        <f aca="false">IF(AND(ISNUMBER(C149),ISNUMBER(D149)),D149-C149,"N/A")</f>
        <v>1.59999999999991</v>
      </c>
      <c r="G149" s="6" t="n">
        <f aca="false">IF(ISNUMBER(F149),F149/C149*100,"N/A")</f>
        <v>0.161014390661156</v>
      </c>
      <c r="H149" s="3" t="str">
        <f aca="false">IF(NOT(ISNUMBER(F149)),"NO CURRENT DATA",IF(F149&gt;0,"RISEN",IF(F149&lt;0,"FALLEN","UNCHANGED")))</f>
        <v>RISEN</v>
      </c>
      <c r="I149" s="3" t="s">
        <v>1480</v>
      </c>
      <c r="J149" s="3" t="n">
        <v>1</v>
      </c>
    </row>
    <row r="150" customFormat="false" ht="15" hidden="false" customHeight="false" outlineLevel="0" collapsed="false">
      <c r="A150" s="3" t="s">
        <v>432</v>
      </c>
      <c r="B150" s="3" t="s">
        <v>364</v>
      </c>
      <c r="C150" s="4" t="n">
        <v>642.85</v>
      </c>
      <c r="D150" s="4" t="n">
        <v>458.7</v>
      </c>
      <c r="E150" s="3" t="s">
        <v>1479</v>
      </c>
      <c r="F150" s="4" t="n">
        <f aca="false">IF(AND(ISNUMBER(C150),ISNUMBER(D150)),D150-C150,"N/A")</f>
        <v>-184.15</v>
      </c>
      <c r="G150" s="6" t="n">
        <f aca="false">IF(ISNUMBER(F150),F150/C150*100,"N/A")</f>
        <v>-28.6458738430427</v>
      </c>
      <c r="H150" s="3" t="str">
        <f aca="false">IF(NOT(ISNUMBER(F150)),"NO CURRENT DATA",IF(F150&gt;0,"RISEN",IF(F150&lt;0,"FALLEN","UNCHANGED")))</f>
        <v>FALLEN</v>
      </c>
      <c r="I150" s="3" t="s">
        <v>1480</v>
      </c>
      <c r="J150" s="3" t="n">
        <v>1</v>
      </c>
    </row>
    <row r="151" customFormat="false" ht="15" hidden="false" customHeight="false" outlineLevel="0" collapsed="false">
      <c r="A151" s="3" t="s">
        <v>432</v>
      </c>
      <c r="B151" s="3" t="s">
        <v>120</v>
      </c>
      <c r="C151" s="4" t="n">
        <v>343.85</v>
      </c>
      <c r="D151" s="4" t="n">
        <v>330</v>
      </c>
      <c r="E151" s="3" t="s">
        <v>1479</v>
      </c>
      <c r="F151" s="4" t="n">
        <f aca="false">IF(AND(ISNUMBER(C151),ISNUMBER(D151)),D151-C151,"N/A")</f>
        <v>-13.85</v>
      </c>
      <c r="G151" s="6" t="n">
        <f aca="false">IF(ISNUMBER(F151),F151/C151*100,"N/A")</f>
        <v>-4.0279191507925</v>
      </c>
      <c r="H151" s="3" t="str">
        <f aca="false">IF(NOT(ISNUMBER(F151)),"NO CURRENT DATA",IF(F151&gt;0,"RISEN",IF(F151&lt;0,"FALLEN","UNCHANGED")))</f>
        <v>FALLEN</v>
      </c>
      <c r="I151" s="3" t="s">
        <v>1480</v>
      </c>
      <c r="J151" s="3" t="n">
        <v>1</v>
      </c>
    </row>
    <row r="152" customFormat="false" ht="15" hidden="false" customHeight="false" outlineLevel="0" collapsed="false">
      <c r="A152" s="3" t="s">
        <v>436</v>
      </c>
      <c r="B152" s="3" t="s">
        <v>437</v>
      </c>
      <c r="C152" s="4" t="n">
        <v>536.1</v>
      </c>
      <c r="D152" s="4" t="n">
        <v>374.35</v>
      </c>
      <c r="E152" s="3" t="s">
        <v>1479</v>
      </c>
      <c r="F152" s="4" t="n">
        <f aca="false">IF(AND(ISNUMBER(C152),ISNUMBER(D152)),D152-C152,"N/A")</f>
        <v>-161.75</v>
      </c>
      <c r="G152" s="6" t="n">
        <f aca="false">IF(ISNUMBER(F152),F152/C152*100,"N/A")</f>
        <v>-30.1716097742958</v>
      </c>
      <c r="H152" s="3" t="str">
        <f aca="false">IF(NOT(ISNUMBER(F152)),"NO CURRENT DATA",IF(F152&gt;0,"RISEN",IF(F152&lt;0,"FALLEN","UNCHANGED")))</f>
        <v>FALLEN</v>
      </c>
      <c r="I152" s="3" t="s">
        <v>1480</v>
      </c>
      <c r="J152" s="3" t="n">
        <v>0</v>
      </c>
    </row>
    <row r="153" customFormat="false" ht="15" hidden="false" customHeight="false" outlineLevel="0" collapsed="false">
      <c r="A153" s="3" t="s">
        <v>436</v>
      </c>
      <c r="B153" s="3" t="s">
        <v>368</v>
      </c>
      <c r="C153" s="4" t="n">
        <v>119.8</v>
      </c>
      <c r="D153" s="4" t="n">
        <v>162.37</v>
      </c>
      <c r="E153" s="3" t="s">
        <v>1479</v>
      </c>
      <c r="F153" s="4" t="n">
        <f aca="false">IF(AND(ISNUMBER(C153),ISNUMBER(D153)),D153-C153,"N/A")</f>
        <v>42.57</v>
      </c>
      <c r="G153" s="6" t="n">
        <f aca="false">IF(ISNUMBER(F153),F153/C153*100,"N/A")</f>
        <v>35.534223706177</v>
      </c>
      <c r="H153" s="3" t="str">
        <f aca="false">IF(NOT(ISNUMBER(F153)),"NO CURRENT DATA",IF(F153&gt;0,"RISEN",IF(F153&lt;0,"FALLEN","UNCHANGED")))</f>
        <v>RISEN</v>
      </c>
      <c r="I153" s="3" t="s">
        <v>1480</v>
      </c>
      <c r="J153" s="3" t="n">
        <v>2</v>
      </c>
    </row>
    <row r="154" customFormat="false" ht="15" hidden="false" customHeight="false" outlineLevel="0" collapsed="false">
      <c r="A154" s="3" t="s">
        <v>436</v>
      </c>
      <c r="B154" s="3" t="s">
        <v>441</v>
      </c>
      <c r="C154" s="4" t="n">
        <v>900.15</v>
      </c>
      <c r="D154" s="4" t="n">
        <v>1085</v>
      </c>
      <c r="E154" s="3" t="s">
        <v>1479</v>
      </c>
      <c r="F154" s="4" t="n">
        <f aca="false">IF(AND(ISNUMBER(C154),ISNUMBER(D154)),D154-C154,"N/A")</f>
        <v>184.85</v>
      </c>
      <c r="G154" s="6" t="n">
        <f aca="false">IF(ISNUMBER(F154),F154/C154*100,"N/A")</f>
        <v>20.5354663111704</v>
      </c>
      <c r="H154" s="3" t="str">
        <f aca="false">IF(NOT(ISNUMBER(F154)),"NO CURRENT DATA",IF(F154&gt;0,"RISEN",IF(F154&lt;0,"FALLEN","UNCHANGED")))</f>
        <v>RISEN</v>
      </c>
      <c r="I154" s="3" t="s">
        <v>1480</v>
      </c>
      <c r="J154" s="3" t="n">
        <v>0</v>
      </c>
    </row>
    <row r="155" customFormat="false" ht="15" hidden="false" customHeight="false" outlineLevel="0" collapsed="false">
      <c r="A155" s="3" t="s">
        <v>444</v>
      </c>
      <c r="B155" s="3" t="s">
        <v>319</v>
      </c>
      <c r="C155" s="4" t="n">
        <v>1735.6</v>
      </c>
      <c r="D155" s="4" t="n">
        <v>1634.2</v>
      </c>
      <c r="E155" s="3" t="s">
        <v>1479</v>
      </c>
      <c r="F155" s="4" t="n">
        <f aca="false">IF(AND(ISNUMBER(C155),ISNUMBER(D155)),D155-C155,"N/A")</f>
        <v>-101.4</v>
      </c>
      <c r="G155" s="6" t="n">
        <f aca="false">IF(ISNUMBER(F155),F155/C155*100,"N/A")</f>
        <v>-5.84235999078128</v>
      </c>
      <c r="H155" s="3" t="str">
        <f aca="false">IF(NOT(ISNUMBER(F155)),"NO CURRENT DATA",IF(F155&gt;0,"RISEN",IF(F155&lt;0,"FALLEN","UNCHANGED")))</f>
        <v>FALLEN</v>
      </c>
      <c r="I155" s="3" t="s">
        <v>1480</v>
      </c>
      <c r="J155" s="3" t="n">
        <v>1</v>
      </c>
    </row>
    <row r="156" customFormat="false" ht="15" hidden="false" customHeight="false" outlineLevel="0" collapsed="false">
      <c r="A156" s="3" t="s">
        <v>444</v>
      </c>
      <c r="B156" s="3" t="s">
        <v>257</v>
      </c>
      <c r="C156" s="4" t="n">
        <v>170.71</v>
      </c>
      <c r="D156" s="4" t="n">
        <v>172.45</v>
      </c>
      <c r="E156" s="3" t="s">
        <v>1479</v>
      </c>
      <c r="F156" s="4" t="n">
        <f aca="false">IF(AND(ISNUMBER(C156),ISNUMBER(D156)),D156-C156,"N/A")</f>
        <v>1.73999999999998</v>
      </c>
      <c r="G156" s="6" t="n">
        <f aca="false">IF(ISNUMBER(F156),F156/C156*100,"N/A")</f>
        <v>1.01927245035439</v>
      </c>
      <c r="H156" s="3" t="str">
        <f aca="false">IF(NOT(ISNUMBER(F156)),"NO CURRENT DATA",IF(F156&gt;0,"RISEN",IF(F156&lt;0,"FALLEN","UNCHANGED")))</f>
        <v>RISEN</v>
      </c>
      <c r="I156" s="3" t="s">
        <v>1480</v>
      </c>
      <c r="J156" s="3" t="n">
        <v>1</v>
      </c>
    </row>
    <row r="157" customFormat="false" ht="15" hidden="false" customHeight="false" outlineLevel="0" collapsed="false">
      <c r="A157" s="3" t="s">
        <v>444</v>
      </c>
      <c r="B157" s="3" t="s">
        <v>260</v>
      </c>
      <c r="C157" s="4" t="n">
        <v>104.34</v>
      </c>
      <c r="D157" s="4" t="n">
        <v>94.75</v>
      </c>
      <c r="E157" s="3" t="s">
        <v>1479</v>
      </c>
      <c r="F157" s="4" t="n">
        <f aca="false">IF(AND(ISNUMBER(C157),ISNUMBER(D157)),D157-C157,"N/A")</f>
        <v>-9.59</v>
      </c>
      <c r="G157" s="6" t="n">
        <f aca="false">IF(ISNUMBER(F157),F157/C157*100,"N/A")</f>
        <v>-9.19110599961664</v>
      </c>
      <c r="H157" s="3" t="str">
        <f aca="false">IF(NOT(ISNUMBER(F157)),"NO CURRENT DATA",IF(F157&gt;0,"RISEN",IF(F157&lt;0,"FALLEN","UNCHANGED")))</f>
        <v>FALLEN</v>
      </c>
      <c r="I157" s="3" t="s">
        <v>1480</v>
      </c>
      <c r="J157" s="3" t="n">
        <v>1</v>
      </c>
    </row>
    <row r="158" customFormat="false" ht="15" hidden="false" customHeight="false" outlineLevel="0" collapsed="false">
      <c r="A158" s="3" t="s">
        <v>444</v>
      </c>
      <c r="B158" s="3" t="s">
        <v>171</v>
      </c>
      <c r="C158" s="4" t="n">
        <v>852.1</v>
      </c>
      <c r="D158" s="4" t="n">
        <v>955.9</v>
      </c>
      <c r="E158" s="3" t="s">
        <v>1479</v>
      </c>
      <c r="F158" s="4" t="n">
        <f aca="false">IF(AND(ISNUMBER(C158),ISNUMBER(D158)),D158-C158,"N/A")</f>
        <v>103.8</v>
      </c>
      <c r="G158" s="6" t="n">
        <f aca="false">IF(ISNUMBER(F158),F158/C158*100,"N/A")</f>
        <v>12.1816688182138</v>
      </c>
      <c r="H158" s="3" t="str">
        <f aca="false">IF(NOT(ISNUMBER(F158)),"NO CURRENT DATA",IF(F158&gt;0,"RISEN",IF(F158&lt;0,"FALLEN","UNCHANGED")))</f>
        <v>RISEN</v>
      </c>
      <c r="I158" s="3" t="s">
        <v>1480</v>
      </c>
      <c r="J158" s="3" t="n">
        <v>2</v>
      </c>
    </row>
    <row r="159" customFormat="false" ht="15" hidden="false" customHeight="false" outlineLevel="0" collapsed="false">
      <c r="A159" s="3" t="s">
        <v>444</v>
      </c>
      <c r="B159" s="3" t="s">
        <v>136</v>
      </c>
      <c r="C159" s="4" t="n">
        <v>163.67</v>
      </c>
      <c r="D159" s="4" t="n">
        <v>133.32</v>
      </c>
      <c r="E159" s="3" t="s">
        <v>1479</v>
      </c>
      <c r="F159" s="4" t="n">
        <f aca="false">IF(AND(ISNUMBER(C159),ISNUMBER(D159)),D159-C159,"N/A")</f>
        <v>-30.35</v>
      </c>
      <c r="G159" s="6" t="n">
        <f aca="false">IF(ISNUMBER(F159),F159/C159*100,"N/A")</f>
        <v>-18.5434105211706</v>
      </c>
      <c r="H159" s="3" t="str">
        <f aca="false">IF(NOT(ISNUMBER(F159)),"NO CURRENT DATA",IF(F159&gt;0,"RISEN",IF(F159&lt;0,"FALLEN","UNCHANGED")))</f>
        <v>FALLEN</v>
      </c>
      <c r="I159" s="3" t="s">
        <v>1480</v>
      </c>
      <c r="J159" s="3" t="n">
        <v>4</v>
      </c>
    </row>
    <row r="160" customFormat="false" ht="15" hidden="false" customHeight="false" outlineLevel="0" collapsed="false">
      <c r="A160" s="3" t="s">
        <v>444</v>
      </c>
      <c r="B160" s="3" t="s">
        <v>152</v>
      </c>
      <c r="C160" s="4" t="n">
        <v>1091.1</v>
      </c>
      <c r="D160" s="4" t="n">
        <v>1117.1</v>
      </c>
      <c r="E160" s="3" t="s">
        <v>1479</v>
      </c>
      <c r="F160" s="4" t="n">
        <f aca="false">IF(AND(ISNUMBER(C160),ISNUMBER(D160)),D160-C160,"N/A")</f>
        <v>26</v>
      </c>
      <c r="G160" s="6" t="n">
        <f aca="false">IF(ISNUMBER(F160),F160/C160*100,"N/A")</f>
        <v>2.38291632297681</v>
      </c>
      <c r="H160" s="3" t="str">
        <f aca="false">IF(NOT(ISNUMBER(F160)),"NO CURRENT DATA",IF(F160&gt;0,"RISEN",IF(F160&lt;0,"FALLEN","UNCHANGED")))</f>
        <v>RISEN</v>
      </c>
      <c r="I160" s="3" t="s">
        <v>1480</v>
      </c>
      <c r="J160" s="3" t="n">
        <v>1</v>
      </c>
    </row>
    <row r="161" customFormat="false" ht="15" hidden="false" customHeight="false" outlineLevel="0" collapsed="false">
      <c r="A161" s="3" t="s">
        <v>444</v>
      </c>
      <c r="B161" s="3" t="s">
        <v>139</v>
      </c>
      <c r="C161" s="4" t="n">
        <v>2178.8</v>
      </c>
      <c r="D161" s="4" t="n">
        <v>2435.6</v>
      </c>
      <c r="E161" s="3" t="s">
        <v>1479</v>
      </c>
      <c r="F161" s="4" t="n">
        <f aca="false">IF(AND(ISNUMBER(C161),ISNUMBER(D161)),D161-C161,"N/A")</f>
        <v>256.8</v>
      </c>
      <c r="G161" s="6" t="n">
        <f aca="false">IF(ISNUMBER(F161),F161/C161*100,"N/A")</f>
        <v>11.7863043877364</v>
      </c>
      <c r="H161" s="3" t="str">
        <f aca="false">IF(NOT(ISNUMBER(F161)),"NO CURRENT DATA",IF(F161&gt;0,"RISEN",IF(F161&lt;0,"FALLEN","UNCHANGED")))</f>
        <v>RISEN</v>
      </c>
      <c r="I161" s="3" t="s">
        <v>1480</v>
      </c>
      <c r="J161" s="3" t="n">
        <v>2</v>
      </c>
    </row>
    <row r="162" customFormat="false" ht="15" hidden="false" customHeight="false" outlineLevel="0" collapsed="false">
      <c r="A162" s="3" t="s">
        <v>444</v>
      </c>
      <c r="B162" s="3" t="s">
        <v>114</v>
      </c>
      <c r="C162" s="4" t="n">
        <v>77.94</v>
      </c>
      <c r="D162" s="4" t="n">
        <v>77.43</v>
      </c>
      <c r="E162" s="3" t="s">
        <v>1479</v>
      </c>
      <c r="F162" s="4" t="n">
        <f aca="false">IF(AND(ISNUMBER(C162),ISNUMBER(D162)),D162-C162,"N/A")</f>
        <v>-0.509999999999991</v>
      </c>
      <c r="G162" s="6" t="n">
        <f aca="false">IF(ISNUMBER(F162),F162/C162*100,"N/A")</f>
        <v>-0.654349499615077</v>
      </c>
      <c r="H162" s="3" t="str">
        <f aca="false">IF(NOT(ISNUMBER(F162)),"NO CURRENT DATA",IF(F162&gt;0,"RISEN",IF(F162&lt;0,"FALLEN","UNCHANGED")))</f>
        <v>FALLEN</v>
      </c>
      <c r="I162" s="3" t="s">
        <v>1480</v>
      </c>
      <c r="J162" s="3" t="n">
        <v>3</v>
      </c>
    </row>
    <row r="163" customFormat="false" ht="15" hidden="false" customHeight="false" outlineLevel="0" collapsed="false">
      <c r="A163" s="3" t="s">
        <v>444</v>
      </c>
      <c r="B163" s="3" t="s">
        <v>453</v>
      </c>
      <c r="C163" s="4" t="n">
        <v>492.5</v>
      </c>
      <c r="D163" s="4" t="n">
        <v>807.9</v>
      </c>
      <c r="E163" s="3" t="s">
        <v>1479</v>
      </c>
      <c r="F163" s="4" t="n">
        <f aca="false">IF(AND(ISNUMBER(C163),ISNUMBER(D163)),D163-C163,"N/A")</f>
        <v>315.4</v>
      </c>
      <c r="G163" s="6" t="n">
        <f aca="false">IF(ISNUMBER(F163),F163/C163*100,"N/A")</f>
        <v>64.0406091370558</v>
      </c>
      <c r="H163" s="3" t="str">
        <f aca="false">IF(NOT(ISNUMBER(F163)),"NO CURRENT DATA",IF(F163&gt;0,"RISEN",IF(F163&lt;0,"FALLEN","UNCHANGED")))</f>
        <v>RISEN</v>
      </c>
      <c r="I163" s="3" t="s">
        <v>1480</v>
      </c>
      <c r="J163" s="3" t="n">
        <v>0</v>
      </c>
    </row>
    <row r="164" customFormat="false" ht="15" hidden="false" customHeight="false" outlineLevel="0" collapsed="false">
      <c r="A164" s="3" t="s">
        <v>444</v>
      </c>
      <c r="B164" s="3" t="s">
        <v>372</v>
      </c>
      <c r="C164" s="4" t="n">
        <v>647</v>
      </c>
      <c r="D164" s="4" t="n">
        <v>376</v>
      </c>
      <c r="E164" s="3" t="s">
        <v>1479</v>
      </c>
      <c r="F164" s="4" t="n">
        <f aca="false">IF(AND(ISNUMBER(C164),ISNUMBER(D164)),D164-C164,"N/A")</f>
        <v>-271</v>
      </c>
      <c r="G164" s="6" t="n">
        <f aca="false">IF(ISNUMBER(F164),F164/C164*100,"N/A")</f>
        <v>-41.8856259659969</v>
      </c>
      <c r="H164" s="3" t="str">
        <f aca="false">IF(NOT(ISNUMBER(F164)),"NO CURRENT DATA",IF(F164&gt;0,"RISEN",IF(F164&lt;0,"FALLEN","UNCHANGED")))</f>
        <v>FALLEN</v>
      </c>
      <c r="I164" s="3" t="s">
        <v>1480</v>
      </c>
      <c r="J164" s="3" t="n">
        <v>1</v>
      </c>
    </row>
    <row r="165" customFormat="false" ht="15" hidden="false" customHeight="false" outlineLevel="0" collapsed="false">
      <c r="A165" s="3" t="s">
        <v>444</v>
      </c>
      <c r="B165" s="3" t="s">
        <v>178</v>
      </c>
      <c r="C165" s="4" t="n">
        <v>381.95</v>
      </c>
      <c r="D165" s="4" t="n">
        <v>361.9</v>
      </c>
      <c r="E165" s="3" t="s">
        <v>1479</v>
      </c>
      <c r="F165" s="4" t="n">
        <f aca="false">IF(AND(ISNUMBER(C165),ISNUMBER(D165)),D165-C165,"N/A")</f>
        <v>-20.05</v>
      </c>
      <c r="G165" s="6" t="n">
        <f aca="false">IF(ISNUMBER(F165),F165/C165*100,"N/A")</f>
        <v>-5.24937819086268</v>
      </c>
      <c r="H165" s="3" t="str">
        <f aca="false">IF(NOT(ISNUMBER(F165)),"NO CURRENT DATA",IF(F165&gt;0,"RISEN",IF(F165&lt;0,"FALLEN","UNCHANGED")))</f>
        <v>FALLEN</v>
      </c>
      <c r="I165" s="3" t="s">
        <v>1480</v>
      </c>
      <c r="J165" s="3" t="n">
        <v>1</v>
      </c>
    </row>
    <row r="166" customFormat="false" ht="15" hidden="false" customHeight="false" outlineLevel="0" collapsed="false">
      <c r="A166" s="3" t="s">
        <v>444</v>
      </c>
      <c r="B166" s="3" t="s">
        <v>126</v>
      </c>
      <c r="C166" s="4" t="n">
        <v>543.6</v>
      </c>
      <c r="D166" s="4" t="n">
        <v>259</v>
      </c>
      <c r="E166" s="3" t="s">
        <v>1479</v>
      </c>
      <c r="F166" s="4" t="n">
        <f aca="false">IF(AND(ISNUMBER(C166),ISNUMBER(D166)),D166-C166,"N/A")</f>
        <v>-284.6</v>
      </c>
      <c r="G166" s="6" t="n">
        <f aca="false">IF(ISNUMBER(F166),F166/C166*100,"N/A")</f>
        <v>-52.354672553348</v>
      </c>
      <c r="H166" s="3" t="str">
        <f aca="false">IF(NOT(ISNUMBER(F166)),"NO CURRENT DATA",IF(F166&gt;0,"RISEN",IF(F166&lt;0,"FALLEN","UNCHANGED")))</f>
        <v>FALLEN</v>
      </c>
      <c r="I166" s="3" t="s">
        <v>1482</v>
      </c>
      <c r="J166" s="3" t="n">
        <v>1</v>
      </c>
    </row>
    <row r="167" customFormat="false" ht="15" hidden="false" customHeight="false" outlineLevel="0" collapsed="false">
      <c r="A167" s="3" t="s">
        <v>459</v>
      </c>
      <c r="B167" s="3" t="s">
        <v>114</v>
      </c>
      <c r="C167" s="4" t="n">
        <v>78.55</v>
      </c>
      <c r="D167" s="4" t="n">
        <v>77.43</v>
      </c>
      <c r="E167" s="3" t="s">
        <v>1479</v>
      </c>
      <c r="F167" s="4" t="n">
        <f aca="false">IF(AND(ISNUMBER(C167),ISNUMBER(D167)),D167-C167,"N/A")</f>
        <v>-1.11999999999999</v>
      </c>
      <c r="G167" s="6" t="n">
        <f aca="false">IF(ISNUMBER(F167),F167/C167*100,"N/A")</f>
        <v>-1.42584341183958</v>
      </c>
      <c r="H167" s="3" t="str">
        <f aca="false">IF(NOT(ISNUMBER(F167)),"NO CURRENT DATA",IF(F167&gt;0,"RISEN",IF(F167&lt;0,"FALLEN","UNCHANGED")))</f>
        <v>FALLEN</v>
      </c>
      <c r="I167" s="3" t="s">
        <v>1480</v>
      </c>
      <c r="J167" s="3" t="n">
        <v>3</v>
      </c>
    </row>
    <row r="168" customFormat="false" ht="15" hidden="false" customHeight="false" outlineLevel="0" collapsed="false">
      <c r="A168" s="3" t="s">
        <v>459</v>
      </c>
      <c r="B168" s="3" t="s">
        <v>237</v>
      </c>
      <c r="C168" s="4" t="n">
        <v>1789.4</v>
      </c>
      <c r="D168" s="4" t="n">
        <v>1952.2</v>
      </c>
      <c r="E168" s="3" t="s">
        <v>1479</v>
      </c>
      <c r="F168" s="4" t="n">
        <f aca="false">IF(AND(ISNUMBER(C168),ISNUMBER(D168)),D168-C168,"N/A")</f>
        <v>162.8</v>
      </c>
      <c r="G168" s="6" t="n">
        <f aca="false">IF(ISNUMBER(F168),F168/C168*100,"N/A")</f>
        <v>9.09802168324578</v>
      </c>
      <c r="H168" s="3" t="str">
        <f aca="false">IF(NOT(ISNUMBER(F168)),"NO CURRENT DATA",IF(F168&gt;0,"RISEN",IF(F168&lt;0,"FALLEN","UNCHANGED")))</f>
        <v>RISEN</v>
      </c>
      <c r="I168" s="3" t="s">
        <v>1480</v>
      </c>
      <c r="J168" s="3" t="n">
        <v>1</v>
      </c>
    </row>
    <row r="169" customFormat="false" ht="15" hidden="false" customHeight="false" outlineLevel="0" collapsed="false">
      <c r="A169" s="3" t="s">
        <v>462</v>
      </c>
      <c r="B169" s="3" t="s">
        <v>58</v>
      </c>
      <c r="C169" s="4" t="n">
        <v>1764.5</v>
      </c>
      <c r="D169" s="4" t="n">
        <v>2197</v>
      </c>
      <c r="E169" s="3" t="s">
        <v>1479</v>
      </c>
      <c r="F169" s="4" t="n">
        <f aca="false">IF(AND(ISNUMBER(C169),ISNUMBER(D169)),D169-C169,"N/A")</f>
        <v>432.5</v>
      </c>
      <c r="G169" s="6" t="n">
        <f aca="false">IF(ISNUMBER(F169),F169/C169*100,"N/A")</f>
        <v>24.5111929725135</v>
      </c>
      <c r="H169" s="3" t="str">
        <f aca="false">IF(NOT(ISNUMBER(F169)),"NO CURRENT DATA",IF(F169&gt;0,"RISEN",IF(F169&lt;0,"FALLEN","UNCHANGED")))</f>
        <v>RISEN</v>
      </c>
      <c r="I169" s="3" t="s">
        <v>1480</v>
      </c>
      <c r="J169" s="3" t="n">
        <v>1</v>
      </c>
    </row>
    <row r="170" customFormat="false" ht="15" hidden="false" customHeight="false" outlineLevel="0" collapsed="false">
      <c r="A170" s="3" t="s">
        <v>462</v>
      </c>
      <c r="B170" s="3" t="s">
        <v>396</v>
      </c>
      <c r="C170" s="4" t="n">
        <v>990.3</v>
      </c>
      <c r="D170" s="4" t="n">
        <v>995.3</v>
      </c>
      <c r="E170" s="3" t="s">
        <v>1479</v>
      </c>
      <c r="F170" s="4" t="n">
        <f aca="false">IF(AND(ISNUMBER(C170),ISNUMBER(D170)),D170-C170,"N/A")</f>
        <v>5</v>
      </c>
      <c r="G170" s="6" t="n">
        <f aca="false">IF(ISNUMBER(F170),F170/C170*100,"N/A")</f>
        <v>0.504897505806321</v>
      </c>
      <c r="H170" s="3" t="str">
        <f aca="false">IF(NOT(ISNUMBER(F170)),"NO CURRENT DATA",IF(F170&gt;0,"RISEN",IF(F170&lt;0,"FALLEN","UNCHANGED")))</f>
        <v>RISEN</v>
      </c>
      <c r="I170" s="3" t="s">
        <v>1480</v>
      </c>
      <c r="J170" s="3" t="n">
        <v>2</v>
      </c>
    </row>
    <row r="171" customFormat="false" ht="15" hidden="false" customHeight="false" outlineLevel="0" collapsed="false">
      <c r="A171" s="3" t="s">
        <v>462</v>
      </c>
      <c r="B171" s="3" t="s">
        <v>136</v>
      </c>
      <c r="C171" s="4" t="n">
        <v>168.16</v>
      </c>
      <c r="D171" s="4" t="n">
        <v>133.32</v>
      </c>
      <c r="E171" s="3" t="s">
        <v>1479</v>
      </c>
      <c r="F171" s="4" t="n">
        <f aca="false">IF(AND(ISNUMBER(C171),ISNUMBER(D171)),D171-C171,"N/A")</f>
        <v>-34.84</v>
      </c>
      <c r="G171" s="6" t="n">
        <f aca="false">IF(ISNUMBER(F171),F171/C171*100,"N/A")</f>
        <v>-20.7183634633682</v>
      </c>
      <c r="H171" s="3" t="str">
        <f aca="false">IF(NOT(ISNUMBER(F171)),"NO CURRENT DATA",IF(F171&gt;0,"RISEN",IF(F171&lt;0,"FALLEN","UNCHANGED")))</f>
        <v>FALLEN</v>
      </c>
      <c r="I171" s="3" t="s">
        <v>1480</v>
      </c>
      <c r="J171" s="3" t="n">
        <v>5</v>
      </c>
    </row>
    <row r="172" customFormat="false" ht="15" hidden="false" customHeight="false" outlineLevel="0" collapsed="false">
      <c r="A172" s="3" t="s">
        <v>462</v>
      </c>
      <c r="B172" s="3" t="s">
        <v>190</v>
      </c>
      <c r="C172" s="4" t="n">
        <v>6252.5</v>
      </c>
      <c r="D172" s="4" t="s">
        <v>60</v>
      </c>
      <c r="E172" s="3" t="s">
        <v>60</v>
      </c>
      <c r="F172" s="4" t="str">
        <f aca="false">IF(AND(ISNUMBER(C172),ISNUMBER(D172)),D172-C172,"N/A")</f>
        <v>N/A</v>
      </c>
      <c r="G172" s="6" t="str">
        <f aca="false">IF(ISNUMBER(F172),F172/C172*100,"N/A")</f>
        <v>N/A</v>
      </c>
      <c r="H172" s="3" t="str">
        <f aca="false">IF(NOT(ISNUMBER(F172)),"NO CURRENT DATA",IF(F172&gt;0,"RISEN",IF(F172&lt;0,"FALLEN","UNCHANGED")))</f>
        <v>NO CURRENT DATA</v>
      </c>
      <c r="I172" s="3" t="s">
        <v>1484</v>
      </c>
      <c r="J172" s="3" t="n">
        <v>2</v>
      </c>
    </row>
    <row r="173" customFormat="false" ht="15" hidden="false" customHeight="false" outlineLevel="0" collapsed="false">
      <c r="A173" s="3" t="s">
        <v>462</v>
      </c>
      <c r="B173" s="3" t="s">
        <v>275</v>
      </c>
      <c r="C173" s="4" t="n">
        <v>543.9</v>
      </c>
      <c r="D173" s="4" t="n">
        <v>390.8</v>
      </c>
      <c r="E173" s="3" t="s">
        <v>1479</v>
      </c>
      <c r="F173" s="4" t="n">
        <f aca="false">IF(AND(ISNUMBER(C173),ISNUMBER(D173)),D173-C173,"N/A")</f>
        <v>-153.1</v>
      </c>
      <c r="G173" s="6" t="n">
        <f aca="false">IF(ISNUMBER(F173),F173/C173*100,"N/A")</f>
        <v>-28.1485567199853</v>
      </c>
      <c r="H173" s="3" t="str">
        <f aca="false">IF(NOT(ISNUMBER(F173)),"NO CURRENT DATA",IF(F173&gt;0,"RISEN",IF(F173&lt;0,"FALLEN","UNCHANGED")))</f>
        <v>FALLEN</v>
      </c>
      <c r="I173" s="3" t="s">
        <v>1480</v>
      </c>
      <c r="J173" s="3" t="n">
        <v>1</v>
      </c>
    </row>
    <row r="174" customFormat="false" ht="15" hidden="false" customHeight="false" outlineLevel="0" collapsed="false">
      <c r="A174" s="3" t="s">
        <v>462</v>
      </c>
      <c r="B174" s="3" t="s">
        <v>303</v>
      </c>
      <c r="C174" s="4" t="n">
        <v>864.2</v>
      </c>
      <c r="D174" s="4" t="n">
        <v>976.3</v>
      </c>
      <c r="E174" s="3" t="s">
        <v>1479</v>
      </c>
      <c r="F174" s="4" t="n">
        <f aca="false">IF(AND(ISNUMBER(C174),ISNUMBER(D174)),D174-C174,"N/A")</f>
        <v>112.1</v>
      </c>
      <c r="G174" s="6" t="n">
        <f aca="false">IF(ISNUMBER(F174),F174/C174*100,"N/A")</f>
        <v>12.9715343670447</v>
      </c>
      <c r="H174" s="3" t="str">
        <f aca="false">IF(NOT(ISNUMBER(F174)),"NO CURRENT DATA",IF(F174&gt;0,"RISEN",IF(F174&lt;0,"FALLEN","UNCHANGED")))</f>
        <v>RISEN</v>
      </c>
      <c r="I174" s="3" t="s">
        <v>1480</v>
      </c>
      <c r="J174" s="3" t="n">
        <v>2</v>
      </c>
    </row>
    <row r="175" customFormat="false" ht="15" hidden="false" customHeight="false" outlineLevel="0" collapsed="false">
      <c r="A175" s="3" t="s">
        <v>469</v>
      </c>
      <c r="B175" s="3" t="s">
        <v>364</v>
      </c>
      <c r="C175" s="4" t="n">
        <v>645.65</v>
      </c>
      <c r="D175" s="4" t="n">
        <v>458.7</v>
      </c>
      <c r="E175" s="3" t="s">
        <v>1479</v>
      </c>
      <c r="F175" s="4" t="n">
        <f aca="false">IF(AND(ISNUMBER(C175),ISNUMBER(D175)),D175-C175,"N/A")</f>
        <v>-186.95</v>
      </c>
      <c r="G175" s="6" t="n">
        <f aca="false">IF(ISNUMBER(F175),F175/C175*100,"N/A")</f>
        <v>-28.9553163478665</v>
      </c>
      <c r="H175" s="3" t="str">
        <f aca="false">IF(NOT(ISNUMBER(F175)),"NO CURRENT DATA",IF(F175&gt;0,"RISEN",IF(F175&lt;0,"FALLEN","UNCHANGED")))</f>
        <v>FALLEN</v>
      </c>
      <c r="I175" s="3" t="s">
        <v>1480</v>
      </c>
      <c r="J175" s="3" t="n">
        <v>2</v>
      </c>
    </row>
    <row r="176" customFormat="false" ht="15" hidden="false" customHeight="false" outlineLevel="0" collapsed="false">
      <c r="A176" s="3" t="s">
        <v>469</v>
      </c>
      <c r="B176" s="3" t="s">
        <v>312</v>
      </c>
      <c r="C176" s="4" t="n">
        <v>847.4</v>
      </c>
      <c r="D176" s="4" t="n">
        <v>400.65</v>
      </c>
      <c r="E176" s="3" t="s">
        <v>1479</v>
      </c>
      <c r="F176" s="4" t="n">
        <f aca="false">IF(AND(ISNUMBER(C176),ISNUMBER(D176)),D176-C176,"N/A")</f>
        <v>-446.75</v>
      </c>
      <c r="G176" s="6" t="n">
        <f aca="false">IF(ISNUMBER(F176),F176/C176*100,"N/A")</f>
        <v>-52.7200849657777</v>
      </c>
      <c r="H176" s="3" t="str">
        <f aca="false">IF(NOT(ISNUMBER(F176)),"NO CURRENT DATA",IF(F176&gt;0,"RISEN",IF(F176&lt;0,"FALLEN","UNCHANGED")))</f>
        <v>FALLEN</v>
      </c>
      <c r="I176" s="3" t="s">
        <v>1486</v>
      </c>
      <c r="J176" s="3" t="n">
        <v>1</v>
      </c>
    </row>
    <row r="177" customFormat="false" ht="15" hidden="false" customHeight="false" outlineLevel="0" collapsed="false">
      <c r="A177" s="3" t="s">
        <v>472</v>
      </c>
      <c r="B177" s="3" t="s">
        <v>342</v>
      </c>
      <c r="C177" s="4" t="n">
        <v>2799.9</v>
      </c>
      <c r="D177" s="4" t="n">
        <v>2420</v>
      </c>
      <c r="E177" s="3" t="s">
        <v>1479</v>
      </c>
      <c r="F177" s="4" t="n">
        <f aca="false">IF(AND(ISNUMBER(C177),ISNUMBER(D177)),D177-C177,"N/A")</f>
        <v>-379.9</v>
      </c>
      <c r="G177" s="6" t="n">
        <f aca="false">IF(ISNUMBER(F177),F177/C177*100,"N/A")</f>
        <v>-13.5683417264902</v>
      </c>
      <c r="H177" s="3" t="str">
        <f aca="false">IF(NOT(ISNUMBER(F177)),"NO CURRENT DATA",IF(F177&gt;0,"RISEN",IF(F177&lt;0,"FALLEN","UNCHANGED")))</f>
        <v>FALLEN</v>
      </c>
      <c r="I177" s="3" t="s">
        <v>1480</v>
      </c>
      <c r="J177" s="3" t="n">
        <v>2</v>
      </c>
    </row>
    <row r="178" customFormat="false" ht="15" hidden="false" customHeight="false" outlineLevel="0" collapsed="false">
      <c r="A178" s="3" t="s">
        <v>472</v>
      </c>
      <c r="B178" s="3" t="s">
        <v>96</v>
      </c>
      <c r="C178" s="4" t="n">
        <v>405.95</v>
      </c>
      <c r="D178" s="4" t="n">
        <v>407.5</v>
      </c>
      <c r="E178" s="3" t="s">
        <v>1479</v>
      </c>
      <c r="F178" s="4" t="n">
        <f aca="false">IF(AND(ISNUMBER(C178),ISNUMBER(D178)),D178-C178,"N/A")</f>
        <v>1.55000000000001</v>
      </c>
      <c r="G178" s="6" t="n">
        <f aca="false">IF(ISNUMBER(F178),F178/C178*100,"N/A")</f>
        <v>0.381820421234145</v>
      </c>
      <c r="H178" s="3" t="str">
        <f aca="false">IF(NOT(ISNUMBER(F178)),"NO CURRENT DATA",IF(F178&gt;0,"RISEN",IF(F178&lt;0,"FALLEN","UNCHANGED")))</f>
        <v>RISEN</v>
      </c>
      <c r="I178" s="3" t="s">
        <v>1480</v>
      </c>
      <c r="J178" s="3" t="n">
        <v>2</v>
      </c>
    </row>
    <row r="179" customFormat="false" ht="15" hidden="false" customHeight="false" outlineLevel="0" collapsed="false">
      <c r="A179" s="3" t="s">
        <v>472</v>
      </c>
      <c r="B179" s="3" t="s">
        <v>346</v>
      </c>
      <c r="C179" s="4" t="n">
        <v>292.65</v>
      </c>
      <c r="D179" s="4" t="n">
        <v>313</v>
      </c>
      <c r="E179" s="3" t="s">
        <v>1479</v>
      </c>
      <c r="F179" s="4" t="n">
        <f aca="false">IF(AND(ISNUMBER(C179),ISNUMBER(D179)),D179-C179,"N/A")</f>
        <v>20.35</v>
      </c>
      <c r="G179" s="6" t="n">
        <f aca="false">IF(ISNUMBER(F179),F179/C179*100,"N/A")</f>
        <v>6.95369895779943</v>
      </c>
      <c r="H179" s="3" t="str">
        <f aca="false">IF(NOT(ISNUMBER(F179)),"NO CURRENT DATA",IF(F179&gt;0,"RISEN",IF(F179&lt;0,"FALLEN","UNCHANGED")))</f>
        <v>RISEN</v>
      </c>
      <c r="I179" s="3" t="s">
        <v>1480</v>
      </c>
      <c r="J179" s="3" t="n">
        <v>1</v>
      </c>
    </row>
    <row r="180" customFormat="false" ht="15" hidden="false" customHeight="false" outlineLevel="0" collapsed="false">
      <c r="A180" s="3" t="s">
        <v>472</v>
      </c>
      <c r="B180" s="3" t="s">
        <v>453</v>
      </c>
      <c r="C180" s="4" t="n">
        <v>496.8</v>
      </c>
      <c r="D180" s="4" t="n">
        <v>807.9</v>
      </c>
      <c r="E180" s="3" t="s">
        <v>1479</v>
      </c>
      <c r="F180" s="4" t="n">
        <f aca="false">IF(AND(ISNUMBER(C180),ISNUMBER(D180)),D180-C180,"N/A")</f>
        <v>311.1</v>
      </c>
      <c r="G180" s="6" t="n">
        <f aca="false">IF(ISNUMBER(F180),F180/C180*100,"N/A")</f>
        <v>62.6207729468599</v>
      </c>
      <c r="H180" s="3" t="str">
        <f aca="false">IF(NOT(ISNUMBER(F180)),"NO CURRENT DATA",IF(F180&gt;0,"RISEN",IF(F180&lt;0,"FALLEN","UNCHANGED")))</f>
        <v>RISEN</v>
      </c>
      <c r="I180" s="3" t="s">
        <v>1480</v>
      </c>
      <c r="J180" s="3" t="n">
        <v>1</v>
      </c>
    </row>
    <row r="181" customFormat="false" ht="15" hidden="false" customHeight="false" outlineLevel="0" collapsed="false">
      <c r="A181" s="3" t="s">
        <v>477</v>
      </c>
      <c r="B181" s="3" t="s">
        <v>263</v>
      </c>
      <c r="C181" s="4" t="n">
        <v>681.65</v>
      </c>
      <c r="D181" s="4" t="n">
        <v>453.5</v>
      </c>
      <c r="E181" s="3" t="s">
        <v>1479</v>
      </c>
      <c r="F181" s="4" t="n">
        <f aca="false">IF(AND(ISNUMBER(C181),ISNUMBER(D181)),D181-C181,"N/A")</f>
        <v>-228.15</v>
      </c>
      <c r="G181" s="6" t="n">
        <f aca="false">IF(ISNUMBER(F181),F181/C181*100,"N/A")</f>
        <v>-33.4702559964791</v>
      </c>
      <c r="H181" s="3" t="str">
        <f aca="false">IF(NOT(ISNUMBER(F181)),"NO CURRENT DATA",IF(F181&gt;0,"RISEN",IF(F181&lt;0,"FALLEN","UNCHANGED")))</f>
        <v>FALLEN</v>
      </c>
      <c r="I181" s="3" t="s">
        <v>1480</v>
      </c>
      <c r="J181" s="3" t="n">
        <v>1</v>
      </c>
    </row>
    <row r="182" customFormat="false" ht="15" hidden="false" customHeight="false" outlineLevel="0" collapsed="false">
      <c r="A182" s="3" t="s">
        <v>479</v>
      </c>
      <c r="B182" s="3" t="s">
        <v>480</v>
      </c>
      <c r="C182" s="4" t="n">
        <v>16647</v>
      </c>
      <c r="D182" s="4" t="n">
        <v>12008</v>
      </c>
      <c r="E182" s="3" t="s">
        <v>1479</v>
      </c>
      <c r="F182" s="4" t="n">
        <f aca="false">IF(AND(ISNUMBER(C182),ISNUMBER(D182)),D182-C182,"N/A")</f>
        <v>-4639</v>
      </c>
      <c r="G182" s="6" t="n">
        <f aca="false">IF(ISNUMBER(F182),F182/C182*100,"N/A")</f>
        <v>-27.8668829218478</v>
      </c>
      <c r="H182" s="3" t="str">
        <f aca="false">IF(NOT(ISNUMBER(F182)),"NO CURRENT DATA",IF(F182&gt;0,"RISEN",IF(F182&lt;0,"FALLEN","UNCHANGED")))</f>
        <v>FALLEN</v>
      </c>
      <c r="I182" s="3" t="s">
        <v>1480</v>
      </c>
      <c r="J182" s="3" t="n">
        <v>0</v>
      </c>
    </row>
    <row r="183" customFormat="false" ht="15" hidden="false" customHeight="false" outlineLevel="0" collapsed="false">
      <c r="A183" s="3" t="s">
        <v>483</v>
      </c>
      <c r="B183" s="3" t="s">
        <v>484</v>
      </c>
      <c r="C183" s="4" t="n">
        <v>357.7</v>
      </c>
      <c r="D183" s="4" t="n">
        <v>382.7</v>
      </c>
      <c r="E183" s="3" t="s">
        <v>1479</v>
      </c>
      <c r="F183" s="4" t="n">
        <f aca="false">IF(AND(ISNUMBER(C183),ISNUMBER(D183)),D183-C183,"N/A")</f>
        <v>25</v>
      </c>
      <c r="G183" s="6" t="n">
        <f aca="false">IF(ISNUMBER(F183),F183/C183*100,"N/A")</f>
        <v>6.98909700866648</v>
      </c>
      <c r="H183" s="3" t="str">
        <f aca="false">IF(NOT(ISNUMBER(F183)),"NO CURRENT DATA",IF(F183&gt;0,"RISEN",IF(F183&lt;0,"FALLEN","UNCHANGED")))</f>
        <v>RISEN</v>
      </c>
      <c r="I183" s="3" t="s">
        <v>1480</v>
      </c>
      <c r="J183" s="3" t="n">
        <v>0</v>
      </c>
    </row>
    <row r="184" customFormat="false" ht="15" hidden="false" customHeight="false" outlineLevel="0" collapsed="false">
      <c r="A184" s="3" t="s">
        <v>483</v>
      </c>
      <c r="B184" s="3" t="s">
        <v>487</v>
      </c>
      <c r="C184" s="4" t="n">
        <v>11328</v>
      </c>
      <c r="D184" s="4" t="n">
        <v>10800</v>
      </c>
      <c r="E184" s="3" t="s">
        <v>1479</v>
      </c>
      <c r="F184" s="4" t="n">
        <f aca="false">IF(AND(ISNUMBER(C184),ISNUMBER(D184)),D184-C184,"N/A")</f>
        <v>-528</v>
      </c>
      <c r="G184" s="6" t="n">
        <f aca="false">IF(ISNUMBER(F184),F184/C184*100,"N/A")</f>
        <v>-4.66101694915254</v>
      </c>
      <c r="H184" s="3" t="str">
        <f aca="false">IF(NOT(ISNUMBER(F184)),"NO CURRENT DATA",IF(F184&gt;0,"RISEN",IF(F184&lt;0,"FALLEN","UNCHANGED")))</f>
        <v>FALLEN</v>
      </c>
      <c r="I184" s="3" t="s">
        <v>1480</v>
      </c>
      <c r="J184" s="3" t="n">
        <v>0</v>
      </c>
    </row>
    <row r="185" customFormat="false" ht="15" hidden="false" customHeight="false" outlineLevel="0" collapsed="false">
      <c r="A185" s="3" t="s">
        <v>483</v>
      </c>
      <c r="B185" s="3" t="s">
        <v>490</v>
      </c>
      <c r="C185" s="4" t="n">
        <v>384</v>
      </c>
      <c r="D185" s="4" t="n">
        <v>302.25</v>
      </c>
      <c r="E185" s="3" t="s">
        <v>1479</v>
      </c>
      <c r="F185" s="4" t="n">
        <f aca="false">IF(AND(ISNUMBER(C185),ISNUMBER(D185)),D185-C185,"N/A")</f>
        <v>-81.75</v>
      </c>
      <c r="G185" s="6" t="n">
        <f aca="false">IF(ISNUMBER(F185),F185/C185*100,"N/A")</f>
        <v>-21.2890625</v>
      </c>
      <c r="H185" s="3" t="str">
        <f aca="false">IF(NOT(ISNUMBER(F185)),"NO CURRENT DATA",IF(F185&gt;0,"RISEN",IF(F185&lt;0,"FALLEN","UNCHANGED")))</f>
        <v>FALLEN</v>
      </c>
      <c r="I185" s="3" t="s">
        <v>1480</v>
      </c>
      <c r="J185" s="3" t="n">
        <v>0</v>
      </c>
    </row>
    <row r="186" customFormat="false" ht="15" hidden="false" customHeight="false" outlineLevel="0" collapsed="false">
      <c r="A186" s="3" t="s">
        <v>483</v>
      </c>
      <c r="B186" s="3" t="s">
        <v>493</v>
      </c>
      <c r="C186" s="4" t="n">
        <v>503.6</v>
      </c>
      <c r="D186" s="4" t="n">
        <v>385.75</v>
      </c>
      <c r="E186" s="3" t="s">
        <v>1479</v>
      </c>
      <c r="F186" s="4" t="n">
        <f aca="false">IF(AND(ISNUMBER(C186),ISNUMBER(D186)),D186-C186,"N/A")</f>
        <v>-117.85</v>
      </c>
      <c r="G186" s="6" t="n">
        <f aca="false">IF(ISNUMBER(F186),F186/C186*100,"N/A")</f>
        <v>-23.4015091342335</v>
      </c>
      <c r="H186" s="3" t="str">
        <f aca="false">IF(NOT(ISNUMBER(F186)),"NO CURRENT DATA",IF(F186&gt;0,"RISEN",IF(F186&lt;0,"FALLEN","UNCHANGED")))</f>
        <v>FALLEN</v>
      </c>
      <c r="I186" s="3" t="s">
        <v>1480</v>
      </c>
      <c r="J186" s="3" t="n">
        <v>0</v>
      </c>
    </row>
    <row r="187" customFormat="false" ht="15" hidden="false" customHeight="false" outlineLevel="0" collapsed="false">
      <c r="A187" s="3" t="s">
        <v>483</v>
      </c>
      <c r="B187" s="3" t="s">
        <v>496</v>
      </c>
      <c r="C187" s="4" t="n">
        <v>1222.2</v>
      </c>
      <c r="D187" s="4" t="n">
        <v>868</v>
      </c>
      <c r="E187" s="3" t="s">
        <v>1479</v>
      </c>
      <c r="F187" s="4" t="n">
        <f aca="false">IF(AND(ISNUMBER(C187),ISNUMBER(D187)),D187-C187,"N/A")</f>
        <v>-354.2</v>
      </c>
      <c r="G187" s="6" t="n">
        <f aca="false">IF(ISNUMBER(F187),F187/C187*100,"N/A")</f>
        <v>-28.9805269186713</v>
      </c>
      <c r="H187" s="3" t="str">
        <f aca="false">IF(NOT(ISNUMBER(F187)),"NO CURRENT DATA",IF(F187&gt;0,"RISEN",IF(F187&lt;0,"FALLEN","UNCHANGED")))</f>
        <v>FALLEN</v>
      </c>
      <c r="I187" s="3" t="s">
        <v>1480</v>
      </c>
      <c r="J187" s="3" t="n">
        <v>0</v>
      </c>
    </row>
    <row r="188" customFormat="false" ht="15" hidden="false" customHeight="false" outlineLevel="0" collapsed="false">
      <c r="A188" s="3" t="s">
        <v>483</v>
      </c>
      <c r="B188" s="3" t="s">
        <v>364</v>
      </c>
      <c r="C188" s="4" t="n">
        <v>668.25</v>
      </c>
      <c r="D188" s="4" t="n">
        <v>458.7</v>
      </c>
      <c r="E188" s="3" t="s">
        <v>1479</v>
      </c>
      <c r="F188" s="4" t="n">
        <f aca="false">IF(AND(ISNUMBER(C188),ISNUMBER(D188)),D188-C188,"N/A")</f>
        <v>-209.55</v>
      </c>
      <c r="G188" s="6" t="n">
        <f aca="false">IF(ISNUMBER(F188),F188/C188*100,"N/A")</f>
        <v>-31.358024691358</v>
      </c>
      <c r="H188" s="3" t="str">
        <f aca="false">IF(NOT(ISNUMBER(F188)),"NO CURRENT DATA",IF(F188&gt;0,"RISEN",IF(F188&lt;0,"FALLEN","UNCHANGED")))</f>
        <v>FALLEN</v>
      </c>
      <c r="I188" s="3" t="s">
        <v>1480</v>
      </c>
      <c r="J188" s="3" t="n">
        <v>3</v>
      </c>
    </row>
    <row r="189" customFormat="false" ht="15" hidden="false" customHeight="false" outlineLevel="0" collapsed="false">
      <c r="A189" s="3" t="s">
        <v>483</v>
      </c>
      <c r="B189" s="3" t="s">
        <v>136</v>
      </c>
      <c r="C189" s="4" t="n">
        <v>166.46</v>
      </c>
      <c r="D189" s="4" t="n">
        <v>133.32</v>
      </c>
      <c r="E189" s="3" t="s">
        <v>1479</v>
      </c>
      <c r="F189" s="4" t="n">
        <f aca="false">IF(AND(ISNUMBER(C189),ISNUMBER(D189)),D189-C189,"N/A")</f>
        <v>-33.14</v>
      </c>
      <c r="G189" s="6" t="n">
        <f aca="false">IF(ISNUMBER(F189),F189/C189*100,"N/A")</f>
        <v>-19.9086867715968</v>
      </c>
      <c r="H189" s="3" t="str">
        <f aca="false">IF(NOT(ISNUMBER(F189)),"NO CURRENT DATA",IF(F189&gt;0,"RISEN",IF(F189&lt;0,"FALLEN","UNCHANGED")))</f>
        <v>FALLEN</v>
      </c>
      <c r="I189" s="3" t="s">
        <v>1480</v>
      </c>
      <c r="J189" s="3" t="n">
        <v>6</v>
      </c>
    </row>
    <row r="190" customFormat="false" ht="15" hidden="false" customHeight="false" outlineLevel="0" collapsed="false">
      <c r="A190" s="3" t="s">
        <v>483</v>
      </c>
      <c r="B190" s="3" t="s">
        <v>501</v>
      </c>
      <c r="C190" s="4" t="n">
        <v>4460.2</v>
      </c>
      <c r="D190" s="4" t="n">
        <v>4516</v>
      </c>
      <c r="E190" s="3" t="s">
        <v>1479</v>
      </c>
      <c r="F190" s="4" t="n">
        <f aca="false">IF(AND(ISNUMBER(C190),ISNUMBER(D190)),D190-C190,"N/A")</f>
        <v>55.8000000000002</v>
      </c>
      <c r="G190" s="6" t="n">
        <f aca="false">IF(ISNUMBER(F190),F190/C190*100,"N/A")</f>
        <v>1.25106497466482</v>
      </c>
      <c r="H190" s="3" t="str">
        <f aca="false">IF(NOT(ISNUMBER(F190)),"NO CURRENT DATA",IF(F190&gt;0,"RISEN",IF(F190&lt;0,"FALLEN","UNCHANGED")))</f>
        <v>RISEN</v>
      </c>
      <c r="I190" s="3" t="s">
        <v>1480</v>
      </c>
      <c r="J190" s="3" t="n">
        <v>0</v>
      </c>
    </row>
    <row r="191" customFormat="false" ht="15" hidden="false" customHeight="false" outlineLevel="0" collapsed="false">
      <c r="A191" s="3" t="s">
        <v>483</v>
      </c>
      <c r="B191" s="3" t="s">
        <v>504</v>
      </c>
      <c r="C191" s="4" t="n">
        <v>145.64</v>
      </c>
      <c r="D191" s="4" t="n">
        <v>138.82</v>
      </c>
      <c r="E191" s="3" t="s">
        <v>1479</v>
      </c>
      <c r="F191" s="4" t="n">
        <f aca="false">IF(AND(ISNUMBER(C191),ISNUMBER(D191)),D191-C191,"N/A")</f>
        <v>-6.81999999999999</v>
      </c>
      <c r="G191" s="6" t="n">
        <f aca="false">IF(ISNUMBER(F191),F191/C191*100,"N/A")</f>
        <v>-4.68277945619335</v>
      </c>
      <c r="H191" s="3" t="str">
        <f aca="false">IF(NOT(ISNUMBER(F191)),"NO CURRENT DATA",IF(F191&gt;0,"RISEN",IF(F191&lt;0,"FALLEN","UNCHANGED")))</f>
        <v>FALLEN</v>
      </c>
      <c r="I191" s="3" t="s">
        <v>1480</v>
      </c>
      <c r="J191" s="3" t="n">
        <v>0</v>
      </c>
    </row>
    <row r="192" customFormat="false" ht="15" hidden="false" customHeight="false" outlineLevel="0" collapsed="false">
      <c r="A192" s="3" t="s">
        <v>507</v>
      </c>
      <c r="B192" s="3" t="s">
        <v>58</v>
      </c>
      <c r="C192" s="4" t="n">
        <v>1970</v>
      </c>
      <c r="D192" s="4" t="n">
        <v>2197</v>
      </c>
      <c r="E192" s="3" t="s">
        <v>1479</v>
      </c>
      <c r="F192" s="4" t="n">
        <f aca="false">IF(AND(ISNUMBER(C192),ISNUMBER(D192)),D192-C192,"N/A")</f>
        <v>227</v>
      </c>
      <c r="G192" s="6" t="n">
        <f aca="false">IF(ISNUMBER(F192),F192/C192*100,"N/A")</f>
        <v>11.5228426395939</v>
      </c>
      <c r="H192" s="3" t="str">
        <f aca="false">IF(NOT(ISNUMBER(F192)),"NO CURRENT DATA",IF(F192&gt;0,"RISEN",IF(F192&lt;0,"FALLEN","UNCHANGED")))</f>
        <v>RISEN</v>
      </c>
      <c r="I192" s="3" t="s">
        <v>1480</v>
      </c>
      <c r="J192" s="3" t="n">
        <v>2</v>
      </c>
    </row>
    <row r="193" customFormat="false" ht="15" hidden="false" customHeight="false" outlineLevel="0" collapsed="false">
      <c r="A193" s="3" t="s">
        <v>507</v>
      </c>
      <c r="B193" s="3" t="s">
        <v>509</v>
      </c>
      <c r="C193" s="4" t="n">
        <v>890.2</v>
      </c>
      <c r="D193" s="4" t="n">
        <v>909.7</v>
      </c>
      <c r="E193" s="3" t="s">
        <v>1479</v>
      </c>
      <c r="F193" s="4" t="n">
        <f aca="false">IF(AND(ISNUMBER(C193),ISNUMBER(D193)),D193-C193,"N/A")</f>
        <v>19.5</v>
      </c>
      <c r="G193" s="6" t="n">
        <f aca="false">IF(ISNUMBER(F193),F193/C193*100,"N/A")</f>
        <v>2.19051898449787</v>
      </c>
      <c r="H193" s="3" t="str">
        <f aca="false">IF(NOT(ISNUMBER(F193)),"NO CURRENT DATA",IF(F193&gt;0,"RISEN",IF(F193&lt;0,"FALLEN","UNCHANGED")))</f>
        <v>RISEN</v>
      </c>
      <c r="I193" s="3" t="s">
        <v>1480</v>
      </c>
      <c r="J193" s="3" t="n">
        <v>0</v>
      </c>
    </row>
    <row r="194" customFormat="false" ht="15" hidden="false" customHeight="false" outlineLevel="0" collapsed="false">
      <c r="A194" s="3" t="s">
        <v>512</v>
      </c>
      <c r="B194" s="3" t="s">
        <v>513</v>
      </c>
      <c r="C194" s="4" t="n">
        <v>305.05</v>
      </c>
      <c r="D194" s="4" t="n">
        <v>227.5</v>
      </c>
      <c r="E194" s="3" t="s">
        <v>1479</v>
      </c>
      <c r="F194" s="4" t="n">
        <f aca="false">IF(AND(ISNUMBER(C194),ISNUMBER(D194)),D194-C194,"N/A")</f>
        <v>-77.55</v>
      </c>
      <c r="G194" s="6" t="n">
        <f aca="false">IF(ISNUMBER(F194),F194/C194*100,"N/A")</f>
        <v>-25.4220619570562</v>
      </c>
      <c r="H194" s="3" t="str">
        <f aca="false">IF(NOT(ISNUMBER(F194)),"NO CURRENT DATA",IF(F194&gt;0,"RISEN",IF(F194&lt;0,"FALLEN","UNCHANGED")))</f>
        <v>FALLEN</v>
      </c>
      <c r="I194" s="3" t="s">
        <v>1480</v>
      </c>
      <c r="J194" s="3" t="n">
        <v>0</v>
      </c>
    </row>
    <row r="195" customFormat="false" ht="15" hidden="false" customHeight="false" outlineLevel="0" collapsed="false">
      <c r="A195" s="3" t="s">
        <v>512</v>
      </c>
      <c r="B195" s="3" t="s">
        <v>516</v>
      </c>
      <c r="C195" s="4" t="n">
        <v>1816.1</v>
      </c>
      <c r="D195" s="4" t="n">
        <v>1575.4</v>
      </c>
      <c r="E195" s="3" t="s">
        <v>1479</v>
      </c>
      <c r="F195" s="4" t="n">
        <f aca="false">IF(AND(ISNUMBER(C195),ISNUMBER(D195)),D195-C195,"N/A")</f>
        <v>-240.7</v>
      </c>
      <c r="G195" s="6" t="n">
        <f aca="false">IF(ISNUMBER(F195),F195/C195*100,"N/A")</f>
        <v>-13.2536754583999</v>
      </c>
      <c r="H195" s="3" t="str">
        <f aca="false">IF(NOT(ISNUMBER(F195)),"NO CURRENT DATA",IF(F195&gt;0,"RISEN",IF(F195&lt;0,"FALLEN","UNCHANGED")))</f>
        <v>FALLEN</v>
      </c>
      <c r="I195" s="3" t="s">
        <v>1480</v>
      </c>
      <c r="J195" s="3" t="n">
        <v>0</v>
      </c>
    </row>
    <row r="196" customFormat="false" ht="15" hidden="false" customHeight="false" outlineLevel="0" collapsed="false">
      <c r="A196" s="3" t="s">
        <v>512</v>
      </c>
      <c r="B196" s="3" t="s">
        <v>519</v>
      </c>
      <c r="C196" s="4" t="n">
        <v>154.87</v>
      </c>
      <c r="D196" s="4" t="n">
        <v>120.65</v>
      </c>
      <c r="E196" s="3" t="s">
        <v>1479</v>
      </c>
      <c r="F196" s="4" t="n">
        <f aca="false">IF(AND(ISNUMBER(C196),ISNUMBER(D196)),D196-C196,"N/A")</f>
        <v>-34.22</v>
      </c>
      <c r="G196" s="6" t="n">
        <f aca="false">IF(ISNUMBER(F196),F196/C196*100,"N/A")</f>
        <v>-22.0959514431459</v>
      </c>
      <c r="H196" s="3" t="str">
        <f aca="false">IF(NOT(ISNUMBER(F196)),"NO CURRENT DATA",IF(F196&gt;0,"RISEN",IF(F196&lt;0,"FALLEN","UNCHANGED")))</f>
        <v>FALLEN</v>
      </c>
      <c r="I196" s="3" t="s">
        <v>1480</v>
      </c>
      <c r="J196" s="3" t="n">
        <v>0</v>
      </c>
    </row>
    <row r="197" customFormat="false" ht="15" hidden="false" customHeight="false" outlineLevel="0" collapsed="false">
      <c r="A197" s="3" t="s">
        <v>512</v>
      </c>
      <c r="B197" s="3" t="s">
        <v>522</v>
      </c>
      <c r="C197" s="4" t="n">
        <v>252.1</v>
      </c>
      <c r="D197" s="4" t="n">
        <v>218.8</v>
      </c>
      <c r="E197" s="3" t="s">
        <v>1479</v>
      </c>
      <c r="F197" s="4" t="n">
        <f aca="false">IF(AND(ISNUMBER(C197),ISNUMBER(D197)),D197-C197,"N/A")</f>
        <v>-33.3</v>
      </c>
      <c r="G197" s="6" t="n">
        <f aca="false">IF(ISNUMBER(F197),F197/C197*100,"N/A")</f>
        <v>-13.2090440301468</v>
      </c>
      <c r="H197" s="3" t="str">
        <f aca="false">IF(NOT(ISNUMBER(F197)),"NO CURRENT DATA",IF(F197&gt;0,"RISEN",IF(F197&lt;0,"FALLEN","UNCHANGED")))</f>
        <v>FALLEN</v>
      </c>
      <c r="I197" s="3" t="s">
        <v>1480</v>
      </c>
      <c r="J197" s="3" t="n">
        <v>0</v>
      </c>
    </row>
    <row r="198" customFormat="false" ht="15" hidden="false" customHeight="false" outlineLevel="0" collapsed="false">
      <c r="A198" s="3" t="s">
        <v>512</v>
      </c>
      <c r="B198" s="3" t="s">
        <v>525</v>
      </c>
      <c r="C198" s="4" t="n">
        <v>301.7</v>
      </c>
      <c r="D198" s="4" t="n">
        <v>220.5</v>
      </c>
      <c r="E198" s="3" t="s">
        <v>1479</v>
      </c>
      <c r="F198" s="4" t="n">
        <f aca="false">IF(AND(ISNUMBER(C198),ISNUMBER(D198)),D198-C198,"N/A")</f>
        <v>-81.2</v>
      </c>
      <c r="G198" s="6" t="n">
        <f aca="false">IF(ISNUMBER(F198),F198/C198*100,"N/A")</f>
        <v>-26.9141531322506</v>
      </c>
      <c r="H198" s="3" t="str">
        <f aca="false">IF(NOT(ISNUMBER(F198)),"NO CURRENT DATA",IF(F198&gt;0,"RISEN",IF(F198&lt;0,"FALLEN","UNCHANGED")))</f>
        <v>FALLEN</v>
      </c>
      <c r="I198" s="3" t="s">
        <v>1480</v>
      </c>
      <c r="J198" s="3" t="n">
        <v>0</v>
      </c>
    </row>
    <row r="199" customFormat="false" ht="15" hidden="false" customHeight="false" outlineLevel="0" collapsed="false">
      <c r="A199" s="3" t="s">
        <v>512</v>
      </c>
      <c r="B199" s="3" t="s">
        <v>152</v>
      </c>
      <c r="C199" s="4" t="n">
        <v>1085.7</v>
      </c>
      <c r="D199" s="4" t="n">
        <v>1117.1</v>
      </c>
      <c r="E199" s="3" t="s">
        <v>1479</v>
      </c>
      <c r="F199" s="4" t="n">
        <f aca="false">IF(AND(ISNUMBER(C199),ISNUMBER(D199)),D199-C199,"N/A")</f>
        <v>31.3999999999999</v>
      </c>
      <c r="G199" s="6" t="n">
        <f aca="false">IF(ISNUMBER(F199),F199/C199*100,"N/A")</f>
        <v>2.89214331767522</v>
      </c>
      <c r="H199" s="3" t="str">
        <f aca="false">IF(NOT(ISNUMBER(F199)),"NO CURRENT DATA",IF(F199&gt;0,"RISEN",IF(F199&lt;0,"FALLEN","UNCHANGED")))</f>
        <v>RISEN</v>
      </c>
      <c r="I199" s="3" t="s">
        <v>1480</v>
      </c>
      <c r="J199" s="3" t="n">
        <v>2</v>
      </c>
    </row>
    <row r="200" customFormat="false" ht="15" hidden="false" customHeight="false" outlineLevel="0" collapsed="false">
      <c r="A200" s="3" t="s">
        <v>512</v>
      </c>
      <c r="B200" s="3" t="s">
        <v>529</v>
      </c>
      <c r="C200" s="4" t="n">
        <v>270.95</v>
      </c>
      <c r="D200" s="4" t="n">
        <v>261.85</v>
      </c>
      <c r="E200" s="3" t="s">
        <v>1479</v>
      </c>
      <c r="F200" s="4" t="n">
        <f aca="false">IF(AND(ISNUMBER(C200),ISNUMBER(D200)),D200-C200,"N/A")</f>
        <v>-9.09999999999997</v>
      </c>
      <c r="G200" s="6" t="n">
        <f aca="false">IF(ISNUMBER(F200),F200/C200*100,"N/A")</f>
        <v>-3.3585532386049</v>
      </c>
      <c r="H200" s="3" t="str">
        <f aca="false">IF(NOT(ISNUMBER(F200)),"NO CURRENT DATA",IF(F200&gt;0,"RISEN",IF(F200&lt;0,"FALLEN","UNCHANGED")))</f>
        <v>FALLEN</v>
      </c>
      <c r="I200" s="3" t="s">
        <v>1480</v>
      </c>
      <c r="J200" s="3" t="n">
        <v>0</v>
      </c>
    </row>
    <row r="201" customFormat="false" ht="15" hidden="false" customHeight="false" outlineLevel="0" collapsed="false">
      <c r="A201" s="3" t="s">
        <v>512</v>
      </c>
      <c r="B201" s="3" t="s">
        <v>156</v>
      </c>
      <c r="C201" s="4" t="n">
        <v>1321.2</v>
      </c>
      <c r="D201" s="4" t="n">
        <v>1173</v>
      </c>
      <c r="E201" s="3" t="s">
        <v>1479</v>
      </c>
      <c r="F201" s="4" t="n">
        <f aca="false">IF(AND(ISNUMBER(C201),ISNUMBER(D201)),D201-C201,"N/A")</f>
        <v>-148.2</v>
      </c>
      <c r="G201" s="6" t="n">
        <f aca="false">IF(ISNUMBER(F201),F201/C201*100,"N/A")</f>
        <v>-11.2170753860127</v>
      </c>
      <c r="H201" s="3" t="str">
        <f aca="false">IF(NOT(ISNUMBER(F201)),"NO CURRENT DATA",IF(F201&gt;0,"RISEN",IF(F201&lt;0,"FALLEN","UNCHANGED")))</f>
        <v>FALLEN</v>
      </c>
      <c r="I201" s="3" t="s">
        <v>1480</v>
      </c>
      <c r="J201" s="3" t="n">
        <v>2</v>
      </c>
    </row>
    <row r="202" customFormat="false" ht="15" hidden="false" customHeight="false" outlineLevel="0" collapsed="false">
      <c r="A202" s="3" t="s">
        <v>533</v>
      </c>
      <c r="B202" s="3" t="s">
        <v>328</v>
      </c>
      <c r="C202" s="4" t="n">
        <v>6026.5</v>
      </c>
      <c r="D202" s="4" t="n">
        <v>4915</v>
      </c>
      <c r="E202" s="3" t="s">
        <v>1479</v>
      </c>
      <c r="F202" s="4" t="n">
        <f aca="false">IF(AND(ISNUMBER(C202),ISNUMBER(D202)),D202-C202,"N/A")</f>
        <v>-1111.5</v>
      </c>
      <c r="G202" s="6" t="n">
        <f aca="false">IF(ISNUMBER(F202),F202/C202*100,"N/A")</f>
        <v>-18.4435410271302</v>
      </c>
      <c r="H202" s="3" t="str">
        <f aca="false">IF(NOT(ISNUMBER(F202)),"NO CURRENT DATA",IF(F202&gt;0,"RISEN",IF(F202&lt;0,"FALLEN","UNCHANGED")))</f>
        <v>FALLEN</v>
      </c>
      <c r="I202" s="3" t="s">
        <v>1480</v>
      </c>
      <c r="J202" s="3" t="n">
        <v>1</v>
      </c>
    </row>
    <row r="203" customFormat="false" ht="15" hidden="false" customHeight="false" outlineLevel="0" collapsed="false">
      <c r="A203" s="3" t="s">
        <v>533</v>
      </c>
      <c r="B203" s="3" t="s">
        <v>522</v>
      </c>
      <c r="C203" s="4" t="n">
        <v>259.75</v>
      </c>
      <c r="D203" s="4" t="n">
        <v>218.8</v>
      </c>
      <c r="E203" s="3" t="s">
        <v>1479</v>
      </c>
      <c r="F203" s="4" t="n">
        <f aca="false">IF(AND(ISNUMBER(C203),ISNUMBER(D203)),D203-C203,"N/A")</f>
        <v>-40.95</v>
      </c>
      <c r="G203" s="6" t="n">
        <f aca="false">IF(ISNUMBER(F203),F203/C203*100,"N/A")</f>
        <v>-15.7651588065447</v>
      </c>
      <c r="H203" s="3" t="str">
        <f aca="false">IF(NOT(ISNUMBER(F203)),"NO CURRENT DATA",IF(F203&gt;0,"RISEN",IF(F203&lt;0,"FALLEN","UNCHANGED")))</f>
        <v>FALLEN</v>
      </c>
      <c r="I203" s="3" t="s">
        <v>1480</v>
      </c>
      <c r="J203" s="3" t="n">
        <v>0</v>
      </c>
    </row>
    <row r="204" customFormat="false" ht="15" hidden="false" customHeight="false" outlineLevel="0" collapsed="false">
      <c r="A204" s="3" t="s">
        <v>533</v>
      </c>
      <c r="B204" s="3" t="s">
        <v>96</v>
      </c>
      <c r="C204" s="4" t="n">
        <v>411.95</v>
      </c>
      <c r="D204" s="4" t="n">
        <v>407.5</v>
      </c>
      <c r="E204" s="3" t="s">
        <v>1479</v>
      </c>
      <c r="F204" s="4" t="n">
        <f aca="false">IF(AND(ISNUMBER(C204),ISNUMBER(D204)),D204-C204,"N/A")</f>
        <v>-4.44999999999999</v>
      </c>
      <c r="G204" s="6" t="n">
        <f aca="false">IF(ISNUMBER(F204),F204/C204*100,"N/A")</f>
        <v>-1.08022818303192</v>
      </c>
      <c r="H204" s="3" t="str">
        <f aca="false">IF(NOT(ISNUMBER(F204)),"NO CURRENT DATA",IF(F204&gt;0,"RISEN",IF(F204&lt;0,"FALLEN","UNCHANGED")))</f>
        <v>FALLEN</v>
      </c>
      <c r="I204" s="3" t="s">
        <v>1480</v>
      </c>
      <c r="J204" s="3" t="n">
        <v>3</v>
      </c>
    </row>
    <row r="205" customFormat="false" ht="15" hidden="false" customHeight="false" outlineLevel="0" collapsed="false">
      <c r="A205" s="3" t="s">
        <v>533</v>
      </c>
      <c r="B205" s="3" t="s">
        <v>254</v>
      </c>
      <c r="C205" s="4" t="n">
        <v>711.35</v>
      </c>
      <c r="D205" s="4" t="n">
        <v>663.55</v>
      </c>
      <c r="E205" s="3" t="s">
        <v>1479</v>
      </c>
      <c r="F205" s="4" t="n">
        <f aca="false">IF(AND(ISNUMBER(C205),ISNUMBER(D205)),D205-C205,"N/A")</f>
        <v>-47.8000000000001</v>
      </c>
      <c r="G205" s="6" t="n">
        <f aca="false">IF(ISNUMBER(F205),F205/C205*100,"N/A")</f>
        <v>-6.71961762845295</v>
      </c>
      <c r="H205" s="3" t="str">
        <f aca="false">IF(NOT(ISNUMBER(F205)),"NO CURRENT DATA",IF(F205&gt;0,"RISEN",IF(F205&lt;0,"FALLEN","UNCHANGED")))</f>
        <v>FALLEN</v>
      </c>
      <c r="I205" s="3" t="s">
        <v>1480</v>
      </c>
      <c r="J205" s="3" t="n">
        <v>1</v>
      </c>
    </row>
    <row r="206" customFormat="false" ht="15" hidden="false" customHeight="false" outlineLevel="0" collapsed="false">
      <c r="A206" s="3" t="s">
        <v>533</v>
      </c>
      <c r="B206" s="3" t="s">
        <v>538</v>
      </c>
      <c r="C206" s="4" t="n">
        <v>504.2</v>
      </c>
      <c r="D206" s="4" t="n">
        <v>564</v>
      </c>
      <c r="E206" s="3" t="s">
        <v>1479</v>
      </c>
      <c r="F206" s="4" t="n">
        <f aca="false">IF(AND(ISNUMBER(C206),ISNUMBER(D206)),D206-C206,"N/A")</f>
        <v>59.8</v>
      </c>
      <c r="G206" s="6" t="n">
        <f aca="false">IF(ISNUMBER(F206),F206/C206*100,"N/A")</f>
        <v>11.8603728679096</v>
      </c>
      <c r="H206" s="3" t="str">
        <f aca="false">IF(NOT(ISNUMBER(F206)),"NO CURRENT DATA",IF(F206&gt;0,"RISEN",IF(F206&lt;0,"FALLEN","UNCHANGED")))</f>
        <v>RISEN</v>
      </c>
      <c r="I206" s="3" t="s">
        <v>1480</v>
      </c>
      <c r="J206" s="3" t="n">
        <v>0</v>
      </c>
    </row>
    <row r="207" customFormat="false" ht="15" hidden="false" customHeight="false" outlineLevel="0" collapsed="false">
      <c r="A207" s="3" t="s">
        <v>533</v>
      </c>
      <c r="B207" s="3" t="s">
        <v>541</v>
      </c>
      <c r="C207" s="4" t="n">
        <v>3921</v>
      </c>
      <c r="D207" s="4" t="n">
        <v>2760</v>
      </c>
      <c r="E207" s="3" t="s">
        <v>1479</v>
      </c>
      <c r="F207" s="4" t="n">
        <f aca="false">IF(AND(ISNUMBER(C207),ISNUMBER(D207)),D207-C207,"N/A")</f>
        <v>-1161</v>
      </c>
      <c r="G207" s="6" t="n">
        <f aca="false">IF(ISNUMBER(F207),F207/C207*100,"N/A")</f>
        <v>-29.6097934200459</v>
      </c>
      <c r="H207" s="3" t="str">
        <f aca="false">IF(NOT(ISNUMBER(F207)),"NO CURRENT DATA",IF(F207&gt;0,"RISEN",IF(F207&lt;0,"FALLEN","UNCHANGED")))</f>
        <v>FALLEN</v>
      </c>
      <c r="I207" s="3" t="s">
        <v>1480</v>
      </c>
      <c r="J207" s="3" t="n">
        <v>0</v>
      </c>
    </row>
    <row r="208" customFormat="false" ht="15" hidden="false" customHeight="false" outlineLevel="0" collapsed="false">
      <c r="A208" s="3" t="s">
        <v>533</v>
      </c>
      <c r="B208" s="3" t="s">
        <v>544</v>
      </c>
      <c r="C208" s="4" t="n">
        <v>1314.6</v>
      </c>
      <c r="D208" s="4" t="n">
        <v>1346</v>
      </c>
      <c r="E208" s="3" t="s">
        <v>1479</v>
      </c>
      <c r="F208" s="4" t="n">
        <f aca="false">IF(AND(ISNUMBER(C208),ISNUMBER(D208)),D208-C208,"N/A")</f>
        <v>31.4000000000001</v>
      </c>
      <c r="G208" s="6" t="n">
        <f aca="false">IF(ISNUMBER(F208),F208/C208*100,"N/A")</f>
        <v>2.38855925756885</v>
      </c>
      <c r="H208" s="3" t="str">
        <f aca="false">IF(NOT(ISNUMBER(F208)),"NO CURRENT DATA",IF(F208&gt;0,"RISEN",IF(F208&lt;0,"FALLEN","UNCHANGED")))</f>
        <v>RISEN</v>
      </c>
      <c r="I208" s="3" t="s">
        <v>1480</v>
      </c>
      <c r="J208" s="3" t="n">
        <v>0</v>
      </c>
    </row>
    <row r="209" customFormat="false" ht="15" hidden="false" customHeight="false" outlineLevel="0" collapsed="false">
      <c r="A209" s="3" t="s">
        <v>533</v>
      </c>
      <c r="B209" s="3" t="s">
        <v>237</v>
      </c>
      <c r="C209" s="4" t="n">
        <v>1924.5</v>
      </c>
      <c r="D209" s="4" t="n">
        <v>1952.2</v>
      </c>
      <c r="E209" s="3" t="s">
        <v>1479</v>
      </c>
      <c r="F209" s="4" t="n">
        <f aca="false">IF(AND(ISNUMBER(C209),ISNUMBER(D209)),D209-C209,"N/A")</f>
        <v>27.7</v>
      </c>
      <c r="G209" s="6" t="n">
        <f aca="false">IF(ISNUMBER(F209),F209/C209*100,"N/A")</f>
        <v>1.43933489217979</v>
      </c>
      <c r="H209" s="3" t="str">
        <f aca="false">IF(NOT(ISNUMBER(F209)),"NO CURRENT DATA",IF(F209&gt;0,"RISEN",IF(F209&lt;0,"FALLEN","UNCHANGED")))</f>
        <v>RISEN</v>
      </c>
      <c r="I209" s="3" t="s">
        <v>1480</v>
      </c>
      <c r="J209" s="3" t="n">
        <v>2</v>
      </c>
    </row>
    <row r="210" customFormat="false" ht="15" hidden="false" customHeight="false" outlineLevel="0" collapsed="false">
      <c r="A210" s="3" t="s">
        <v>533</v>
      </c>
      <c r="B210" s="3" t="s">
        <v>164</v>
      </c>
      <c r="C210" s="4" t="n">
        <v>1505</v>
      </c>
      <c r="D210" s="4" t="n">
        <v>1503</v>
      </c>
      <c r="E210" s="3" t="s">
        <v>1479</v>
      </c>
      <c r="F210" s="4" t="n">
        <f aca="false">IF(AND(ISNUMBER(C210),ISNUMBER(D210)),D210-C210,"N/A")</f>
        <v>-2</v>
      </c>
      <c r="G210" s="6" t="n">
        <f aca="false">IF(ISNUMBER(F210),F210/C210*100,"N/A")</f>
        <v>-0.132890365448505</v>
      </c>
      <c r="H210" s="3" t="str">
        <f aca="false">IF(NOT(ISNUMBER(F210)),"NO CURRENT DATA",IF(F210&gt;0,"RISEN",IF(F210&lt;0,"FALLEN","UNCHANGED")))</f>
        <v>FALLEN</v>
      </c>
      <c r="I210" s="3" t="s">
        <v>1480</v>
      </c>
      <c r="J210" s="3" t="n">
        <v>2</v>
      </c>
    </row>
    <row r="211" customFormat="false" ht="15" hidden="false" customHeight="false" outlineLevel="0" collapsed="false">
      <c r="A211" s="3" t="s">
        <v>533</v>
      </c>
      <c r="B211" s="3" t="s">
        <v>529</v>
      </c>
      <c r="C211" s="4" t="n">
        <v>271.65</v>
      </c>
      <c r="D211" s="4" t="n">
        <v>261.85</v>
      </c>
      <c r="E211" s="3" t="s">
        <v>1479</v>
      </c>
      <c r="F211" s="4" t="n">
        <f aca="false">IF(AND(ISNUMBER(C211),ISNUMBER(D211)),D211-C211,"N/A")</f>
        <v>-9.79999999999996</v>
      </c>
      <c r="G211" s="6" t="n">
        <f aca="false">IF(ISNUMBER(F211),F211/C211*100,"N/A")</f>
        <v>-3.60758328731822</v>
      </c>
      <c r="H211" s="3" t="str">
        <f aca="false">IF(NOT(ISNUMBER(F211)),"NO CURRENT DATA",IF(F211&gt;0,"RISEN",IF(F211&lt;0,"FALLEN","UNCHANGED")))</f>
        <v>FALLEN</v>
      </c>
      <c r="I211" s="3" t="s">
        <v>1480</v>
      </c>
      <c r="J211" s="3" t="n">
        <v>0</v>
      </c>
    </row>
    <row r="212" customFormat="false" ht="15" hidden="false" customHeight="false" outlineLevel="0" collapsed="false">
      <c r="A212" s="3" t="s">
        <v>533</v>
      </c>
      <c r="B212" s="3" t="s">
        <v>550</v>
      </c>
      <c r="C212" s="4" t="n">
        <v>1667.1</v>
      </c>
      <c r="D212" s="4" t="n">
        <v>1470.8</v>
      </c>
      <c r="E212" s="3" t="s">
        <v>1479</v>
      </c>
      <c r="F212" s="4" t="n">
        <f aca="false">IF(AND(ISNUMBER(C212),ISNUMBER(D212)),D212-C212,"N/A")</f>
        <v>-196.3</v>
      </c>
      <c r="G212" s="6" t="n">
        <f aca="false">IF(ISNUMBER(F212),F212/C212*100,"N/A")</f>
        <v>-11.7749385159858</v>
      </c>
      <c r="H212" s="3" t="str">
        <f aca="false">IF(NOT(ISNUMBER(F212)),"NO CURRENT DATA",IF(F212&gt;0,"RISEN",IF(F212&lt;0,"FALLEN","UNCHANGED")))</f>
        <v>FALLEN</v>
      </c>
      <c r="I212" s="3" t="s">
        <v>1480</v>
      </c>
      <c r="J212" s="3" t="n">
        <v>0</v>
      </c>
    </row>
    <row r="213" customFormat="false" ht="15" hidden="false" customHeight="false" outlineLevel="0" collapsed="false">
      <c r="A213" s="3" t="s">
        <v>533</v>
      </c>
      <c r="B213" s="3" t="s">
        <v>504</v>
      </c>
      <c r="C213" s="4" t="n">
        <v>151.49</v>
      </c>
      <c r="D213" s="4" t="n">
        <v>138.82</v>
      </c>
      <c r="E213" s="3" t="s">
        <v>1479</v>
      </c>
      <c r="F213" s="4" t="n">
        <f aca="false">IF(AND(ISNUMBER(C213),ISNUMBER(D213)),D213-C213,"N/A")</f>
        <v>-12.67</v>
      </c>
      <c r="G213" s="6" t="n">
        <f aca="false">IF(ISNUMBER(F213),F213/C213*100,"N/A")</f>
        <v>-8.36358835566705</v>
      </c>
      <c r="H213" s="3" t="str">
        <f aca="false">IF(NOT(ISNUMBER(F213)),"NO CURRENT DATA",IF(F213&gt;0,"RISEN",IF(F213&lt;0,"FALLEN","UNCHANGED")))</f>
        <v>FALLEN</v>
      </c>
      <c r="I213" s="3" t="s">
        <v>1480</v>
      </c>
      <c r="J213" s="3" t="n">
        <v>1</v>
      </c>
    </row>
    <row r="214" customFormat="false" ht="15" hidden="false" customHeight="false" outlineLevel="0" collapsed="false">
      <c r="A214" s="3" t="s">
        <v>533</v>
      </c>
      <c r="B214" s="3" t="s">
        <v>554</v>
      </c>
      <c r="C214" s="4" t="n">
        <v>1403.8</v>
      </c>
      <c r="D214" s="4" t="n">
        <v>1237.2</v>
      </c>
      <c r="E214" s="3" t="s">
        <v>1479</v>
      </c>
      <c r="F214" s="4" t="n">
        <f aca="false">IF(AND(ISNUMBER(C214),ISNUMBER(D214)),D214-C214,"N/A")</f>
        <v>-166.6</v>
      </c>
      <c r="G214" s="6" t="n">
        <f aca="false">IF(ISNUMBER(F214),F214/C214*100,"N/A")</f>
        <v>-11.8677874341074</v>
      </c>
      <c r="H214" s="3" t="str">
        <f aca="false">IF(NOT(ISNUMBER(F214)),"NO CURRENT DATA",IF(F214&gt;0,"RISEN",IF(F214&lt;0,"FALLEN","UNCHANGED")))</f>
        <v>FALLEN</v>
      </c>
      <c r="I214" s="3" t="s">
        <v>1480</v>
      </c>
      <c r="J214" s="3" t="n">
        <v>0</v>
      </c>
    </row>
    <row r="215" customFormat="false" ht="15" hidden="false" customHeight="false" outlineLevel="0" collapsed="false">
      <c r="A215" s="3" t="s">
        <v>557</v>
      </c>
      <c r="B215" s="3" t="s">
        <v>380</v>
      </c>
      <c r="C215" s="4" t="n">
        <v>1231.3</v>
      </c>
      <c r="D215" s="4" t="n">
        <v>1697.5</v>
      </c>
      <c r="E215" s="3" t="s">
        <v>1479</v>
      </c>
      <c r="F215" s="4" t="n">
        <f aca="false">IF(AND(ISNUMBER(C215),ISNUMBER(D215)),D215-C215,"N/A")</f>
        <v>466.2</v>
      </c>
      <c r="G215" s="6" t="n">
        <f aca="false">IF(ISNUMBER(F215),F215/C215*100,"N/A")</f>
        <v>37.8624218305856</v>
      </c>
      <c r="H215" s="3" t="str">
        <f aca="false">IF(NOT(ISNUMBER(F215)),"NO CURRENT DATA",IF(F215&gt;0,"RISEN",IF(F215&lt;0,"FALLEN","UNCHANGED")))</f>
        <v>RISEN</v>
      </c>
      <c r="I215" s="3" t="s">
        <v>1480</v>
      </c>
      <c r="J215" s="3" t="n">
        <v>1</v>
      </c>
    </row>
    <row r="216" customFormat="false" ht="15" hidden="false" customHeight="false" outlineLevel="0" collapsed="false">
      <c r="A216" s="3" t="s">
        <v>557</v>
      </c>
      <c r="B216" s="3" t="s">
        <v>328</v>
      </c>
      <c r="C216" s="4" t="n">
        <v>6129.5</v>
      </c>
      <c r="D216" s="4" t="n">
        <v>4915</v>
      </c>
      <c r="E216" s="3" t="s">
        <v>1479</v>
      </c>
      <c r="F216" s="4" t="n">
        <f aca="false">IF(AND(ISNUMBER(C216),ISNUMBER(D216)),D216-C216,"N/A")</f>
        <v>-1214.5</v>
      </c>
      <c r="G216" s="6" t="n">
        <f aca="false">IF(ISNUMBER(F216),F216/C216*100,"N/A")</f>
        <v>-19.8140141936536</v>
      </c>
      <c r="H216" s="3" t="str">
        <f aca="false">IF(NOT(ISNUMBER(F216)),"NO CURRENT DATA",IF(F216&gt;0,"RISEN",IF(F216&lt;0,"FALLEN","UNCHANGED")))</f>
        <v>FALLEN</v>
      </c>
      <c r="I216" s="3" t="s">
        <v>1480</v>
      </c>
      <c r="J216" s="3" t="n">
        <v>1</v>
      </c>
    </row>
    <row r="217" customFormat="false" ht="15" hidden="false" customHeight="false" outlineLevel="0" collapsed="false">
      <c r="A217" s="3" t="s">
        <v>557</v>
      </c>
      <c r="B217" s="3" t="s">
        <v>216</v>
      </c>
      <c r="C217" s="4" t="n">
        <v>1530.8</v>
      </c>
      <c r="D217" s="4" t="n">
        <v>1383.7</v>
      </c>
      <c r="E217" s="3" t="s">
        <v>1479</v>
      </c>
      <c r="F217" s="4" t="n">
        <f aca="false">IF(AND(ISNUMBER(C217),ISNUMBER(D217)),D217-C217,"N/A")</f>
        <v>-147.1</v>
      </c>
      <c r="G217" s="6" t="n">
        <f aca="false">IF(ISNUMBER(F217),F217/C217*100,"N/A")</f>
        <v>-9.60935458583747</v>
      </c>
      <c r="H217" s="3" t="str">
        <f aca="false">IF(NOT(ISNUMBER(F217)),"NO CURRENT DATA",IF(F217&gt;0,"RISEN",IF(F217&lt;0,"FALLEN","UNCHANGED")))</f>
        <v>FALLEN</v>
      </c>
      <c r="I217" s="3" t="s">
        <v>1480</v>
      </c>
      <c r="J217" s="3" t="n">
        <v>2</v>
      </c>
    </row>
    <row r="218" customFormat="false" ht="15" hidden="false" customHeight="false" outlineLevel="0" collapsed="false">
      <c r="A218" s="3" t="s">
        <v>557</v>
      </c>
      <c r="B218" s="3" t="s">
        <v>96</v>
      </c>
      <c r="C218" s="4" t="n">
        <v>414.25</v>
      </c>
      <c r="D218" s="4" t="n">
        <v>407.5</v>
      </c>
      <c r="E218" s="3" t="s">
        <v>1479</v>
      </c>
      <c r="F218" s="4" t="n">
        <f aca="false">IF(AND(ISNUMBER(C218),ISNUMBER(D218)),D218-C218,"N/A")</f>
        <v>-6.75</v>
      </c>
      <c r="G218" s="6" t="n">
        <f aca="false">IF(ISNUMBER(F218),F218/C218*100,"N/A")</f>
        <v>-1.62945081472541</v>
      </c>
      <c r="H218" s="3" t="str">
        <f aca="false">IF(NOT(ISNUMBER(F218)),"NO CURRENT DATA",IF(F218&gt;0,"RISEN",IF(F218&lt;0,"FALLEN","UNCHANGED")))</f>
        <v>FALLEN</v>
      </c>
      <c r="I218" s="3" t="s">
        <v>1480</v>
      </c>
      <c r="J218" s="3" t="n">
        <v>3</v>
      </c>
    </row>
    <row r="219" customFormat="false" ht="15" hidden="false" customHeight="false" outlineLevel="0" collapsed="false">
      <c r="A219" s="3" t="s">
        <v>557</v>
      </c>
      <c r="B219" s="3" t="s">
        <v>562</v>
      </c>
      <c r="C219" s="4" t="n">
        <v>2865.3</v>
      </c>
      <c r="D219" s="4" t="n">
        <v>3150</v>
      </c>
      <c r="E219" s="3" t="s">
        <v>1479</v>
      </c>
      <c r="F219" s="4" t="n">
        <f aca="false">IF(AND(ISNUMBER(C219),ISNUMBER(D219)),D219-C219,"N/A")</f>
        <v>284.7</v>
      </c>
      <c r="G219" s="6" t="n">
        <f aca="false">IF(ISNUMBER(F219),F219/C219*100,"N/A")</f>
        <v>9.93613234216312</v>
      </c>
      <c r="H219" s="3" t="str">
        <f aca="false">IF(NOT(ISNUMBER(F219)),"NO CURRENT DATA",IF(F219&gt;0,"RISEN",IF(F219&lt;0,"FALLEN","UNCHANGED")))</f>
        <v>RISEN</v>
      </c>
      <c r="I219" s="3" t="s">
        <v>1480</v>
      </c>
      <c r="J219" s="3" t="n">
        <v>0</v>
      </c>
    </row>
    <row r="220" customFormat="false" ht="15" hidden="false" customHeight="false" outlineLevel="0" collapsed="false">
      <c r="A220" s="3" t="s">
        <v>557</v>
      </c>
      <c r="B220" s="3" t="s">
        <v>565</v>
      </c>
      <c r="C220" s="4" t="n">
        <v>1501.7</v>
      </c>
      <c r="D220" s="4" t="n">
        <v>1085</v>
      </c>
      <c r="E220" s="3" t="s">
        <v>1479</v>
      </c>
      <c r="F220" s="4" t="n">
        <f aca="false">IF(AND(ISNUMBER(C220),ISNUMBER(D220)),D220-C220,"N/A")</f>
        <v>-416.7</v>
      </c>
      <c r="G220" s="6" t="n">
        <f aca="false">IF(ISNUMBER(F220),F220/C220*100,"N/A")</f>
        <v>-27.748551641473</v>
      </c>
      <c r="H220" s="3" t="str">
        <f aca="false">IF(NOT(ISNUMBER(F220)),"NO CURRENT DATA",IF(F220&gt;0,"RISEN",IF(F220&lt;0,"FALLEN","UNCHANGED")))</f>
        <v>FALLEN</v>
      </c>
      <c r="I220" s="3" t="s">
        <v>1480</v>
      </c>
      <c r="J220" s="3" t="n">
        <v>0</v>
      </c>
    </row>
    <row r="221" customFormat="false" ht="15" hidden="false" customHeight="false" outlineLevel="0" collapsed="false">
      <c r="A221" s="3" t="s">
        <v>557</v>
      </c>
      <c r="B221" s="3" t="s">
        <v>399</v>
      </c>
      <c r="C221" s="4" t="n">
        <v>777.85</v>
      </c>
      <c r="D221" s="4" t="n">
        <v>531.6</v>
      </c>
      <c r="E221" s="3" t="s">
        <v>1479</v>
      </c>
      <c r="F221" s="4" t="n">
        <f aca="false">IF(AND(ISNUMBER(C221),ISNUMBER(D221)),D221-C221,"N/A")</f>
        <v>-246.25</v>
      </c>
      <c r="G221" s="6" t="n">
        <f aca="false">IF(ISNUMBER(F221),F221/C221*100,"N/A")</f>
        <v>-31.6577746352124</v>
      </c>
      <c r="H221" s="3" t="str">
        <f aca="false">IF(NOT(ISNUMBER(F221)),"NO CURRENT DATA",IF(F221&gt;0,"RISEN",IF(F221&lt;0,"FALLEN","UNCHANGED")))</f>
        <v>FALLEN</v>
      </c>
      <c r="I221" s="3" t="s">
        <v>1480</v>
      </c>
      <c r="J221" s="3" t="n">
        <v>1</v>
      </c>
    </row>
    <row r="222" customFormat="false" ht="15" hidden="false" customHeight="false" outlineLevel="0" collapsed="false">
      <c r="A222" s="3" t="s">
        <v>557</v>
      </c>
      <c r="B222" s="3" t="s">
        <v>245</v>
      </c>
      <c r="C222" s="4" t="n">
        <v>2424.7</v>
      </c>
      <c r="D222" s="4" t="n">
        <v>1896</v>
      </c>
      <c r="E222" s="3" t="s">
        <v>1479</v>
      </c>
      <c r="F222" s="4" t="n">
        <f aca="false">IF(AND(ISNUMBER(C222),ISNUMBER(D222)),D222-C222,"N/A")</f>
        <v>-528.7</v>
      </c>
      <c r="G222" s="6" t="n">
        <f aca="false">IF(ISNUMBER(F222),F222/C222*100,"N/A")</f>
        <v>-21.8047593516724</v>
      </c>
      <c r="H222" s="3" t="str">
        <f aca="false">IF(NOT(ISNUMBER(F222)),"NO CURRENT DATA",IF(F222&gt;0,"RISEN",IF(F222&lt;0,"FALLEN","UNCHANGED")))</f>
        <v>FALLEN</v>
      </c>
      <c r="I222" s="3" t="s">
        <v>1480</v>
      </c>
      <c r="J222" s="3" t="n">
        <v>1</v>
      </c>
    </row>
    <row r="223" customFormat="false" ht="15" hidden="false" customHeight="false" outlineLevel="0" collapsed="false">
      <c r="A223" s="3" t="s">
        <v>557</v>
      </c>
      <c r="B223" s="3" t="s">
        <v>296</v>
      </c>
      <c r="C223" s="4" t="n">
        <v>2149.7</v>
      </c>
      <c r="D223" s="4" t="n">
        <v>2062</v>
      </c>
      <c r="E223" s="3" t="s">
        <v>1479</v>
      </c>
      <c r="F223" s="4" t="n">
        <f aca="false">IF(AND(ISNUMBER(C223),ISNUMBER(D223)),D223-C223,"N/A")</f>
        <v>-87.6999999999998</v>
      </c>
      <c r="G223" s="6" t="n">
        <f aca="false">IF(ISNUMBER(F223),F223/C223*100,"N/A")</f>
        <v>-4.07963901939805</v>
      </c>
      <c r="H223" s="3" t="str">
        <f aca="false">IF(NOT(ISNUMBER(F223)),"NO CURRENT DATA",IF(F223&gt;0,"RISEN",IF(F223&lt;0,"FALLEN","UNCHANGED")))</f>
        <v>FALLEN</v>
      </c>
      <c r="I223" s="3" t="s">
        <v>1480</v>
      </c>
      <c r="J223" s="3" t="n">
        <v>1</v>
      </c>
    </row>
    <row r="224" customFormat="false" ht="15" hidden="false" customHeight="false" outlineLevel="0" collapsed="false">
      <c r="A224" s="3" t="s">
        <v>557</v>
      </c>
      <c r="B224" s="3" t="s">
        <v>80</v>
      </c>
      <c r="C224" s="4" t="n">
        <v>1731.3</v>
      </c>
      <c r="D224" s="4" t="n">
        <v>1444</v>
      </c>
      <c r="E224" s="3" t="s">
        <v>1479</v>
      </c>
      <c r="F224" s="4" t="n">
        <f aca="false">IF(AND(ISNUMBER(C224),ISNUMBER(D224)),D224-C224,"N/A")</f>
        <v>-287.3</v>
      </c>
      <c r="G224" s="6" t="n">
        <f aca="false">IF(ISNUMBER(F224),F224/C224*100,"N/A")</f>
        <v>-16.5944665858026</v>
      </c>
      <c r="H224" s="3" t="str">
        <f aca="false">IF(NOT(ISNUMBER(F224)),"NO CURRENT DATA",IF(F224&gt;0,"RISEN",IF(F224&lt;0,"FALLEN","UNCHANGED")))</f>
        <v>FALLEN</v>
      </c>
      <c r="I224" s="3" t="s">
        <v>1480</v>
      </c>
      <c r="J224" s="3" t="n">
        <v>2</v>
      </c>
    </row>
    <row r="225" customFormat="false" ht="15" hidden="false" customHeight="false" outlineLevel="0" collapsed="false">
      <c r="A225" s="3" t="s">
        <v>557</v>
      </c>
      <c r="B225" s="3" t="s">
        <v>541</v>
      </c>
      <c r="C225" s="4" t="n">
        <v>3940.7</v>
      </c>
      <c r="D225" s="4" t="n">
        <v>2760</v>
      </c>
      <c r="E225" s="3" t="s">
        <v>1479</v>
      </c>
      <c r="F225" s="4" t="n">
        <f aca="false">IF(AND(ISNUMBER(C225),ISNUMBER(D225)),D225-C225,"N/A")</f>
        <v>-1180.7</v>
      </c>
      <c r="G225" s="6" t="n">
        <f aca="false">IF(ISNUMBER(F225),F225/C225*100,"N/A")</f>
        <v>-29.9616819346817</v>
      </c>
      <c r="H225" s="3" t="str">
        <f aca="false">IF(NOT(ISNUMBER(F225)),"NO CURRENT DATA",IF(F225&gt;0,"RISEN",IF(F225&lt;0,"FALLEN","UNCHANGED")))</f>
        <v>FALLEN</v>
      </c>
      <c r="I225" s="3" t="s">
        <v>1480</v>
      </c>
      <c r="J225" s="3" t="n">
        <v>0</v>
      </c>
    </row>
    <row r="226" customFormat="false" ht="15" hidden="false" customHeight="false" outlineLevel="0" collapsed="false">
      <c r="A226" s="3" t="s">
        <v>557</v>
      </c>
      <c r="B226" s="3" t="s">
        <v>237</v>
      </c>
      <c r="C226" s="4" t="n">
        <v>1950.8</v>
      </c>
      <c r="D226" s="4" t="n">
        <v>1952.2</v>
      </c>
      <c r="E226" s="3" t="s">
        <v>1479</v>
      </c>
      <c r="F226" s="4" t="n">
        <f aca="false">IF(AND(ISNUMBER(C226),ISNUMBER(D226)),D226-C226,"N/A")</f>
        <v>1.40000000000009</v>
      </c>
      <c r="G226" s="6" t="n">
        <f aca="false">IF(ISNUMBER(F226),F226/C226*100,"N/A")</f>
        <v>0.0717654295673616</v>
      </c>
      <c r="H226" s="3" t="str">
        <f aca="false">IF(NOT(ISNUMBER(F226)),"NO CURRENT DATA",IF(F226&gt;0,"RISEN",IF(F226&lt;0,"FALLEN","UNCHANGED")))</f>
        <v>RISEN</v>
      </c>
      <c r="I226" s="3" t="s">
        <v>1480</v>
      </c>
      <c r="J226" s="3" t="n">
        <v>2</v>
      </c>
    </row>
    <row r="227" customFormat="false" ht="15" hidden="false" customHeight="false" outlineLevel="0" collapsed="false">
      <c r="A227" s="3" t="s">
        <v>557</v>
      </c>
      <c r="B227" s="3" t="s">
        <v>574</v>
      </c>
      <c r="C227" s="4" t="n">
        <v>382.85</v>
      </c>
      <c r="D227" s="4" t="n">
        <v>303.25</v>
      </c>
      <c r="E227" s="3" t="s">
        <v>1479</v>
      </c>
      <c r="F227" s="4" t="n">
        <f aca="false">IF(AND(ISNUMBER(C227),ISNUMBER(D227)),D227-C227,"N/A")</f>
        <v>-79.6</v>
      </c>
      <c r="G227" s="6" t="n">
        <f aca="false">IF(ISNUMBER(F227),F227/C227*100,"N/A")</f>
        <v>-20.7914326759828</v>
      </c>
      <c r="H227" s="3" t="str">
        <f aca="false">IF(NOT(ISNUMBER(F227)),"NO CURRENT DATA",IF(F227&gt;0,"RISEN",IF(F227&lt;0,"FALLEN","UNCHANGED")))</f>
        <v>FALLEN</v>
      </c>
      <c r="I227" s="3" t="s">
        <v>1480</v>
      </c>
      <c r="J227" s="3" t="n">
        <v>0</v>
      </c>
    </row>
    <row r="228" customFormat="false" ht="15" hidden="false" customHeight="false" outlineLevel="0" collapsed="false">
      <c r="A228" s="3" t="s">
        <v>557</v>
      </c>
      <c r="B228" s="3" t="s">
        <v>300</v>
      </c>
      <c r="C228" s="4" t="n">
        <v>1018.9</v>
      </c>
      <c r="D228" s="4" t="n">
        <v>962</v>
      </c>
      <c r="E228" s="3" t="s">
        <v>1479</v>
      </c>
      <c r="F228" s="4" t="n">
        <f aca="false">IF(AND(ISNUMBER(C228),ISNUMBER(D228)),D228-C228,"N/A")</f>
        <v>-56.9</v>
      </c>
      <c r="G228" s="6" t="n">
        <f aca="false">IF(ISNUMBER(F228),F228/C228*100,"N/A")</f>
        <v>-5.58445382275002</v>
      </c>
      <c r="H228" s="3" t="str">
        <f aca="false">IF(NOT(ISNUMBER(F228)),"NO CURRENT DATA",IF(F228&gt;0,"RISEN",IF(F228&lt;0,"FALLEN","UNCHANGED")))</f>
        <v>FALLEN</v>
      </c>
      <c r="I228" s="3" t="s">
        <v>1480</v>
      </c>
      <c r="J228" s="3" t="n">
        <v>1</v>
      </c>
    </row>
    <row r="229" customFormat="false" ht="15" hidden="false" customHeight="false" outlineLevel="0" collapsed="false">
      <c r="A229" s="3" t="s">
        <v>557</v>
      </c>
      <c r="B229" s="3" t="s">
        <v>142</v>
      </c>
      <c r="C229" s="4" t="n">
        <v>1210.4</v>
      </c>
      <c r="D229" s="4" t="n">
        <v>960</v>
      </c>
      <c r="E229" s="3" t="s">
        <v>1479</v>
      </c>
      <c r="F229" s="4" t="n">
        <f aca="false">IF(AND(ISNUMBER(C229),ISNUMBER(D229)),D229-C229,"N/A")</f>
        <v>-250.4</v>
      </c>
      <c r="G229" s="6" t="n">
        <f aca="false">IF(ISNUMBER(F229),F229/C229*100,"N/A")</f>
        <v>-20.6873760740251</v>
      </c>
      <c r="H229" s="3" t="str">
        <f aca="false">IF(NOT(ISNUMBER(F229)),"NO CURRENT DATA",IF(F229&gt;0,"RISEN",IF(F229&lt;0,"FALLEN","UNCHANGED")))</f>
        <v>FALLEN</v>
      </c>
      <c r="I229" s="3" t="s">
        <v>1480</v>
      </c>
      <c r="J229" s="3" t="n">
        <v>2</v>
      </c>
    </row>
    <row r="230" customFormat="false" ht="15" hidden="false" customHeight="false" outlineLevel="0" collapsed="false">
      <c r="A230" s="3" t="s">
        <v>557</v>
      </c>
      <c r="B230" s="3" t="s">
        <v>579</v>
      </c>
      <c r="C230" s="4" t="n">
        <v>498.85</v>
      </c>
      <c r="D230" s="4" t="n">
        <v>430</v>
      </c>
      <c r="E230" s="3" t="s">
        <v>1479</v>
      </c>
      <c r="F230" s="4" t="n">
        <f aca="false">IF(AND(ISNUMBER(C230),ISNUMBER(D230)),D230-C230,"N/A")</f>
        <v>-68.85</v>
      </c>
      <c r="G230" s="6" t="n">
        <f aca="false">IF(ISNUMBER(F230),F230/C230*100,"N/A")</f>
        <v>-13.8017440112258</v>
      </c>
      <c r="H230" s="3" t="str">
        <f aca="false">IF(NOT(ISNUMBER(F230)),"NO CURRENT DATA",IF(F230&gt;0,"RISEN",IF(F230&lt;0,"FALLEN","UNCHANGED")))</f>
        <v>FALLEN</v>
      </c>
      <c r="I230" s="3" t="s">
        <v>1480</v>
      </c>
      <c r="J230" s="3" t="n">
        <v>0</v>
      </c>
    </row>
    <row r="231" customFormat="false" ht="15" hidden="false" customHeight="false" outlineLevel="0" collapsed="false">
      <c r="A231" s="3" t="s">
        <v>557</v>
      </c>
      <c r="B231" s="3" t="s">
        <v>159</v>
      </c>
      <c r="C231" s="4" t="n">
        <v>1486.2</v>
      </c>
      <c r="D231" s="4" t="n">
        <v>1135.5</v>
      </c>
      <c r="E231" s="3" t="s">
        <v>1479</v>
      </c>
      <c r="F231" s="4" t="n">
        <f aca="false">IF(AND(ISNUMBER(C231),ISNUMBER(D231)),D231-C231,"N/A")</f>
        <v>-350.7</v>
      </c>
      <c r="G231" s="6" t="n">
        <f aca="false">IF(ISNUMBER(F231),F231/C231*100,"N/A")</f>
        <v>-23.5970932579734</v>
      </c>
      <c r="H231" s="3" t="str">
        <f aca="false">IF(NOT(ISNUMBER(F231)),"NO CURRENT DATA",IF(F231&gt;0,"RISEN",IF(F231&lt;0,"FALLEN","UNCHANGED")))</f>
        <v>FALLEN</v>
      </c>
      <c r="I231" s="3" t="s">
        <v>1480</v>
      </c>
      <c r="J231" s="3" t="n">
        <v>1</v>
      </c>
    </row>
    <row r="232" customFormat="false" ht="15" hidden="false" customHeight="false" outlineLevel="0" collapsed="false">
      <c r="A232" s="3" t="s">
        <v>583</v>
      </c>
      <c r="B232" s="3" t="s">
        <v>333</v>
      </c>
      <c r="C232" s="4" t="n">
        <v>5806.5</v>
      </c>
      <c r="D232" s="4" t="n">
        <v>5175</v>
      </c>
      <c r="E232" s="3" t="s">
        <v>1479</v>
      </c>
      <c r="F232" s="4" t="n">
        <f aca="false">IF(AND(ISNUMBER(C232),ISNUMBER(D232)),D232-C232,"N/A")</f>
        <v>-631.5</v>
      </c>
      <c r="G232" s="6" t="n">
        <f aca="false">IF(ISNUMBER(F232),F232/C232*100,"N/A")</f>
        <v>-10.8757427021442</v>
      </c>
      <c r="H232" s="3" t="str">
        <f aca="false">IF(NOT(ISNUMBER(F232)),"NO CURRENT DATA",IF(F232&gt;0,"RISEN",IF(F232&lt;0,"FALLEN","UNCHANGED")))</f>
        <v>FALLEN</v>
      </c>
      <c r="I232" s="3" t="s">
        <v>1480</v>
      </c>
      <c r="J232" s="3" t="n">
        <v>1</v>
      </c>
    </row>
    <row r="233" customFormat="false" ht="15" hidden="false" customHeight="false" outlineLevel="0" collapsed="false">
      <c r="A233" s="3" t="s">
        <v>583</v>
      </c>
      <c r="B233" s="3" t="s">
        <v>585</v>
      </c>
      <c r="C233" s="4" t="n">
        <v>7447.5</v>
      </c>
      <c r="D233" s="4" t="n">
        <v>8860</v>
      </c>
      <c r="E233" s="3" t="s">
        <v>1479</v>
      </c>
      <c r="F233" s="4" t="n">
        <f aca="false">IF(AND(ISNUMBER(C233),ISNUMBER(D233)),D233-C233,"N/A")</f>
        <v>1412.5</v>
      </c>
      <c r="G233" s="6" t="n">
        <f aca="false">IF(ISNUMBER(F233),F233/C233*100,"N/A")</f>
        <v>18.9660960053709</v>
      </c>
      <c r="H233" s="3" t="str">
        <f aca="false">IF(NOT(ISNUMBER(F233)),"NO CURRENT DATA",IF(F233&gt;0,"RISEN",IF(F233&lt;0,"FALLEN","UNCHANGED")))</f>
        <v>RISEN</v>
      </c>
      <c r="I233" s="3" t="s">
        <v>1480</v>
      </c>
      <c r="J233" s="3" t="n">
        <v>0</v>
      </c>
    </row>
    <row r="234" customFormat="false" ht="15" hidden="false" customHeight="false" outlineLevel="0" collapsed="false">
      <c r="A234" s="3" t="s">
        <v>583</v>
      </c>
      <c r="B234" s="3" t="s">
        <v>199</v>
      </c>
      <c r="C234" s="4" t="n">
        <v>387.05</v>
      </c>
      <c r="D234" s="4" t="n">
        <v>374.9</v>
      </c>
      <c r="E234" s="3" t="s">
        <v>1479</v>
      </c>
      <c r="F234" s="4" t="n">
        <f aca="false">IF(AND(ISNUMBER(C234),ISNUMBER(D234)),D234-C234,"N/A")</f>
        <v>-12.15</v>
      </c>
      <c r="G234" s="6" t="n">
        <f aca="false">IF(ISNUMBER(F234),F234/C234*100,"N/A")</f>
        <v>-3.13912931145848</v>
      </c>
      <c r="H234" s="3" t="str">
        <f aca="false">IF(NOT(ISNUMBER(F234)),"NO CURRENT DATA",IF(F234&gt;0,"RISEN",IF(F234&lt;0,"FALLEN","UNCHANGED")))</f>
        <v>FALLEN</v>
      </c>
      <c r="I234" s="3" t="s">
        <v>1480</v>
      </c>
      <c r="J234" s="3" t="n">
        <v>4</v>
      </c>
    </row>
    <row r="235" customFormat="false" ht="15" hidden="false" customHeight="false" outlineLevel="0" collapsed="false">
      <c r="A235" s="3" t="s">
        <v>583</v>
      </c>
      <c r="B235" s="3" t="s">
        <v>96</v>
      </c>
      <c r="C235" s="4" t="n">
        <v>422.25</v>
      </c>
      <c r="D235" s="4" t="n">
        <v>407.5</v>
      </c>
      <c r="E235" s="3" t="s">
        <v>1479</v>
      </c>
      <c r="F235" s="4" t="n">
        <f aca="false">IF(AND(ISNUMBER(C235),ISNUMBER(D235)),D235-C235,"N/A")</f>
        <v>-14.75</v>
      </c>
      <c r="G235" s="6" t="n">
        <f aca="false">IF(ISNUMBER(F235),F235/C235*100,"N/A")</f>
        <v>-3.49319123741859</v>
      </c>
      <c r="H235" s="3" t="str">
        <f aca="false">IF(NOT(ISNUMBER(F235)),"NO CURRENT DATA",IF(F235&gt;0,"RISEN",IF(F235&lt;0,"FALLEN","UNCHANGED")))</f>
        <v>FALLEN</v>
      </c>
      <c r="I235" s="3" t="s">
        <v>1480</v>
      </c>
      <c r="J235" s="3" t="n">
        <v>3</v>
      </c>
    </row>
    <row r="236" customFormat="false" ht="15" hidden="false" customHeight="false" outlineLevel="0" collapsed="false">
      <c r="A236" s="3" t="s">
        <v>583</v>
      </c>
      <c r="B236" s="3" t="s">
        <v>360</v>
      </c>
      <c r="C236" s="4" t="n">
        <v>280.95</v>
      </c>
      <c r="D236" s="4" t="n">
        <v>330.95</v>
      </c>
      <c r="E236" s="3" t="s">
        <v>1479</v>
      </c>
      <c r="F236" s="4" t="n">
        <f aca="false">IF(AND(ISNUMBER(C236),ISNUMBER(D236)),D236-C236,"N/A")</f>
        <v>50</v>
      </c>
      <c r="G236" s="6" t="n">
        <f aca="false">IF(ISNUMBER(F236),F236/C236*100,"N/A")</f>
        <v>17.7967609894999</v>
      </c>
      <c r="H236" s="3" t="str">
        <f aca="false">IF(NOT(ISNUMBER(F236)),"NO CURRENT DATA",IF(F236&gt;0,"RISEN",IF(F236&lt;0,"FALLEN","UNCHANGED")))</f>
        <v>RISEN</v>
      </c>
      <c r="I236" s="3" t="s">
        <v>1480</v>
      </c>
      <c r="J236" s="3" t="n">
        <v>1</v>
      </c>
    </row>
    <row r="237" customFormat="false" ht="15" hidden="false" customHeight="false" outlineLevel="0" collapsed="false">
      <c r="A237" s="3" t="s">
        <v>583</v>
      </c>
      <c r="B237" s="3" t="s">
        <v>591</v>
      </c>
      <c r="C237" s="4" t="n">
        <v>1647.7</v>
      </c>
      <c r="D237" s="4" t="n">
        <v>1252.6</v>
      </c>
      <c r="E237" s="3" t="s">
        <v>1479</v>
      </c>
      <c r="F237" s="4" t="n">
        <f aca="false">IF(AND(ISNUMBER(C237),ISNUMBER(D237)),D237-C237,"N/A")</f>
        <v>-395.1</v>
      </c>
      <c r="G237" s="6" t="n">
        <f aca="false">IF(ISNUMBER(F237),F237/C237*100,"N/A")</f>
        <v>-23.9788796504218</v>
      </c>
      <c r="H237" s="3" t="str">
        <f aca="false">IF(NOT(ISNUMBER(F237)),"NO CURRENT DATA",IF(F237&gt;0,"RISEN",IF(F237&lt;0,"FALLEN","UNCHANGED")))</f>
        <v>FALLEN</v>
      </c>
      <c r="I237" s="3" t="s">
        <v>1480</v>
      </c>
      <c r="J237" s="3" t="n">
        <v>0</v>
      </c>
    </row>
    <row r="238" customFormat="false" ht="15" hidden="false" customHeight="false" outlineLevel="0" collapsed="false">
      <c r="A238" s="3" t="s">
        <v>583</v>
      </c>
      <c r="B238" s="3" t="s">
        <v>525</v>
      </c>
      <c r="C238" s="4" t="n">
        <v>303.5</v>
      </c>
      <c r="D238" s="4" t="n">
        <v>220.5</v>
      </c>
      <c r="E238" s="3" t="s">
        <v>1479</v>
      </c>
      <c r="F238" s="4" t="n">
        <f aca="false">IF(AND(ISNUMBER(C238),ISNUMBER(D238)),D238-C238,"N/A")</f>
        <v>-83</v>
      </c>
      <c r="G238" s="6" t="n">
        <f aca="false">IF(ISNUMBER(F238),F238/C238*100,"N/A")</f>
        <v>-27.3476112026359</v>
      </c>
      <c r="H238" s="3" t="str">
        <f aca="false">IF(NOT(ISNUMBER(F238)),"NO CURRENT DATA",IF(F238&gt;0,"RISEN",IF(F238&lt;0,"FALLEN","UNCHANGED")))</f>
        <v>FALLEN</v>
      </c>
      <c r="I238" s="3" t="s">
        <v>1480</v>
      </c>
      <c r="J238" s="3" t="n">
        <v>1</v>
      </c>
    </row>
    <row r="239" customFormat="false" ht="15" hidden="false" customHeight="false" outlineLevel="0" collapsed="false">
      <c r="A239" s="3" t="s">
        <v>583</v>
      </c>
      <c r="B239" s="3" t="s">
        <v>595</v>
      </c>
      <c r="C239" s="4" t="n">
        <v>1359.4</v>
      </c>
      <c r="D239" s="4" t="n">
        <v>1253.9</v>
      </c>
      <c r="E239" s="3" t="s">
        <v>1479</v>
      </c>
      <c r="F239" s="4" t="n">
        <f aca="false">IF(AND(ISNUMBER(C239),ISNUMBER(D239)),D239-C239,"N/A")</f>
        <v>-105.5</v>
      </c>
      <c r="G239" s="6" t="n">
        <f aca="false">IF(ISNUMBER(F239),F239/C239*100,"N/A")</f>
        <v>-7.76077681329998</v>
      </c>
      <c r="H239" s="3" t="str">
        <f aca="false">IF(NOT(ISNUMBER(F239)),"NO CURRENT DATA",IF(F239&gt;0,"RISEN",IF(F239&lt;0,"FALLEN","UNCHANGED")))</f>
        <v>FALLEN</v>
      </c>
      <c r="I239" s="3" t="s">
        <v>1480</v>
      </c>
      <c r="J239" s="3" t="n">
        <v>0</v>
      </c>
    </row>
    <row r="240" customFormat="false" ht="15" hidden="false" customHeight="false" outlineLevel="0" collapsed="false">
      <c r="A240" s="3" t="s">
        <v>583</v>
      </c>
      <c r="B240" s="3" t="s">
        <v>145</v>
      </c>
      <c r="C240" s="4" t="n">
        <v>1625.2</v>
      </c>
      <c r="D240" s="4" t="n">
        <v>1542.2</v>
      </c>
      <c r="E240" s="3" t="s">
        <v>1479</v>
      </c>
      <c r="F240" s="4" t="n">
        <f aca="false">IF(AND(ISNUMBER(C240),ISNUMBER(D240)),D240-C240,"N/A")</f>
        <v>-83</v>
      </c>
      <c r="G240" s="6" t="n">
        <f aca="false">IF(ISNUMBER(F240),F240/C240*100,"N/A")</f>
        <v>-5.10706374600049</v>
      </c>
      <c r="H240" s="3" t="str">
        <f aca="false">IF(NOT(ISNUMBER(F240)),"NO CURRENT DATA",IF(F240&gt;0,"RISEN",IF(F240&lt;0,"FALLEN","UNCHANGED")))</f>
        <v>FALLEN</v>
      </c>
      <c r="I240" s="3" t="s">
        <v>1480</v>
      </c>
      <c r="J240" s="3" t="n">
        <v>3</v>
      </c>
    </row>
    <row r="241" customFormat="false" ht="15" hidden="false" customHeight="false" outlineLevel="0" collapsed="false">
      <c r="A241" s="3" t="s">
        <v>583</v>
      </c>
      <c r="B241" s="3" t="s">
        <v>148</v>
      </c>
      <c r="C241" s="4" t="n">
        <v>4092.2</v>
      </c>
      <c r="D241" s="4" t="n">
        <v>4869</v>
      </c>
      <c r="E241" s="3" t="s">
        <v>1479</v>
      </c>
      <c r="F241" s="4" t="n">
        <f aca="false">IF(AND(ISNUMBER(C241),ISNUMBER(D241)),D241-C241,"N/A")</f>
        <v>776.8</v>
      </c>
      <c r="G241" s="6" t="n">
        <f aca="false">IF(ISNUMBER(F241),F241/C241*100,"N/A")</f>
        <v>18.9824544254924</v>
      </c>
      <c r="H241" s="3" t="str">
        <f aca="false">IF(NOT(ISNUMBER(F241)),"NO CURRENT DATA",IF(F241&gt;0,"RISEN",IF(F241&lt;0,"FALLEN","UNCHANGED")))</f>
        <v>RISEN</v>
      </c>
      <c r="I241" s="3" t="s">
        <v>1480</v>
      </c>
      <c r="J241" s="3" t="n">
        <v>1</v>
      </c>
    </row>
    <row r="242" customFormat="false" ht="15" hidden="false" customHeight="false" outlineLevel="0" collapsed="false">
      <c r="A242" s="3" t="s">
        <v>583</v>
      </c>
      <c r="B242" s="3" t="s">
        <v>579</v>
      </c>
      <c r="C242" s="4" t="n">
        <v>509.7</v>
      </c>
      <c r="D242" s="4" t="n">
        <v>430</v>
      </c>
      <c r="E242" s="3" t="s">
        <v>1479</v>
      </c>
      <c r="F242" s="4" t="n">
        <f aca="false">IF(AND(ISNUMBER(C242),ISNUMBER(D242)),D242-C242,"N/A")</f>
        <v>-79.7</v>
      </c>
      <c r="G242" s="6" t="n">
        <f aca="false">IF(ISNUMBER(F242),F242/C242*100,"N/A")</f>
        <v>-15.6366490092211</v>
      </c>
      <c r="H242" s="3" t="str">
        <f aca="false">IF(NOT(ISNUMBER(F242)),"NO CURRENT DATA",IF(F242&gt;0,"RISEN",IF(F242&lt;0,"FALLEN","UNCHANGED")))</f>
        <v>FALLEN</v>
      </c>
      <c r="I242" s="3" t="s">
        <v>1480</v>
      </c>
      <c r="J242" s="3" t="n">
        <v>0</v>
      </c>
    </row>
    <row r="243" customFormat="false" ht="15" hidden="false" customHeight="false" outlineLevel="0" collapsed="false">
      <c r="A243" s="3" t="s">
        <v>601</v>
      </c>
      <c r="B243" s="3" t="s">
        <v>602</v>
      </c>
      <c r="C243" s="4" t="n">
        <v>1435</v>
      </c>
      <c r="D243" s="4" t="n">
        <v>1302</v>
      </c>
      <c r="E243" s="3" t="s">
        <v>1479</v>
      </c>
      <c r="F243" s="4" t="n">
        <f aca="false">IF(AND(ISNUMBER(C243),ISNUMBER(D243)),D243-C243,"N/A")</f>
        <v>-133</v>
      </c>
      <c r="G243" s="6" t="n">
        <f aca="false">IF(ISNUMBER(F243),F243/C243*100,"N/A")</f>
        <v>-9.26829268292683</v>
      </c>
      <c r="H243" s="3" t="str">
        <f aca="false">IF(NOT(ISNUMBER(F243)),"NO CURRENT DATA",IF(F243&gt;0,"RISEN",IF(F243&lt;0,"FALLEN","UNCHANGED")))</f>
        <v>FALLEN</v>
      </c>
      <c r="I243" s="3" t="s">
        <v>1480</v>
      </c>
      <c r="J243" s="3" t="n">
        <v>0</v>
      </c>
    </row>
    <row r="244" customFormat="false" ht="15" hidden="false" customHeight="false" outlineLevel="0" collapsed="false">
      <c r="A244" s="3" t="s">
        <v>601</v>
      </c>
      <c r="B244" s="3" t="s">
        <v>605</v>
      </c>
      <c r="C244" s="4" t="n">
        <v>430.85</v>
      </c>
      <c r="D244" s="4" t="n">
        <v>360</v>
      </c>
      <c r="E244" s="3" t="s">
        <v>1479</v>
      </c>
      <c r="F244" s="4" t="n">
        <f aca="false">IF(AND(ISNUMBER(C244),ISNUMBER(D244)),D244-C244,"N/A")</f>
        <v>-70.85</v>
      </c>
      <c r="G244" s="6" t="n">
        <f aca="false">IF(ISNUMBER(F244),F244/C244*100,"N/A")</f>
        <v>-16.4442381339213</v>
      </c>
      <c r="H244" s="3" t="str">
        <f aca="false">IF(NOT(ISNUMBER(F244)),"NO CURRENT DATA",IF(F244&gt;0,"RISEN",IF(F244&lt;0,"FALLEN","UNCHANGED")))</f>
        <v>FALLEN</v>
      </c>
      <c r="I244" s="3" t="s">
        <v>1480</v>
      </c>
      <c r="J244" s="3" t="n">
        <v>0</v>
      </c>
    </row>
    <row r="245" customFormat="false" ht="15" hidden="false" customHeight="false" outlineLevel="0" collapsed="false">
      <c r="A245" s="3" t="s">
        <v>601</v>
      </c>
      <c r="B245" s="3" t="s">
        <v>608</v>
      </c>
      <c r="C245" s="4" t="n">
        <v>2082.9</v>
      </c>
      <c r="D245" s="4" t="n">
        <v>1728.1</v>
      </c>
      <c r="E245" s="3" t="s">
        <v>1479</v>
      </c>
      <c r="F245" s="4" t="n">
        <f aca="false">IF(AND(ISNUMBER(C245),ISNUMBER(D245)),D245-C245,"N/A")</f>
        <v>-354.8</v>
      </c>
      <c r="G245" s="6" t="n">
        <f aca="false">IF(ISNUMBER(F245),F245/C245*100,"N/A")</f>
        <v>-17.0339430601565</v>
      </c>
      <c r="H245" s="3" t="str">
        <f aca="false">IF(NOT(ISNUMBER(F245)),"NO CURRENT DATA",IF(F245&gt;0,"RISEN",IF(F245&lt;0,"FALLEN","UNCHANGED")))</f>
        <v>FALLEN</v>
      </c>
      <c r="I245" s="3" t="s">
        <v>1480</v>
      </c>
      <c r="J245" s="3" t="n">
        <v>0</v>
      </c>
    </row>
    <row r="246" customFormat="false" ht="15" hidden="false" customHeight="false" outlineLevel="0" collapsed="false">
      <c r="A246" s="3" t="s">
        <v>611</v>
      </c>
      <c r="B246" s="3" t="s">
        <v>612</v>
      </c>
      <c r="C246" s="4" t="n">
        <v>3801.3</v>
      </c>
      <c r="D246" s="4" t="n">
        <v>3803.5</v>
      </c>
      <c r="E246" s="3" t="s">
        <v>1479</v>
      </c>
      <c r="F246" s="4" t="n">
        <f aca="false">IF(AND(ISNUMBER(C246),ISNUMBER(D246)),D246-C246,"N/A")</f>
        <v>2.19999999999982</v>
      </c>
      <c r="G246" s="6" t="n">
        <f aca="false">IF(ISNUMBER(F246),F246/C246*100,"N/A")</f>
        <v>0.0578749375213695</v>
      </c>
      <c r="H246" s="3" t="str">
        <f aca="false">IF(NOT(ISNUMBER(F246)),"NO CURRENT DATA",IF(F246&gt;0,"RISEN",IF(F246&lt;0,"FALLEN","UNCHANGED")))</f>
        <v>RISEN</v>
      </c>
      <c r="I246" s="3" t="s">
        <v>1480</v>
      </c>
      <c r="J246" s="3" t="n">
        <v>0</v>
      </c>
    </row>
    <row r="247" customFormat="false" ht="15" hidden="false" customHeight="false" outlineLevel="0" collapsed="false">
      <c r="A247" s="3" t="s">
        <v>611</v>
      </c>
      <c r="B247" s="3" t="s">
        <v>360</v>
      </c>
      <c r="C247" s="4" t="n">
        <v>284.35</v>
      </c>
      <c r="D247" s="4" t="n">
        <v>330.95</v>
      </c>
      <c r="E247" s="3" t="s">
        <v>1479</v>
      </c>
      <c r="F247" s="4" t="n">
        <f aca="false">IF(AND(ISNUMBER(C247),ISNUMBER(D247)),D247-C247,"N/A")</f>
        <v>46.6</v>
      </c>
      <c r="G247" s="6" t="n">
        <f aca="false">IF(ISNUMBER(F247),F247/C247*100,"N/A")</f>
        <v>16.3882539124319</v>
      </c>
      <c r="H247" s="3" t="str">
        <f aca="false">IF(NOT(ISNUMBER(F247)),"NO CURRENT DATA",IF(F247&gt;0,"RISEN",IF(F247&lt;0,"FALLEN","UNCHANGED")))</f>
        <v>RISEN</v>
      </c>
      <c r="I247" s="3" t="s">
        <v>1480</v>
      </c>
      <c r="J247" s="3" t="n">
        <v>2</v>
      </c>
    </row>
    <row r="248" customFormat="false" ht="15" hidden="false" customHeight="false" outlineLevel="0" collapsed="false">
      <c r="A248" s="3" t="s">
        <v>616</v>
      </c>
      <c r="B248" s="3" t="s">
        <v>333</v>
      </c>
      <c r="C248" s="4" t="n">
        <v>5867</v>
      </c>
      <c r="D248" s="4" t="n">
        <v>5175</v>
      </c>
      <c r="E248" s="3" t="s">
        <v>1479</v>
      </c>
      <c r="F248" s="4" t="n">
        <f aca="false">IF(AND(ISNUMBER(C248),ISNUMBER(D248)),D248-C248,"N/A")</f>
        <v>-692</v>
      </c>
      <c r="G248" s="6" t="n">
        <f aca="false">IF(ISNUMBER(F248),F248/C248*100,"N/A")</f>
        <v>-11.7947843872507</v>
      </c>
      <c r="H248" s="3" t="str">
        <f aca="false">IF(NOT(ISNUMBER(F248)),"NO CURRENT DATA",IF(F248&gt;0,"RISEN",IF(F248&lt;0,"FALLEN","UNCHANGED")))</f>
        <v>FALLEN</v>
      </c>
      <c r="I248" s="3" t="s">
        <v>1480</v>
      </c>
      <c r="J248" s="3" t="n">
        <v>2</v>
      </c>
    </row>
    <row r="249" customFormat="false" ht="15" hidden="false" customHeight="false" outlineLevel="0" collapsed="false">
      <c r="A249" s="3" t="s">
        <v>616</v>
      </c>
      <c r="B249" s="3" t="s">
        <v>591</v>
      </c>
      <c r="C249" s="4" t="n">
        <v>1667.6</v>
      </c>
      <c r="D249" s="4" t="n">
        <v>1252.6</v>
      </c>
      <c r="E249" s="3" t="s">
        <v>1479</v>
      </c>
      <c r="F249" s="4" t="n">
        <f aca="false">IF(AND(ISNUMBER(C249),ISNUMBER(D249)),D249-C249,"N/A")</f>
        <v>-415</v>
      </c>
      <c r="G249" s="6" t="n">
        <f aca="false">IF(ISNUMBER(F249),F249/C249*100,"N/A")</f>
        <v>-24.8860638042696</v>
      </c>
      <c r="H249" s="3" t="str">
        <f aca="false">IF(NOT(ISNUMBER(F249)),"NO CURRENT DATA",IF(F249&gt;0,"RISEN",IF(F249&lt;0,"FALLEN","UNCHANGED")))</f>
        <v>FALLEN</v>
      </c>
      <c r="I249" s="3" t="s">
        <v>1480</v>
      </c>
      <c r="J249" s="3" t="n">
        <v>1</v>
      </c>
    </row>
    <row r="250" customFormat="false" ht="15" hidden="false" customHeight="false" outlineLevel="0" collapsed="false">
      <c r="A250" s="3" t="s">
        <v>616</v>
      </c>
      <c r="B250" s="3" t="s">
        <v>619</v>
      </c>
      <c r="C250" s="4" t="n">
        <v>235.71</v>
      </c>
      <c r="D250" s="4" t="n">
        <v>230</v>
      </c>
      <c r="E250" s="3" t="s">
        <v>1479</v>
      </c>
      <c r="F250" s="4" t="n">
        <f aca="false">IF(AND(ISNUMBER(C250),ISNUMBER(D250)),D250-C250,"N/A")</f>
        <v>-5.71000000000001</v>
      </c>
      <c r="G250" s="6" t="n">
        <f aca="false">IF(ISNUMBER(F250),F250/C250*100,"N/A")</f>
        <v>-2.4224682873022</v>
      </c>
      <c r="H250" s="3" t="str">
        <f aca="false">IF(NOT(ISNUMBER(F250)),"NO CURRENT DATA",IF(F250&gt;0,"RISEN",IF(F250&lt;0,"FALLEN","UNCHANGED")))</f>
        <v>FALLEN</v>
      </c>
      <c r="I250" s="3" t="s">
        <v>1480</v>
      </c>
      <c r="J250" s="3" t="n">
        <v>0</v>
      </c>
    </row>
    <row r="251" customFormat="false" ht="15" hidden="false" customHeight="false" outlineLevel="0" collapsed="false">
      <c r="A251" s="3" t="s">
        <v>616</v>
      </c>
      <c r="B251" s="3" t="s">
        <v>608</v>
      </c>
      <c r="C251" s="4" t="n">
        <v>2098</v>
      </c>
      <c r="D251" s="4" t="n">
        <v>1728.1</v>
      </c>
      <c r="E251" s="3" t="s">
        <v>1479</v>
      </c>
      <c r="F251" s="4" t="n">
        <f aca="false">IF(AND(ISNUMBER(C251),ISNUMBER(D251)),D251-C251,"N/A")</f>
        <v>-369.9</v>
      </c>
      <c r="G251" s="6" t="n">
        <f aca="false">IF(ISNUMBER(F251),F251/C251*100,"N/A")</f>
        <v>-17.6310772163966</v>
      </c>
      <c r="H251" s="3" t="str">
        <f aca="false">IF(NOT(ISNUMBER(F251)),"NO CURRENT DATA",IF(F251&gt;0,"RISEN",IF(F251&lt;0,"FALLEN","UNCHANGED")))</f>
        <v>FALLEN</v>
      </c>
      <c r="I251" s="3" t="s">
        <v>1480</v>
      </c>
      <c r="J251" s="3" t="n">
        <v>1</v>
      </c>
    </row>
    <row r="252" customFormat="false" ht="15" hidden="false" customHeight="false" outlineLevel="0" collapsed="false">
      <c r="A252" s="3" t="s">
        <v>616</v>
      </c>
      <c r="B252" s="3" t="s">
        <v>623</v>
      </c>
      <c r="C252" s="4" t="n">
        <v>1736</v>
      </c>
      <c r="D252" s="4" t="n">
        <v>1838</v>
      </c>
      <c r="E252" s="3" t="s">
        <v>1479</v>
      </c>
      <c r="F252" s="4" t="n">
        <f aca="false">IF(AND(ISNUMBER(C252),ISNUMBER(D252)),D252-C252,"N/A")</f>
        <v>102</v>
      </c>
      <c r="G252" s="6" t="n">
        <f aca="false">IF(ISNUMBER(F252),F252/C252*100,"N/A")</f>
        <v>5.87557603686636</v>
      </c>
      <c r="H252" s="3" t="str">
        <f aca="false">IF(NOT(ISNUMBER(F252)),"NO CURRENT DATA",IF(F252&gt;0,"RISEN",IF(F252&lt;0,"FALLEN","UNCHANGED")))</f>
        <v>RISEN</v>
      </c>
      <c r="I252" s="3" t="s">
        <v>1480</v>
      </c>
      <c r="J252" s="3" t="n">
        <v>0</v>
      </c>
    </row>
    <row r="253" customFormat="false" ht="15" hidden="false" customHeight="false" outlineLevel="0" collapsed="false">
      <c r="A253" s="3" t="s">
        <v>626</v>
      </c>
      <c r="B253" s="3" t="s">
        <v>93</v>
      </c>
      <c r="C253" s="4" t="n">
        <v>2105.5</v>
      </c>
      <c r="D253" s="4" t="n">
        <v>1651.6</v>
      </c>
      <c r="E253" s="3" t="s">
        <v>1479</v>
      </c>
      <c r="F253" s="4" t="n">
        <f aca="false">IF(AND(ISNUMBER(C253),ISNUMBER(D253)),D253-C253,"N/A")</f>
        <v>-453.9</v>
      </c>
      <c r="G253" s="6" t="n">
        <f aca="false">IF(ISNUMBER(F253),F253/C253*100,"N/A")</f>
        <v>-21.5578247447162</v>
      </c>
      <c r="H253" s="3" t="str">
        <f aca="false">IF(NOT(ISNUMBER(F253)),"NO CURRENT DATA",IF(F253&gt;0,"RISEN",IF(F253&lt;0,"FALLEN","UNCHANGED")))</f>
        <v>FALLEN</v>
      </c>
      <c r="I253" s="3" t="s">
        <v>1480</v>
      </c>
      <c r="J253" s="3" t="n">
        <v>1</v>
      </c>
    </row>
    <row r="254" customFormat="false" ht="15" hidden="false" customHeight="false" outlineLevel="0" collapsed="false">
      <c r="A254" s="3" t="s">
        <v>626</v>
      </c>
      <c r="B254" s="3" t="s">
        <v>602</v>
      </c>
      <c r="C254" s="4" t="n">
        <v>1437</v>
      </c>
      <c r="D254" s="4" t="n">
        <v>1302</v>
      </c>
      <c r="E254" s="3" t="s">
        <v>1479</v>
      </c>
      <c r="F254" s="4" t="n">
        <f aca="false">IF(AND(ISNUMBER(C254),ISNUMBER(D254)),D254-C254,"N/A")</f>
        <v>-135</v>
      </c>
      <c r="G254" s="6" t="n">
        <f aca="false">IF(ISNUMBER(F254),F254/C254*100,"N/A")</f>
        <v>-9.39457202505219</v>
      </c>
      <c r="H254" s="3" t="str">
        <f aca="false">IF(NOT(ISNUMBER(F254)),"NO CURRENT DATA",IF(F254&gt;0,"RISEN",IF(F254&lt;0,"FALLEN","UNCHANGED")))</f>
        <v>FALLEN</v>
      </c>
      <c r="I254" s="3" t="s">
        <v>1480</v>
      </c>
      <c r="J254" s="3" t="n">
        <v>1</v>
      </c>
    </row>
    <row r="255" customFormat="false" ht="15" hidden="false" customHeight="false" outlineLevel="0" collapsed="false">
      <c r="A255" s="3" t="s">
        <v>626</v>
      </c>
      <c r="B255" s="3" t="s">
        <v>629</v>
      </c>
      <c r="C255" s="4" t="n">
        <v>447.9</v>
      </c>
      <c r="D255" s="4" t="n">
        <v>468</v>
      </c>
      <c r="E255" s="3" t="s">
        <v>1479</v>
      </c>
      <c r="F255" s="4" t="n">
        <f aca="false">IF(AND(ISNUMBER(C255),ISNUMBER(D255)),D255-C255,"N/A")</f>
        <v>20.1</v>
      </c>
      <c r="G255" s="6" t="n">
        <f aca="false">IF(ISNUMBER(F255),F255/C255*100,"N/A")</f>
        <v>4.48760884125922</v>
      </c>
      <c r="H255" s="3" t="str">
        <f aca="false">IF(NOT(ISNUMBER(F255)),"NO CURRENT DATA",IF(F255&gt;0,"RISEN",IF(F255&lt;0,"FALLEN","UNCHANGED")))</f>
        <v>RISEN</v>
      </c>
      <c r="I255" s="3" t="s">
        <v>1480</v>
      </c>
      <c r="J255" s="3" t="n">
        <v>0</v>
      </c>
    </row>
    <row r="256" customFormat="false" ht="15" hidden="false" customHeight="false" outlineLevel="0" collapsed="false">
      <c r="A256" s="3" t="s">
        <v>626</v>
      </c>
      <c r="B256" s="3" t="s">
        <v>619</v>
      </c>
      <c r="C256" s="4" t="n">
        <v>243.78</v>
      </c>
      <c r="D256" s="4" t="n">
        <v>230</v>
      </c>
      <c r="E256" s="3" t="s">
        <v>1479</v>
      </c>
      <c r="F256" s="4" t="n">
        <f aca="false">IF(AND(ISNUMBER(C256),ISNUMBER(D256)),D256-C256,"N/A")</f>
        <v>-13.78</v>
      </c>
      <c r="G256" s="6" t="n">
        <f aca="false">IF(ISNUMBER(F256),F256/C256*100,"N/A")</f>
        <v>-5.65263762408729</v>
      </c>
      <c r="H256" s="3" t="str">
        <f aca="false">IF(NOT(ISNUMBER(F256)),"NO CURRENT DATA",IF(F256&gt;0,"RISEN",IF(F256&lt;0,"FALLEN","UNCHANGED")))</f>
        <v>FALLEN</v>
      </c>
      <c r="I256" s="3" t="s">
        <v>1480</v>
      </c>
      <c r="J256" s="3" t="n">
        <v>0</v>
      </c>
    </row>
    <row r="257" customFormat="false" ht="15" hidden="false" customHeight="false" outlineLevel="0" collapsed="false">
      <c r="A257" s="3" t="s">
        <v>626</v>
      </c>
      <c r="B257" s="3" t="s">
        <v>633</v>
      </c>
      <c r="C257" s="4" t="n">
        <v>34645</v>
      </c>
      <c r="D257" s="4" t="n">
        <v>37500</v>
      </c>
      <c r="E257" s="3" t="s">
        <v>1479</v>
      </c>
      <c r="F257" s="4" t="n">
        <f aca="false">IF(AND(ISNUMBER(C257),ISNUMBER(D257)),D257-C257,"N/A")</f>
        <v>2855</v>
      </c>
      <c r="G257" s="6" t="n">
        <f aca="false">IF(ISNUMBER(F257),F257/C257*100,"N/A")</f>
        <v>8.24072737768798</v>
      </c>
      <c r="H257" s="3" t="str">
        <f aca="false">IF(NOT(ISNUMBER(F257)),"NO CURRENT DATA",IF(F257&gt;0,"RISEN",IF(F257&lt;0,"FALLEN","UNCHANGED")))</f>
        <v>RISEN</v>
      </c>
      <c r="I257" s="3" t="s">
        <v>1480</v>
      </c>
      <c r="J257" s="3" t="n">
        <v>0</v>
      </c>
    </row>
    <row r="258" customFormat="false" ht="15" hidden="false" customHeight="false" outlineLevel="0" collapsed="false">
      <c r="A258" s="3" t="s">
        <v>636</v>
      </c>
      <c r="B258" s="3" t="s">
        <v>58</v>
      </c>
      <c r="C258" s="4" t="n">
        <v>1934.7</v>
      </c>
      <c r="D258" s="4" t="n">
        <v>2197</v>
      </c>
      <c r="E258" s="3" t="s">
        <v>1479</v>
      </c>
      <c r="F258" s="4" t="n">
        <f aca="false">IF(AND(ISNUMBER(C258),ISNUMBER(D258)),D258-C258,"N/A")</f>
        <v>262.3</v>
      </c>
      <c r="G258" s="6" t="n">
        <f aca="false">IF(ISNUMBER(F258),F258/C258*100,"N/A")</f>
        <v>13.5576575179614</v>
      </c>
      <c r="H258" s="3" t="str">
        <f aca="false">IF(NOT(ISNUMBER(F258)),"NO CURRENT DATA",IF(F258&gt;0,"RISEN",IF(F258&lt;0,"FALLEN","UNCHANGED")))</f>
        <v>RISEN</v>
      </c>
      <c r="I258" s="3" t="s">
        <v>1480</v>
      </c>
      <c r="J258" s="3" t="n">
        <v>3</v>
      </c>
    </row>
    <row r="259" customFormat="false" ht="15" hidden="false" customHeight="false" outlineLevel="0" collapsed="false">
      <c r="A259" s="3" t="s">
        <v>636</v>
      </c>
      <c r="B259" s="3" t="s">
        <v>513</v>
      </c>
      <c r="C259" s="4" t="n">
        <v>307.7</v>
      </c>
      <c r="D259" s="4" t="n">
        <v>227.5</v>
      </c>
      <c r="E259" s="3" t="s">
        <v>1479</v>
      </c>
      <c r="F259" s="4" t="n">
        <f aca="false">IF(AND(ISNUMBER(C259),ISNUMBER(D259)),D259-C259,"N/A")</f>
        <v>-80.2</v>
      </c>
      <c r="G259" s="6" t="n">
        <f aca="false">IF(ISNUMBER(F259),F259/C259*100,"N/A")</f>
        <v>-26.0643483912902</v>
      </c>
      <c r="H259" s="3" t="str">
        <f aca="false">IF(NOT(ISNUMBER(F259)),"NO CURRENT DATA",IF(F259&gt;0,"RISEN",IF(F259&lt;0,"FALLEN","UNCHANGED")))</f>
        <v>FALLEN</v>
      </c>
      <c r="I259" s="3" t="s">
        <v>1480</v>
      </c>
      <c r="J259" s="3" t="n">
        <v>1</v>
      </c>
    </row>
    <row r="260" customFormat="false" ht="15" hidden="false" customHeight="false" outlineLevel="0" collapsed="false">
      <c r="A260" s="3" t="s">
        <v>636</v>
      </c>
      <c r="B260" s="3" t="s">
        <v>639</v>
      </c>
      <c r="C260" s="4" t="n">
        <v>152.87</v>
      </c>
      <c r="D260" s="4" t="n">
        <v>129.99</v>
      </c>
      <c r="E260" s="3" t="s">
        <v>1479</v>
      </c>
      <c r="F260" s="4" t="n">
        <f aca="false">IF(AND(ISNUMBER(C260),ISNUMBER(D260)),D260-C260,"N/A")</f>
        <v>-22.88</v>
      </c>
      <c r="G260" s="6" t="n">
        <f aca="false">IF(ISNUMBER(F260),F260/C260*100,"N/A")</f>
        <v>-14.966965395434</v>
      </c>
      <c r="H260" s="3" t="str">
        <f aca="false">IF(NOT(ISNUMBER(F260)),"NO CURRENT DATA",IF(F260&gt;0,"RISEN",IF(F260&lt;0,"FALLEN","UNCHANGED")))</f>
        <v>FALLEN</v>
      </c>
      <c r="I260" s="3" t="s">
        <v>1480</v>
      </c>
      <c r="J260" s="3" t="n">
        <v>0</v>
      </c>
    </row>
    <row r="261" customFormat="false" ht="15" hidden="false" customHeight="false" outlineLevel="0" collapsed="false">
      <c r="A261" s="3" t="s">
        <v>636</v>
      </c>
      <c r="B261" s="3" t="s">
        <v>642</v>
      </c>
      <c r="C261" s="4" t="n">
        <v>417.6</v>
      </c>
      <c r="D261" s="4" t="n">
        <v>385.5</v>
      </c>
      <c r="E261" s="3" t="s">
        <v>1479</v>
      </c>
      <c r="F261" s="4" t="n">
        <f aca="false">IF(AND(ISNUMBER(C261),ISNUMBER(D261)),D261-C261,"N/A")</f>
        <v>-32.1</v>
      </c>
      <c r="G261" s="6" t="n">
        <f aca="false">IF(ISNUMBER(F261),F261/C261*100,"N/A")</f>
        <v>-7.68678160919541</v>
      </c>
      <c r="H261" s="3" t="str">
        <f aca="false">IF(NOT(ISNUMBER(F261)),"NO CURRENT DATA",IF(F261&gt;0,"RISEN",IF(F261&lt;0,"FALLEN","UNCHANGED")))</f>
        <v>FALLEN</v>
      </c>
      <c r="I261" s="3" t="s">
        <v>1480</v>
      </c>
      <c r="J261" s="3" t="n">
        <v>0</v>
      </c>
    </row>
    <row r="262" customFormat="false" ht="15" hidden="false" customHeight="false" outlineLevel="0" collapsed="false">
      <c r="A262" s="3" t="s">
        <v>636</v>
      </c>
      <c r="B262" s="3" t="s">
        <v>93</v>
      </c>
      <c r="C262" s="4" t="n">
        <v>2177.3</v>
      </c>
      <c r="D262" s="4" t="n">
        <v>1651.6</v>
      </c>
      <c r="E262" s="3" t="s">
        <v>1479</v>
      </c>
      <c r="F262" s="4" t="n">
        <f aca="false">IF(AND(ISNUMBER(C262),ISNUMBER(D262)),D262-C262,"N/A")</f>
        <v>-525.7</v>
      </c>
      <c r="G262" s="6" t="n">
        <f aca="false">IF(ISNUMBER(F262),F262/C262*100,"N/A")</f>
        <v>-24.144582740091</v>
      </c>
      <c r="H262" s="3" t="str">
        <f aca="false">IF(NOT(ISNUMBER(F262)),"NO CURRENT DATA",IF(F262&gt;0,"RISEN",IF(F262&lt;0,"FALLEN","UNCHANGED")))</f>
        <v>FALLEN</v>
      </c>
      <c r="I262" s="3" t="s">
        <v>1480</v>
      </c>
      <c r="J262" s="3" t="n">
        <v>1</v>
      </c>
    </row>
    <row r="263" customFormat="false" ht="15" hidden="false" customHeight="false" outlineLevel="0" collapsed="false">
      <c r="A263" s="3" t="s">
        <v>636</v>
      </c>
      <c r="B263" s="3" t="s">
        <v>293</v>
      </c>
      <c r="C263" s="4" t="n">
        <v>846.4</v>
      </c>
      <c r="D263" s="4" t="n">
        <v>802.45</v>
      </c>
      <c r="E263" s="3" t="s">
        <v>1479</v>
      </c>
      <c r="F263" s="4" t="n">
        <f aca="false">IF(AND(ISNUMBER(C263),ISNUMBER(D263)),D263-C263,"N/A")</f>
        <v>-43.9499999999999</v>
      </c>
      <c r="G263" s="6" t="n">
        <f aca="false">IF(ISNUMBER(F263),F263/C263*100,"N/A")</f>
        <v>-5.19258034026464</v>
      </c>
      <c r="H263" s="3" t="str">
        <f aca="false">IF(NOT(ISNUMBER(F263)),"NO CURRENT DATA",IF(F263&gt;0,"RISEN",IF(F263&lt;0,"FALLEN","UNCHANGED")))</f>
        <v>FALLEN</v>
      </c>
      <c r="I263" s="3" t="s">
        <v>1480</v>
      </c>
      <c r="J263" s="3" t="n">
        <v>1</v>
      </c>
    </row>
    <row r="264" customFormat="false" ht="15" hidden="false" customHeight="false" outlineLevel="0" collapsed="false">
      <c r="A264" s="3" t="s">
        <v>636</v>
      </c>
      <c r="B264" s="3" t="s">
        <v>175</v>
      </c>
      <c r="C264" s="4" t="n">
        <v>1181.8</v>
      </c>
      <c r="D264" s="4" t="n">
        <v>1264.1</v>
      </c>
      <c r="E264" s="3" t="s">
        <v>1479</v>
      </c>
      <c r="F264" s="4" t="n">
        <f aca="false">IF(AND(ISNUMBER(C264),ISNUMBER(D264)),D264-C264,"N/A")</f>
        <v>82.3</v>
      </c>
      <c r="G264" s="6" t="n">
        <f aca="false">IF(ISNUMBER(F264),F264/C264*100,"N/A")</f>
        <v>6.9639532915891</v>
      </c>
      <c r="H264" s="3" t="str">
        <f aca="false">IF(NOT(ISNUMBER(F264)),"NO CURRENT DATA",IF(F264&gt;0,"RISEN",IF(F264&lt;0,"FALLEN","UNCHANGED")))</f>
        <v>RISEN</v>
      </c>
      <c r="I264" s="3" t="s">
        <v>1480</v>
      </c>
      <c r="J264" s="3" t="n">
        <v>3</v>
      </c>
    </row>
    <row r="265" customFormat="false" ht="15" hidden="false" customHeight="false" outlineLevel="0" collapsed="false">
      <c r="A265" s="3" t="s">
        <v>648</v>
      </c>
      <c r="B265" s="3" t="s">
        <v>396</v>
      </c>
      <c r="C265" s="4" t="n">
        <v>1025.4</v>
      </c>
      <c r="D265" s="4" t="n">
        <v>995.3</v>
      </c>
      <c r="E265" s="3" t="s">
        <v>1479</v>
      </c>
      <c r="F265" s="4" t="n">
        <f aca="false">IF(AND(ISNUMBER(C265),ISNUMBER(D265)),D265-C265,"N/A")</f>
        <v>-30.1000000000001</v>
      </c>
      <c r="G265" s="6" t="n">
        <f aca="false">IF(ISNUMBER(F265),F265/C265*100,"N/A")</f>
        <v>-2.93543982835968</v>
      </c>
      <c r="H265" s="3" t="str">
        <f aca="false">IF(NOT(ISNUMBER(F265)),"NO CURRENT DATA",IF(F265&gt;0,"RISEN",IF(F265&lt;0,"FALLEN","UNCHANGED")))</f>
        <v>FALLEN</v>
      </c>
      <c r="I265" s="3" t="s">
        <v>1480</v>
      </c>
      <c r="J265" s="3" t="n">
        <v>3</v>
      </c>
    </row>
    <row r="266" customFormat="false" ht="15" hidden="false" customHeight="false" outlineLevel="0" collapsed="false">
      <c r="A266" s="3" t="s">
        <v>648</v>
      </c>
      <c r="B266" s="3" t="s">
        <v>562</v>
      </c>
      <c r="C266" s="4" t="n">
        <v>2809.6</v>
      </c>
      <c r="D266" s="4" t="n">
        <v>3150</v>
      </c>
      <c r="E266" s="3" t="s">
        <v>1479</v>
      </c>
      <c r="F266" s="4" t="n">
        <f aca="false">IF(AND(ISNUMBER(C266),ISNUMBER(D266)),D266-C266,"N/A")</f>
        <v>340.4</v>
      </c>
      <c r="G266" s="6" t="n">
        <f aca="false">IF(ISNUMBER(F266),F266/C266*100,"N/A")</f>
        <v>12.1156036446469</v>
      </c>
      <c r="H266" s="3" t="str">
        <f aca="false">IF(NOT(ISNUMBER(F266)),"NO CURRENT DATA",IF(F266&gt;0,"RISEN",IF(F266&lt;0,"FALLEN","UNCHANGED")))</f>
        <v>RISEN</v>
      </c>
      <c r="I266" s="3" t="s">
        <v>1480</v>
      </c>
      <c r="J266" s="3" t="n">
        <v>1</v>
      </c>
    </row>
    <row r="267" customFormat="false" ht="15" hidden="false" customHeight="false" outlineLevel="0" collapsed="false">
      <c r="A267" s="3" t="s">
        <v>648</v>
      </c>
      <c r="B267" s="3" t="s">
        <v>364</v>
      </c>
      <c r="C267" s="4" t="n">
        <v>678</v>
      </c>
      <c r="D267" s="4" t="n">
        <v>458.7</v>
      </c>
      <c r="E267" s="3" t="s">
        <v>1479</v>
      </c>
      <c r="F267" s="4" t="n">
        <f aca="false">IF(AND(ISNUMBER(C267),ISNUMBER(D267)),D267-C267,"N/A")</f>
        <v>-219.3</v>
      </c>
      <c r="G267" s="6" t="n">
        <f aca="false">IF(ISNUMBER(F267),F267/C267*100,"N/A")</f>
        <v>-32.3451327433628</v>
      </c>
      <c r="H267" s="3" t="str">
        <f aca="false">IF(NOT(ISNUMBER(F267)),"NO CURRENT DATA",IF(F267&gt;0,"RISEN",IF(F267&lt;0,"FALLEN","UNCHANGED")))</f>
        <v>FALLEN</v>
      </c>
      <c r="I267" s="3" t="s">
        <v>1480</v>
      </c>
      <c r="J267" s="3" t="n">
        <v>4</v>
      </c>
    </row>
    <row r="268" customFormat="false" ht="15" hidden="false" customHeight="false" outlineLevel="0" collapsed="false">
      <c r="A268" s="3" t="s">
        <v>648</v>
      </c>
      <c r="B268" s="3" t="s">
        <v>190</v>
      </c>
      <c r="C268" s="4" t="n">
        <v>6308</v>
      </c>
      <c r="D268" s="4" t="s">
        <v>60</v>
      </c>
      <c r="E268" s="3" t="s">
        <v>60</v>
      </c>
      <c r="F268" s="4" t="str">
        <f aca="false">IF(AND(ISNUMBER(C268),ISNUMBER(D268)),D268-C268,"N/A")</f>
        <v>N/A</v>
      </c>
      <c r="G268" s="6" t="str">
        <f aca="false">IF(ISNUMBER(F268),F268/C268*100,"N/A")</f>
        <v>N/A</v>
      </c>
      <c r="H268" s="3" t="str">
        <f aca="false">IF(NOT(ISNUMBER(F268)),"NO CURRENT DATA",IF(F268&gt;0,"RISEN",IF(F268&lt;0,"FALLEN","UNCHANGED")))</f>
        <v>NO CURRENT DATA</v>
      </c>
      <c r="I268" s="3" t="s">
        <v>1484</v>
      </c>
      <c r="J268" s="3" t="n">
        <v>3</v>
      </c>
    </row>
    <row r="269" customFormat="false" ht="15" hidden="false" customHeight="false" outlineLevel="0" collapsed="false">
      <c r="A269" s="3" t="s">
        <v>648</v>
      </c>
      <c r="B269" s="3" t="s">
        <v>303</v>
      </c>
      <c r="C269" s="4" t="n">
        <v>995.45</v>
      </c>
      <c r="D269" s="4" t="n">
        <v>976.3</v>
      </c>
      <c r="E269" s="3" t="s">
        <v>1479</v>
      </c>
      <c r="F269" s="4" t="n">
        <f aca="false">IF(AND(ISNUMBER(C269),ISNUMBER(D269)),D269-C269,"N/A")</f>
        <v>-19.1500000000001</v>
      </c>
      <c r="G269" s="6" t="n">
        <f aca="false">IF(ISNUMBER(F269),F269/C269*100,"N/A")</f>
        <v>-1.92375307649808</v>
      </c>
      <c r="H269" s="3" t="str">
        <f aca="false">IF(NOT(ISNUMBER(F269)),"NO CURRENT DATA",IF(F269&gt;0,"RISEN",IF(F269&lt;0,"FALLEN","UNCHANGED")))</f>
        <v>FALLEN</v>
      </c>
      <c r="I269" s="3" t="s">
        <v>1480</v>
      </c>
      <c r="J269" s="3" t="n">
        <v>3</v>
      </c>
    </row>
    <row r="270" customFormat="false" ht="15" hidden="false" customHeight="false" outlineLevel="0" collapsed="false">
      <c r="A270" s="3" t="s">
        <v>648</v>
      </c>
      <c r="B270" s="3" t="s">
        <v>145</v>
      </c>
      <c r="C270" s="4" t="n">
        <v>1670.5</v>
      </c>
      <c r="D270" s="4" t="n">
        <v>1542.2</v>
      </c>
      <c r="E270" s="3" t="s">
        <v>1479</v>
      </c>
      <c r="F270" s="4" t="n">
        <f aca="false">IF(AND(ISNUMBER(C270),ISNUMBER(D270)),D270-C270,"N/A")</f>
        <v>-128.3</v>
      </c>
      <c r="G270" s="6" t="n">
        <f aca="false">IF(ISNUMBER(F270),F270/C270*100,"N/A")</f>
        <v>-7.68033522897336</v>
      </c>
      <c r="H270" s="3" t="str">
        <f aca="false">IF(NOT(ISNUMBER(F270)),"NO CURRENT DATA",IF(F270&gt;0,"RISEN",IF(F270&lt;0,"FALLEN","UNCHANGED")))</f>
        <v>FALLEN</v>
      </c>
      <c r="I270" s="3" t="s">
        <v>1480</v>
      </c>
      <c r="J270" s="3" t="n">
        <v>4</v>
      </c>
    </row>
    <row r="271" customFormat="false" ht="15" hidden="false" customHeight="false" outlineLevel="0" collapsed="false">
      <c r="A271" s="3" t="s">
        <v>648</v>
      </c>
      <c r="B271" s="3" t="s">
        <v>655</v>
      </c>
      <c r="C271" s="4" t="n">
        <v>12378</v>
      </c>
      <c r="D271" s="4" t="n">
        <v>11025</v>
      </c>
      <c r="E271" s="3" t="s">
        <v>1479</v>
      </c>
      <c r="F271" s="4" t="n">
        <f aca="false">IF(AND(ISNUMBER(C271),ISNUMBER(D271)),D271-C271,"N/A")</f>
        <v>-1353</v>
      </c>
      <c r="G271" s="6" t="n">
        <f aca="false">IF(ISNUMBER(F271),F271/C271*100,"N/A")</f>
        <v>-10.9306834706738</v>
      </c>
      <c r="H271" s="3" t="str">
        <f aca="false">IF(NOT(ISNUMBER(F271)),"NO CURRENT DATA",IF(F271&gt;0,"RISEN",IF(F271&lt;0,"FALLEN","UNCHANGED")))</f>
        <v>FALLEN</v>
      </c>
      <c r="I271" s="3" t="s">
        <v>1480</v>
      </c>
      <c r="J271" s="3" t="n">
        <v>0</v>
      </c>
    </row>
    <row r="272" customFormat="false" ht="15" hidden="false" customHeight="false" outlineLevel="0" collapsed="false">
      <c r="A272" s="3" t="s">
        <v>658</v>
      </c>
      <c r="B272" s="3" t="s">
        <v>148</v>
      </c>
      <c r="C272" s="4" t="n">
        <v>4086.6</v>
      </c>
      <c r="D272" s="4" t="n">
        <v>4869</v>
      </c>
      <c r="E272" s="3" t="s">
        <v>1479</v>
      </c>
      <c r="F272" s="4" t="n">
        <f aca="false">IF(AND(ISNUMBER(C272),ISNUMBER(D272)),D272-C272,"N/A")</f>
        <v>782.4</v>
      </c>
      <c r="G272" s="6" t="n">
        <f aca="false">IF(ISNUMBER(F272),F272/C272*100,"N/A")</f>
        <v>19.1454999265893</v>
      </c>
      <c r="H272" s="3" t="str">
        <f aca="false">IF(NOT(ISNUMBER(F272)),"NO CURRENT DATA",IF(F272&gt;0,"RISEN",IF(F272&lt;0,"FALLEN","UNCHANGED")))</f>
        <v>RISEN</v>
      </c>
      <c r="I272" s="3" t="s">
        <v>1480</v>
      </c>
      <c r="J272" s="3" t="n">
        <v>2</v>
      </c>
    </row>
    <row r="273" customFormat="false" ht="15" hidden="false" customHeight="false" outlineLevel="0" collapsed="false">
      <c r="A273" s="3" t="s">
        <v>658</v>
      </c>
      <c r="B273" s="3" t="s">
        <v>660</v>
      </c>
      <c r="C273" s="4" t="n">
        <v>177.43</v>
      </c>
      <c r="D273" s="4" t="n">
        <v>171.75</v>
      </c>
      <c r="E273" s="3" t="s">
        <v>1479</v>
      </c>
      <c r="F273" s="4" t="n">
        <f aca="false">IF(AND(ISNUMBER(C273),ISNUMBER(D273)),D273-C273,"N/A")</f>
        <v>-5.68000000000001</v>
      </c>
      <c r="G273" s="6" t="n">
        <f aca="false">IF(ISNUMBER(F273),F273/C273*100,"N/A")</f>
        <v>-3.20126246970637</v>
      </c>
      <c r="H273" s="3" t="str">
        <f aca="false">IF(NOT(ISNUMBER(F273)),"NO CURRENT DATA",IF(F273&gt;0,"RISEN",IF(F273&lt;0,"FALLEN","UNCHANGED")))</f>
        <v>FALLEN</v>
      </c>
      <c r="I273" s="3" t="s">
        <v>1480</v>
      </c>
      <c r="J273" s="3" t="n">
        <v>0</v>
      </c>
    </row>
    <row r="274" customFormat="false" ht="15" hidden="false" customHeight="false" outlineLevel="0" collapsed="false">
      <c r="A274" s="3" t="s">
        <v>663</v>
      </c>
      <c r="B274" s="3" t="s">
        <v>664</v>
      </c>
      <c r="C274" s="4" t="n">
        <v>1459.1</v>
      </c>
      <c r="D274" s="4" t="n">
        <v>1957</v>
      </c>
      <c r="E274" s="3" t="s">
        <v>1479</v>
      </c>
      <c r="F274" s="4" t="n">
        <f aca="false">IF(AND(ISNUMBER(C274),ISNUMBER(D274)),D274-C274,"N/A")</f>
        <v>497.9</v>
      </c>
      <c r="G274" s="6" t="n">
        <f aca="false">IF(ISNUMBER(F274),F274/C274*100,"N/A")</f>
        <v>34.1237749297512</v>
      </c>
      <c r="H274" s="3" t="str">
        <f aca="false">IF(NOT(ISNUMBER(F274)),"NO CURRENT DATA",IF(F274&gt;0,"RISEN",IF(F274&lt;0,"FALLEN","UNCHANGED")))</f>
        <v>RISEN</v>
      </c>
      <c r="I274" s="3" t="s">
        <v>1480</v>
      </c>
      <c r="J274" s="3" t="n">
        <v>0</v>
      </c>
    </row>
    <row r="275" customFormat="false" ht="15" hidden="false" customHeight="false" outlineLevel="0" collapsed="false">
      <c r="A275" s="3" t="s">
        <v>663</v>
      </c>
      <c r="B275" s="3" t="s">
        <v>490</v>
      </c>
      <c r="C275" s="4" t="n">
        <v>362.35</v>
      </c>
      <c r="D275" s="4" t="n">
        <v>302.25</v>
      </c>
      <c r="E275" s="3" t="s">
        <v>1479</v>
      </c>
      <c r="F275" s="4" t="n">
        <f aca="false">IF(AND(ISNUMBER(C275),ISNUMBER(D275)),D275-C275,"N/A")</f>
        <v>-60.1</v>
      </c>
      <c r="G275" s="6" t="n">
        <f aca="false">IF(ISNUMBER(F275),F275/C275*100,"N/A")</f>
        <v>-16.5861735890713</v>
      </c>
      <c r="H275" s="3" t="str">
        <f aca="false">IF(NOT(ISNUMBER(F275)),"NO CURRENT DATA",IF(F275&gt;0,"RISEN",IF(F275&lt;0,"FALLEN","UNCHANGED")))</f>
        <v>FALLEN</v>
      </c>
      <c r="I275" s="3" t="s">
        <v>1480</v>
      </c>
      <c r="J275" s="3" t="n">
        <v>1</v>
      </c>
    </row>
    <row r="276" customFormat="false" ht="15" hidden="false" customHeight="false" outlineLevel="0" collapsed="false">
      <c r="A276" s="3" t="s">
        <v>663</v>
      </c>
      <c r="B276" s="3" t="s">
        <v>493</v>
      </c>
      <c r="C276" s="4" t="n">
        <v>515.75</v>
      </c>
      <c r="D276" s="4" t="n">
        <v>385.75</v>
      </c>
      <c r="E276" s="3" t="s">
        <v>1479</v>
      </c>
      <c r="F276" s="4" t="n">
        <f aca="false">IF(AND(ISNUMBER(C276),ISNUMBER(D276)),D276-C276,"N/A")</f>
        <v>-130</v>
      </c>
      <c r="G276" s="6" t="n">
        <f aca="false">IF(ISNUMBER(F276),F276/C276*100,"N/A")</f>
        <v>-25.2060106640814</v>
      </c>
      <c r="H276" s="3" t="str">
        <f aca="false">IF(NOT(ISNUMBER(F276)),"NO CURRENT DATA",IF(F276&gt;0,"RISEN",IF(F276&lt;0,"FALLEN","UNCHANGED")))</f>
        <v>FALLEN</v>
      </c>
      <c r="I276" s="3" t="s">
        <v>1480</v>
      </c>
      <c r="J276" s="3" t="n">
        <v>1</v>
      </c>
    </row>
    <row r="277" customFormat="false" ht="15" hidden="false" customHeight="false" outlineLevel="0" collapsed="false">
      <c r="A277" s="3" t="s">
        <v>663</v>
      </c>
      <c r="B277" s="3" t="s">
        <v>96</v>
      </c>
      <c r="C277" s="4" t="n">
        <v>407.75</v>
      </c>
      <c r="D277" s="4" t="n">
        <v>407.5</v>
      </c>
      <c r="E277" s="3" t="s">
        <v>1479</v>
      </c>
      <c r="F277" s="4" t="n">
        <f aca="false">IF(AND(ISNUMBER(C277),ISNUMBER(D277)),D277-C277,"N/A")</f>
        <v>-0.25</v>
      </c>
      <c r="G277" s="6" t="n">
        <f aca="false">IF(ISNUMBER(F277),F277/C277*100,"N/A")</f>
        <v>-0.0613120784794605</v>
      </c>
      <c r="H277" s="3" t="str">
        <f aca="false">IF(NOT(ISNUMBER(F277)),"NO CURRENT DATA",IF(F277&gt;0,"RISEN",IF(F277&lt;0,"FALLEN","UNCHANGED")))</f>
        <v>FALLEN</v>
      </c>
      <c r="I277" s="3" t="s">
        <v>1480</v>
      </c>
      <c r="J277" s="3" t="n">
        <v>4</v>
      </c>
    </row>
    <row r="278" customFormat="false" ht="15" hidden="false" customHeight="false" outlineLevel="0" collapsed="false">
      <c r="A278" s="3" t="s">
        <v>663</v>
      </c>
      <c r="B278" s="3" t="s">
        <v>260</v>
      </c>
      <c r="C278" s="4" t="n">
        <v>93.91</v>
      </c>
      <c r="D278" s="4" t="n">
        <v>94.75</v>
      </c>
      <c r="E278" s="3" t="s">
        <v>1479</v>
      </c>
      <c r="F278" s="4" t="n">
        <f aca="false">IF(AND(ISNUMBER(C278),ISNUMBER(D278)),D278-C278,"N/A")</f>
        <v>0.840000000000003</v>
      </c>
      <c r="G278" s="6" t="n">
        <f aca="false">IF(ISNUMBER(F278),F278/C278*100,"N/A")</f>
        <v>0.894473432009375</v>
      </c>
      <c r="H278" s="3" t="str">
        <f aca="false">IF(NOT(ISNUMBER(F278)),"NO CURRENT DATA",IF(F278&gt;0,"RISEN",IF(F278&lt;0,"FALLEN","UNCHANGED")))</f>
        <v>RISEN</v>
      </c>
      <c r="I278" s="3" t="s">
        <v>1480</v>
      </c>
      <c r="J278" s="3" t="n">
        <v>2</v>
      </c>
    </row>
    <row r="279" customFormat="false" ht="15" hidden="false" customHeight="false" outlineLevel="0" collapsed="false">
      <c r="A279" s="3" t="s">
        <v>663</v>
      </c>
      <c r="B279" s="3" t="s">
        <v>671</v>
      </c>
      <c r="C279" s="4" t="n">
        <v>4624</v>
      </c>
      <c r="D279" s="4" t="n">
        <v>4738</v>
      </c>
      <c r="E279" s="3" t="s">
        <v>1479</v>
      </c>
      <c r="F279" s="4" t="n">
        <f aca="false">IF(AND(ISNUMBER(C279),ISNUMBER(D279)),D279-C279,"N/A")</f>
        <v>114</v>
      </c>
      <c r="G279" s="6" t="n">
        <f aca="false">IF(ISNUMBER(F279),F279/C279*100,"N/A")</f>
        <v>2.46539792387543</v>
      </c>
      <c r="H279" s="3" t="str">
        <f aca="false">IF(NOT(ISNUMBER(F279)),"NO CURRENT DATA",IF(F279&gt;0,"RISEN",IF(F279&lt;0,"FALLEN","UNCHANGED")))</f>
        <v>RISEN</v>
      </c>
      <c r="I279" s="3" t="s">
        <v>1480</v>
      </c>
      <c r="J279" s="3" t="n">
        <v>0</v>
      </c>
    </row>
    <row r="280" customFormat="false" ht="15" hidden="false" customHeight="false" outlineLevel="0" collapsed="false">
      <c r="A280" s="3" t="s">
        <v>663</v>
      </c>
      <c r="B280" s="3" t="s">
        <v>101</v>
      </c>
      <c r="C280" s="4" t="n">
        <v>2477.6</v>
      </c>
      <c r="D280" s="4" t="n">
        <v>2302.3</v>
      </c>
      <c r="E280" s="3" t="s">
        <v>1479</v>
      </c>
      <c r="F280" s="4" t="n">
        <f aca="false">IF(AND(ISNUMBER(C280),ISNUMBER(D280)),D280-C280,"N/A")</f>
        <v>-175.3</v>
      </c>
      <c r="G280" s="6" t="n">
        <f aca="false">IF(ISNUMBER(F280),F280/C280*100,"N/A")</f>
        <v>-7.0753955440749</v>
      </c>
      <c r="H280" s="3" t="str">
        <f aca="false">IF(NOT(ISNUMBER(F280)),"NO CURRENT DATA",IF(F280&gt;0,"RISEN",IF(F280&lt;0,"FALLEN","UNCHANGED")))</f>
        <v>FALLEN</v>
      </c>
      <c r="I280" s="3" t="s">
        <v>1480</v>
      </c>
      <c r="J280" s="3" t="n">
        <v>2</v>
      </c>
    </row>
    <row r="281" customFormat="false" ht="15" hidden="false" customHeight="false" outlineLevel="0" collapsed="false">
      <c r="A281" s="3" t="s">
        <v>663</v>
      </c>
      <c r="B281" s="3" t="s">
        <v>136</v>
      </c>
      <c r="C281" s="4" t="n">
        <v>162.85</v>
      </c>
      <c r="D281" s="4" t="n">
        <v>133.32</v>
      </c>
      <c r="E281" s="3" t="s">
        <v>1479</v>
      </c>
      <c r="F281" s="4" t="n">
        <f aca="false">IF(AND(ISNUMBER(C281),ISNUMBER(D281)),D281-C281,"N/A")</f>
        <v>-29.53</v>
      </c>
      <c r="G281" s="6" t="n">
        <f aca="false">IF(ISNUMBER(F281),F281/C281*100,"N/A")</f>
        <v>-18.1332514583973</v>
      </c>
      <c r="H281" s="3" t="str">
        <f aca="false">IF(NOT(ISNUMBER(F281)),"NO CURRENT DATA",IF(F281&gt;0,"RISEN",IF(F281&lt;0,"FALLEN","UNCHANGED")))</f>
        <v>FALLEN</v>
      </c>
      <c r="I281" s="3" t="s">
        <v>1480</v>
      </c>
      <c r="J281" s="3" t="n">
        <v>7</v>
      </c>
    </row>
    <row r="282" customFormat="false" ht="15" hidden="false" customHeight="false" outlineLevel="0" collapsed="false">
      <c r="A282" s="3" t="s">
        <v>663</v>
      </c>
      <c r="B282" s="3" t="s">
        <v>272</v>
      </c>
      <c r="C282" s="4" t="n">
        <v>348.05</v>
      </c>
      <c r="D282" s="4" t="n">
        <v>321.1</v>
      </c>
      <c r="E282" s="3" t="s">
        <v>1479</v>
      </c>
      <c r="F282" s="4" t="n">
        <f aca="false">IF(AND(ISNUMBER(C282),ISNUMBER(D282)),D282-C282,"N/A")</f>
        <v>-26.95</v>
      </c>
      <c r="G282" s="6" t="n">
        <f aca="false">IF(ISNUMBER(F282),F282/C282*100,"N/A")</f>
        <v>-7.7431403533975</v>
      </c>
      <c r="H282" s="3" t="str">
        <f aca="false">IF(NOT(ISNUMBER(F282)),"NO CURRENT DATA",IF(F282&gt;0,"RISEN",IF(F282&lt;0,"FALLEN","UNCHANGED")))</f>
        <v>FALLEN</v>
      </c>
      <c r="I282" s="3" t="s">
        <v>1480</v>
      </c>
      <c r="J282" s="3" t="n">
        <v>1</v>
      </c>
    </row>
    <row r="283" customFormat="false" ht="15" hidden="false" customHeight="false" outlineLevel="0" collapsed="false">
      <c r="A283" s="3" t="s">
        <v>663</v>
      </c>
      <c r="B283" s="3" t="s">
        <v>529</v>
      </c>
      <c r="C283" s="4" t="n">
        <v>259.8</v>
      </c>
      <c r="D283" s="4" t="n">
        <v>261.85</v>
      </c>
      <c r="E283" s="3" t="s">
        <v>1479</v>
      </c>
      <c r="F283" s="4" t="n">
        <f aca="false">IF(AND(ISNUMBER(C283),ISNUMBER(D283)),D283-C283,"N/A")</f>
        <v>2.05000000000001</v>
      </c>
      <c r="G283" s="6" t="n">
        <f aca="false">IF(ISNUMBER(F283),F283/C283*100,"N/A")</f>
        <v>0.789068514241729</v>
      </c>
      <c r="H283" s="3" t="str">
        <f aca="false">IF(NOT(ISNUMBER(F283)),"NO CURRENT DATA",IF(F283&gt;0,"RISEN",IF(F283&lt;0,"FALLEN","UNCHANGED")))</f>
        <v>RISEN</v>
      </c>
      <c r="I283" s="3" t="s">
        <v>1480</v>
      </c>
      <c r="J283" s="3" t="n">
        <v>1</v>
      </c>
    </row>
    <row r="284" customFormat="false" ht="15" hidden="false" customHeight="false" outlineLevel="0" collapsed="false">
      <c r="A284" s="3" t="s">
        <v>663</v>
      </c>
      <c r="B284" s="3" t="s">
        <v>504</v>
      </c>
      <c r="C284" s="4" t="n">
        <v>141.83</v>
      </c>
      <c r="D284" s="4" t="n">
        <v>138.82</v>
      </c>
      <c r="E284" s="3" t="s">
        <v>1479</v>
      </c>
      <c r="F284" s="4" t="n">
        <f aca="false">IF(AND(ISNUMBER(C284),ISNUMBER(D284)),D284-C284,"N/A")</f>
        <v>-3.01000000000002</v>
      </c>
      <c r="G284" s="6" t="n">
        <f aca="false">IF(ISNUMBER(F284),F284/C284*100,"N/A")</f>
        <v>-2.1222590425157</v>
      </c>
      <c r="H284" s="3" t="str">
        <f aca="false">IF(NOT(ISNUMBER(F284)),"NO CURRENT DATA",IF(F284&gt;0,"RISEN",IF(F284&lt;0,"FALLEN","UNCHANGED")))</f>
        <v>FALLEN</v>
      </c>
      <c r="I284" s="3" t="s">
        <v>1480</v>
      </c>
      <c r="J284" s="3" t="n">
        <v>2</v>
      </c>
    </row>
    <row r="285" customFormat="false" ht="15" hidden="false" customHeight="false" outlineLevel="0" collapsed="false">
      <c r="A285" s="3" t="s">
        <v>663</v>
      </c>
      <c r="B285" s="3" t="s">
        <v>608</v>
      </c>
      <c r="C285" s="4" t="n">
        <v>2053.2</v>
      </c>
      <c r="D285" s="4" t="n">
        <v>1728.1</v>
      </c>
      <c r="E285" s="3" t="s">
        <v>1479</v>
      </c>
      <c r="F285" s="4" t="n">
        <f aca="false">IF(AND(ISNUMBER(C285),ISNUMBER(D285)),D285-C285,"N/A")</f>
        <v>-325.1</v>
      </c>
      <c r="G285" s="6" t="n">
        <f aca="false">IF(ISNUMBER(F285),F285/C285*100,"N/A")</f>
        <v>-15.8338203779466</v>
      </c>
      <c r="H285" s="3" t="str">
        <f aca="false">IF(NOT(ISNUMBER(F285)),"NO CURRENT DATA",IF(F285&gt;0,"RISEN",IF(F285&lt;0,"FALLEN","UNCHANGED")))</f>
        <v>FALLEN</v>
      </c>
      <c r="I285" s="3" t="s">
        <v>1480</v>
      </c>
      <c r="J285" s="3" t="n">
        <v>2</v>
      </c>
    </row>
    <row r="286" customFormat="false" ht="15" hidden="false" customHeight="false" outlineLevel="0" collapsed="false">
      <c r="A286" s="3" t="s">
        <v>663</v>
      </c>
      <c r="B286" s="3" t="s">
        <v>680</v>
      </c>
      <c r="C286" s="4" t="n">
        <v>2280.7</v>
      </c>
      <c r="D286" s="4" t="n">
        <v>2459</v>
      </c>
      <c r="E286" s="3" t="s">
        <v>1479</v>
      </c>
      <c r="F286" s="4" t="n">
        <f aca="false">IF(AND(ISNUMBER(C286),ISNUMBER(D286)),D286-C286,"N/A")</f>
        <v>178.3</v>
      </c>
      <c r="G286" s="6" t="n">
        <f aca="false">IF(ISNUMBER(F286),F286/C286*100,"N/A")</f>
        <v>7.81777524444251</v>
      </c>
      <c r="H286" s="3" t="str">
        <f aca="false">IF(NOT(ISNUMBER(F286)),"NO CURRENT DATA",IF(F286&gt;0,"RISEN",IF(F286&lt;0,"FALLEN","UNCHANGED")))</f>
        <v>RISEN</v>
      </c>
      <c r="I286" s="3" t="s">
        <v>1480</v>
      </c>
      <c r="J286" s="3" t="n">
        <v>0</v>
      </c>
    </row>
    <row r="287" customFormat="false" ht="15" hidden="false" customHeight="false" outlineLevel="0" collapsed="false">
      <c r="A287" s="3" t="s">
        <v>683</v>
      </c>
      <c r="B287" s="3" t="s">
        <v>437</v>
      </c>
      <c r="C287" s="4" t="n">
        <v>536.05</v>
      </c>
      <c r="D287" s="4" t="n">
        <v>374.35</v>
      </c>
      <c r="E287" s="3" t="s">
        <v>1479</v>
      </c>
      <c r="F287" s="4" t="n">
        <f aca="false">IF(AND(ISNUMBER(C287),ISNUMBER(D287)),D287-C287,"N/A")</f>
        <v>-161.7</v>
      </c>
      <c r="G287" s="6" t="n">
        <f aca="false">IF(ISNUMBER(F287),F287/C287*100,"N/A")</f>
        <v>-30.1650965395019</v>
      </c>
      <c r="H287" s="3" t="str">
        <f aca="false">IF(NOT(ISNUMBER(F287)),"NO CURRENT DATA",IF(F287&gt;0,"RISEN",IF(F287&lt;0,"FALLEN","UNCHANGED")))</f>
        <v>FALLEN</v>
      </c>
      <c r="I287" s="3" t="s">
        <v>1480</v>
      </c>
      <c r="J287" s="3" t="n">
        <v>1</v>
      </c>
    </row>
    <row r="288" customFormat="false" ht="15" hidden="false" customHeight="false" outlineLevel="0" collapsed="false">
      <c r="A288" s="3" t="s">
        <v>683</v>
      </c>
      <c r="B288" s="3" t="s">
        <v>490</v>
      </c>
      <c r="C288" s="4" t="n">
        <v>366.95</v>
      </c>
      <c r="D288" s="4" t="n">
        <v>302.25</v>
      </c>
      <c r="E288" s="3" t="s">
        <v>1479</v>
      </c>
      <c r="F288" s="4" t="n">
        <f aca="false">IF(AND(ISNUMBER(C288),ISNUMBER(D288)),D288-C288,"N/A")</f>
        <v>-64.7</v>
      </c>
      <c r="G288" s="6" t="n">
        <f aca="false">IF(ISNUMBER(F288),F288/C288*100,"N/A")</f>
        <v>-17.6318299495844</v>
      </c>
      <c r="H288" s="3" t="str">
        <f aca="false">IF(NOT(ISNUMBER(F288)),"NO CURRENT DATA",IF(F288&gt;0,"RISEN",IF(F288&lt;0,"FALLEN","UNCHANGED")))</f>
        <v>FALLEN</v>
      </c>
      <c r="I288" s="3" t="s">
        <v>1480</v>
      </c>
      <c r="J288" s="3" t="n">
        <v>1</v>
      </c>
    </row>
    <row r="289" customFormat="false" ht="15" hidden="false" customHeight="false" outlineLevel="0" collapsed="false">
      <c r="A289" s="3" t="s">
        <v>683</v>
      </c>
      <c r="B289" s="3" t="s">
        <v>686</v>
      </c>
      <c r="C289" s="4" t="n">
        <v>455.75</v>
      </c>
      <c r="D289" s="4" t="n">
        <v>422.5</v>
      </c>
      <c r="E289" s="3" t="s">
        <v>1479</v>
      </c>
      <c r="F289" s="4" t="n">
        <f aca="false">IF(AND(ISNUMBER(C289),ISNUMBER(D289)),D289-C289,"N/A")</f>
        <v>-33.25</v>
      </c>
      <c r="G289" s="6" t="n">
        <f aca="false">IF(ISNUMBER(F289),F289/C289*100,"N/A")</f>
        <v>-7.29566648381788</v>
      </c>
      <c r="H289" s="3" t="str">
        <f aca="false">IF(NOT(ISNUMBER(F289)),"NO CURRENT DATA",IF(F289&gt;0,"RISEN",IF(F289&lt;0,"FALLEN","UNCHANGED")))</f>
        <v>FALLEN</v>
      </c>
      <c r="I289" s="3" t="s">
        <v>1480</v>
      </c>
      <c r="J289" s="3" t="n">
        <v>0</v>
      </c>
    </row>
    <row r="290" customFormat="false" ht="15" hidden="false" customHeight="false" outlineLevel="0" collapsed="false">
      <c r="A290" s="3" t="s">
        <v>683</v>
      </c>
      <c r="B290" s="3" t="s">
        <v>96</v>
      </c>
      <c r="C290" s="4" t="n">
        <v>411.8</v>
      </c>
      <c r="D290" s="4" t="n">
        <v>407.5</v>
      </c>
      <c r="E290" s="3" t="s">
        <v>1479</v>
      </c>
      <c r="F290" s="4" t="n">
        <f aca="false">IF(AND(ISNUMBER(C290),ISNUMBER(D290)),D290-C290,"N/A")</f>
        <v>-4.30000000000001</v>
      </c>
      <c r="G290" s="6" t="n">
        <f aca="false">IF(ISNUMBER(F290),F290/C290*100,"N/A")</f>
        <v>-1.04419621175328</v>
      </c>
      <c r="H290" s="3" t="str">
        <f aca="false">IF(NOT(ISNUMBER(F290)),"NO CURRENT DATA",IF(F290&gt;0,"RISEN",IF(F290&lt;0,"FALLEN","UNCHANGED")))</f>
        <v>FALLEN</v>
      </c>
      <c r="I290" s="3" t="s">
        <v>1480</v>
      </c>
      <c r="J290" s="3" t="n">
        <v>4</v>
      </c>
    </row>
    <row r="291" customFormat="false" ht="15" hidden="false" customHeight="false" outlineLevel="0" collapsed="false">
      <c r="A291" s="3" t="s">
        <v>683</v>
      </c>
      <c r="B291" s="3" t="s">
        <v>114</v>
      </c>
      <c r="C291" s="4" t="n">
        <v>84.6</v>
      </c>
      <c r="D291" s="4" t="n">
        <v>77.43</v>
      </c>
      <c r="E291" s="3" t="s">
        <v>1479</v>
      </c>
      <c r="F291" s="4" t="n">
        <f aca="false">IF(AND(ISNUMBER(C291),ISNUMBER(D291)),D291-C291,"N/A")</f>
        <v>-7.16999999999999</v>
      </c>
      <c r="G291" s="6" t="n">
        <f aca="false">IF(ISNUMBER(F291),F291/C291*100,"N/A")</f>
        <v>-8.47517730496453</v>
      </c>
      <c r="H291" s="3" t="str">
        <f aca="false">IF(NOT(ISNUMBER(F291)),"NO CURRENT DATA",IF(F291&gt;0,"RISEN",IF(F291&lt;0,"FALLEN","UNCHANGED")))</f>
        <v>FALLEN</v>
      </c>
      <c r="I291" s="3" t="s">
        <v>1480</v>
      </c>
      <c r="J291" s="3" t="n">
        <v>4</v>
      </c>
    </row>
    <row r="292" customFormat="false" ht="15" hidden="false" customHeight="false" outlineLevel="0" collapsed="false">
      <c r="A292" s="3" t="s">
        <v>683</v>
      </c>
      <c r="B292" s="3" t="s">
        <v>272</v>
      </c>
      <c r="C292" s="4" t="n">
        <v>358.15</v>
      </c>
      <c r="D292" s="4" t="n">
        <v>321.1</v>
      </c>
      <c r="E292" s="3" t="s">
        <v>1479</v>
      </c>
      <c r="F292" s="4" t="n">
        <f aca="false">IF(AND(ISNUMBER(C292),ISNUMBER(D292)),D292-C292,"N/A")</f>
        <v>-37.05</v>
      </c>
      <c r="G292" s="6" t="n">
        <f aca="false">IF(ISNUMBER(F292),F292/C292*100,"N/A")</f>
        <v>-10.3448275862069</v>
      </c>
      <c r="H292" s="3" t="str">
        <f aca="false">IF(NOT(ISNUMBER(F292)),"NO CURRENT DATA",IF(F292&gt;0,"RISEN",IF(F292&lt;0,"FALLEN","UNCHANGED")))</f>
        <v>FALLEN</v>
      </c>
      <c r="I292" s="3" t="s">
        <v>1480</v>
      </c>
      <c r="J292" s="3" t="n">
        <v>1</v>
      </c>
    </row>
    <row r="293" customFormat="false" ht="15" hidden="false" customHeight="false" outlineLevel="0" collapsed="false">
      <c r="A293" s="3" t="s">
        <v>683</v>
      </c>
      <c r="B293" s="3" t="s">
        <v>529</v>
      </c>
      <c r="C293" s="4" t="n">
        <v>260.5</v>
      </c>
      <c r="D293" s="4" t="n">
        <v>261.85</v>
      </c>
      <c r="E293" s="3" t="s">
        <v>1479</v>
      </c>
      <c r="F293" s="4" t="n">
        <f aca="false">IF(AND(ISNUMBER(C293),ISNUMBER(D293)),D293-C293,"N/A")</f>
        <v>1.35000000000002</v>
      </c>
      <c r="G293" s="6" t="n">
        <f aca="false">IF(ISNUMBER(F293),F293/C293*100,"N/A")</f>
        <v>0.518234165067187</v>
      </c>
      <c r="H293" s="3" t="str">
        <f aca="false">IF(NOT(ISNUMBER(F293)),"NO CURRENT DATA",IF(F293&gt;0,"RISEN",IF(F293&lt;0,"FALLEN","UNCHANGED")))</f>
        <v>RISEN</v>
      </c>
      <c r="I293" s="3" t="s">
        <v>1480</v>
      </c>
      <c r="J293" s="3" t="n">
        <v>1</v>
      </c>
    </row>
    <row r="294" customFormat="false" ht="15" hidden="false" customHeight="false" outlineLevel="0" collapsed="false">
      <c r="A294" s="3" t="s">
        <v>683</v>
      </c>
      <c r="B294" s="3" t="s">
        <v>504</v>
      </c>
      <c r="C294" s="4" t="n">
        <v>147.57</v>
      </c>
      <c r="D294" s="4" t="n">
        <v>138.82</v>
      </c>
      <c r="E294" s="3" t="s">
        <v>1479</v>
      </c>
      <c r="F294" s="4" t="n">
        <f aca="false">IF(AND(ISNUMBER(C294),ISNUMBER(D294)),D294-C294,"N/A")</f>
        <v>-8.75</v>
      </c>
      <c r="G294" s="6" t="n">
        <f aca="false">IF(ISNUMBER(F294),F294/C294*100,"N/A")</f>
        <v>-5.92938944229857</v>
      </c>
      <c r="H294" s="3" t="str">
        <f aca="false">IF(NOT(ISNUMBER(F294)),"NO CURRENT DATA",IF(F294&gt;0,"RISEN",IF(F294&lt;0,"FALLEN","UNCHANGED")))</f>
        <v>FALLEN</v>
      </c>
      <c r="I294" s="3" t="s">
        <v>1480</v>
      </c>
      <c r="J294" s="3" t="n">
        <v>2</v>
      </c>
    </row>
    <row r="295" customFormat="false" ht="15" hidden="false" customHeight="false" outlineLevel="0" collapsed="false">
      <c r="A295" s="3" t="s">
        <v>694</v>
      </c>
      <c r="B295" s="3" t="s">
        <v>328</v>
      </c>
      <c r="C295" s="4" t="n">
        <v>5860.5</v>
      </c>
      <c r="D295" s="4" t="n">
        <v>4915</v>
      </c>
      <c r="E295" s="3" t="s">
        <v>1479</v>
      </c>
      <c r="F295" s="4" t="n">
        <f aca="false">IF(AND(ISNUMBER(C295),ISNUMBER(D295)),D295-C295,"N/A")</f>
        <v>-945.5</v>
      </c>
      <c r="G295" s="6" t="n">
        <f aca="false">IF(ISNUMBER(F295),F295/C295*100,"N/A")</f>
        <v>-16.1334357136763</v>
      </c>
      <c r="H295" s="3" t="str">
        <f aca="false">IF(NOT(ISNUMBER(F295)),"NO CURRENT DATA",IF(F295&gt;0,"RISEN",IF(F295&lt;0,"FALLEN","UNCHANGED")))</f>
        <v>FALLEN</v>
      </c>
      <c r="I295" s="3" t="s">
        <v>1480</v>
      </c>
      <c r="J295" s="3" t="n">
        <v>2</v>
      </c>
    </row>
    <row r="296" customFormat="false" ht="15" hidden="false" customHeight="false" outlineLevel="0" collapsed="false">
      <c r="A296" s="3" t="s">
        <v>694</v>
      </c>
      <c r="B296" s="3" t="s">
        <v>565</v>
      </c>
      <c r="C296" s="4" t="n">
        <v>1285</v>
      </c>
      <c r="D296" s="4" t="n">
        <v>1085</v>
      </c>
      <c r="E296" s="3" t="s">
        <v>1479</v>
      </c>
      <c r="F296" s="4" t="n">
        <f aca="false">IF(AND(ISNUMBER(C296),ISNUMBER(D296)),D296-C296,"N/A")</f>
        <v>-200</v>
      </c>
      <c r="G296" s="6" t="n">
        <f aca="false">IF(ISNUMBER(F296),F296/C296*100,"N/A")</f>
        <v>-15.5642023346304</v>
      </c>
      <c r="H296" s="3" t="str">
        <f aca="false">IF(NOT(ISNUMBER(F296)),"NO CURRENT DATA",IF(F296&gt;0,"RISEN",IF(F296&lt;0,"FALLEN","UNCHANGED")))</f>
        <v>FALLEN</v>
      </c>
      <c r="I296" s="3" t="s">
        <v>1480</v>
      </c>
      <c r="J296" s="3" t="n">
        <v>1</v>
      </c>
    </row>
    <row r="297" customFormat="false" ht="15" hidden="false" customHeight="false" outlineLevel="0" collapsed="false">
      <c r="A297" s="3" t="s">
        <v>694</v>
      </c>
      <c r="B297" s="3" t="s">
        <v>605</v>
      </c>
      <c r="C297" s="4" t="n">
        <v>444.3</v>
      </c>
      <c r="D297" s="4" t="n">
        <v>360</v>
      </c>
      <c r="E297" s="3" t="s">
        <v>1479</v>
      </c>
      <c r="F297" s="4" t="n">
        <f aca="false">IF(AND(ISNUMBER(C297),ISNUMBER(D297)),D297-C297,"N/A")</f>
        <v>-84.3</v>
      </c>
      <c r="G297" s="6" t="n">
        <f aca="false">IF(ISNUMBER(F297),F297/C297*100,"N/A")</f>
        <v>-18.9736664415935</v>
      </c>
      <c r="H297" s="3" t="str">
        <f aca="false">IF(NOT(ISNUMBER(F297)),"NO CURRENT DATA",IF(F297&gt;0,"RISEN",IF(F297&lt;0,"FALLEN","UNCHANGED")))</f>
        <v>FALLEN</v>
      </c>
      <c r="I297" s="3" t="s">
        <v>1480</v>
      </c>
      <c r="J297" s="3" t="n">
        <v>1</v>
      </c>
    </row>
    <row r="298" customFormat="false" ht="15" hidden="false" customHeight="false" outlineLevel="0" collapsed="false">
      <c r="A298" s="3" t="s">
        <v>694</v>
      </c>
      <c r="B298" s="3" t="s">
        <v>501</v>
      </c>
      <c r="C298" s="4" t="n">
        <v>4021.1</v>
      </c>
      <c r="D298" s="4" t="n">
        <v>4516</v>
      </c>
      <c r="E298" s="3" t="s">
        <v>1479</v>
      </c>
      <c r="F298" s="4" t="n">
        <f aca="false">IF(AND(ISNUMBER(C298),ISNUMBER(D298)),D298-C298,"N/A")</f>
        <v>494.9</v>
      </c>
      <c r="G298" s="6" t="n">
        <f aca="false">IF(ISNUMBER(F298),F298/C298*100,"N/A")</f>
        <v>12.307577528537</v>
      </c>
      <c r="H298" s="3" t="str">
        <f aca="false">IF(NOT(ISNUMBER(F298)),"NO CURRENT DATA",IF(F298&gt;0,"RISEN",IF(F298&lt;0,"FALLEN","UNCHANGED")))</f>
        <v>RISEN</v>
      </c>
      <c r="I298" s="3" t="s">
        <v>1480</v>
      </c>
      <c r="J298" s="3" t="n">
        <v>1</v>
      </c>
    </row>
    <row r="299" customFormat="false" ht="15" hidden="false" customHeight="false" outlineLevel="0" collapsed="false">
      <c r="A299" s="3" t="s">
        <v>694</v>
      </c>
      <c r="B299" s="3" t="s">
        <v>554</v>
      </c>
      <c r="C299" s="4" t="n">
        <v>1387.6</v>
      </c>
      <c r="D299" s="4" t="n">
        <v>1237.2</v>
      </c>
      <c r="E299" s="3" t="s">
        <v>1479</v>
      </c>
      <c r="F299" s="4" t="n">
        <f aca="false">IF(AND(ISNUMBER(C299),ISNUMBER(D299)),D299-C299,"N/A")</f>
        <v>-150.4</v>
      </c>
      <c r="G299" s="6" t="n">
        <f aca="false">IF(ISNUMBER(F299),F299/C299*100,"N/A")</f>
        <v>-10.8388584606515</v>
      </c>
      <c r="H299" s="3" t="str">
        <f aca="false">IF(NOT(ISNUMBER(F299)),"NO CURRENT DATA",IF(F299&gt;0,"RISEN",IF(F299&lt;0,"FALLEN","UNCHANGED")))</f>
        <v>FALLEN</v>
      </c>
      <c r="I299" s="3" t="s">
        <v>1480</v>
      </c>
      <c r="J299" s="3" t="n">
        <v>1</v>
      </c>
    </row>
    <row r="300" customFormat="false" ht="15" hidden="false" customHeight="false" outlineLevel="0" collapsed="false">
      <c r="A300" s="3" t="s">
        <v>694</v>
      </c>
      <c r="B300" s="3" t="s">
        <v>700</v>
      </c>
      <c r="C300" s="4" t="n">
        <v>3677.4</v>
      </c>
      <c r="D300" s="4" t="n">
        <v>4095</v>
      </c>
      <c r="E300" s="3" t="s">
        <v>1479</v>
      </c>
      <c r="F300" s="4" t="n">
        <f aca="false">IF(AND(ISNUMBER(C300),ISNUMBER(D300)),D300-C300,"N/A")</f>
        <v>417.6</v>
      </c>
      <c r="G300" s="6" t="n">
        <f aca="false">IF(ISNUMBER(F300),F300/C300*100,"N/A")</f>
        <v>11.3558492413118</v>
      </c>
      <c r="H300" s="3" t="str">
        <f aca="false">IF(NOT(ISNUMBER(F300)),"NO CURRENT DATA",IF(F300&gt;0,"RISEN",IF(F300&lt;0,"FALLEN","UNCHANGED")))</f>
        <v>RISEN</v>
      </c>
      <c r="I300" s="3" t="s">
        <v>1480</v>
      </c>
      <c r="J300" s="3" t="n">
        <v>0</v>
      </c>
    </row>
    <row r="301" customFormat="false" ht="15" hidden="false" customHeight="false" outlineLevel="0" collapsed="false">
      <c r="A301" s="3" t="s">
        <v>703</v>
      </c>
      <c r="B301" s="3" t="s">
        <v>136</v>
      </c>
      <c r="C301" s="4" t="n">
        <v>164.61</v>
      </c>
      <c r="D301" s="4" t="n">
        <v>133.32</v>
      </c>
      <c r="E301" s="3" t="s">
        <v>1479</v>
      </c>
      <c r="F301" s="4" t="n">
        <f aca="false">IF(AND(ISNUMBER(C301),ISNUMBER(D301)),D301-C301,"N/A")</f>
        <v>-31.29</v>
      </c>
      <c r="G301" s="6" t="n">
        <f aca="false">IF(ISNUMBER(F301),F301/C301*100,"N/A")</f>
        <v>-19.0085657007472</v>
      </c>
      <c r="H301" s="3" t="str">
        <f aca="false">IF(NOT(ISNUMBER(F301)),"NO CURRENT DATA",IF(F301&gt;0,"RISEN",IF(F301&lt;0,"FALLEN","UNCHANGED")))</f>
        <v>FALLEN</v>
      </c>
      <c r="I301" s="3" t="s">
        <v>1480</v>
      </c>
      <c r="J301" s="3" t="n">
        <v>8</v>
      </c>
    </row>
    <row r="302" customFormat="false" ht="15" hidden="false" customHeight="false" outlineLevel="0" collapsed="false">
      <c r="A302" s="3" t="s">
        <v>703</v>
      </c>
      <c r="B302" s="3" t="s">
        <v>608</v>
      </c>
      <c r="C302" s="4" t="n">
        <v>2001</v>
      </c>
      <c r="D302" s="4" t="n">
        <v>1728.1</v>
      </c>
      <c r="E302" s="3" t="s">
        <v>1479</v>
      </c>
      <c r="F302" s="4" t="n">
        <f aca="false">IF(AND(ISNUMBER(C302),ISNUMBER(D302)),D302-C302,"N/A")</f>
        <v>-272.9</v>
      </c>
      <c r="G302" s="6" t="n">
        <f aca="false">IF(ISNUMBER(F302),F302/C302*100,"N/A")</f>
        <v>-13.6381809095452</v>
      </c>
      <c r="H302" s="3" t="str">
        <f aca="false">IF(NOT(ISNUMBER(F302)),"NO CURRENT DATA",IF(F302&gt;0,"RISEN",IF(F302&lt;0,"FALLEN","UNCHANGED")))</f>
        <v>FALLEN</v>
      </c>
      <c r="I302" s="3" t="s">
        <v>1480</v>
      </c>
      <c r="J302" s="3" t="n">
        <v>3</v>
      </c>
    </row>
    <row r="303" customFormat="false" ht="15" hidden="false" customHeight="false" outlineLevel="0" collapsed="false">
      <c r="A303" s="3" t="s">
        <v>703</v>
      </c>
      <c r="B303" s="3" t="s">
        <v>300</v>
      </c>
      <c r="C303" s="4" t="n">
        <v>1028.7</v>
      </c>
      <c r="D303" s="4" t="n">
        <v>962</v>
      </c>
      <c r="E303" s="3" t="s">
        <v>1479</v>
      </c>
      <c r="F303" s="4" t="n">
        <f aca="false">IF(AND(ISNUMBER(C303),ISNUMBER(D303)),D303-C303,"N/A")</f>
        <v>-66.7000000000001</v>
      </c>
      <c r="G303" s="6" t="n">
        <f aca="false">IF(ISNUMBER(F303),F303/C303*100,"N/A")</f>
        <v>-6.48391173325557</v>
      </c>
      <c r="H303" s="3" t="str">
        <f aca="false">IF(NOT(ISNUMBER(F303)),"NO CURRENT DATA",IF(F303&gt;0,"RISEN",IF(F303&lt;0,"FALLEN","UNCHANGED")))</f>
        <v>FALLEN</v>
      </c>
      <c r="I303" s="3" t="s">
        <v>1480</v>
      </c>
      <c r="J303" s="3" t="n">
        <v>2</v>
      </c>
    </row>
    <row r="304" customFormat="false" ht="15" hidden="false" customHeight="false" outlineLevel="0" collapsed="false">
      <c r="A304" s="3" t="s">
        <v>707</v>
      </c>
      <c r="B304" s="3" t="s">
        <v>708</v>
      </c>
      <c r="C304" s="4" t="n">
        <v>5668.5</v>
      </c>
      <c r="D304" s="4" t="n">
        <v>6972.5</v>
      </c>
      <c r="E304" s="3" t="s">
        <v>1479</v>
      </c>
      <c r="F304" s="4" t="n">
        <f aca="false">IF(AND(ISNUMBER(C304),ISNUMBER(D304)),D304-C304,"N/A")</f>
        <v>1304</v>
      </c>
      <c r="G304" s="6" t="n">
        <f aca="false">IF(ISNUMBER(F304),F304/C304*100,"N/A")</f>
        <v>23.0043221310752</v>
      </c>
      <c r="H304" s="3" t="str">
        <f aca="false">IF(NOT(ISNUMBER(F304)),"NO CURRENT DATA",IF(F304&gt;0,"RISEN",IF(F304&lt;0,"FALLEN","UNCHANGED")))</f>
        <v>RISEN</v>
      </c>
      <c r="I304" s="3" t="s">
        <v>1480</v>
      </c>
      <c r="J304" s="3" t="n">
        <v>0</v>
      </c>
    </row>
    <row r="305" customFormat="false" ht="15" hidden="false" customHeight="false" outlineLevel="0" collapsed="false">
      <c r="A305" s="3" t="s">
        <v>707</v>
      </c>
      <c r="B305" s="3" t="s">
        <v>664</v>
      </c>
      <c r="C305" s="4" t="n">
        <v>1539</v>
      </c>
      <c r="D305" s="4" t="n">
        <v>1957</v>
      </c>
      <c r="E305" s="3" t="s">
        <v>1479</v>
      </c>
      <c r="F305" s="4" t="n">
        <f aca="false">IF(AND(ISNUMBER(C305),ISNUMBER(D305)),D305-C305,"N/A")</f>
        <v>418</v>
      </c>
      <c r="G305" s="6" t="n">
        <f aca="false">IF(ISNUMBER(F305),F305/C305*100,"N/A")</f>
        <v>27.1604938271605</v>
      </c>
      <c r="H305" s="3" t="str">
        <f aca="false">IF(NOT(ISNUMBER(F305)),"NO CURRENT DATA",IF(F305&gt;0,"RISEN",IF(F305&lt;0,"FALLEN","UNCHANGED")))</f>
        <v>RISEN</v>
      </c>
      <c r="I305" s="3" t="s">
        <v>1480</v>
      </c>
      <c r="J305" s="3" t="n">
        <v>1</v>
      </c>
    </row>
    <row r="306" customFormat="false" ht="15" hidden="false" customHeight="false" outlineLevel="0" collapsed="false">
      <c r="A306" s="3" t="s">
        <v>707</v>
      </c>
      <c r="B306" s="3" t="s">
        <v>199</v>
      </c>
      <c r="C306" s="4" t="n">
        <v>372.3</v>
      </c>
      <c r="D306" s="4" t="n">
        <v>374.9</v>
      </c>
      <c r="E306" s="3" t="s">
        <v>1479</v>
      </c>
      <c r="F306" s="4" t="n">
        <f aca="false">IF(AND(ISNUMBER(C306),ISNUMBER(D306)),D306-C306,"N/A")</f>
        <v>2.59999999999997</v>
      </c>
      <c r="G306" s="6" t="n">
        <f aca="false">IF(ISNUMBER(F306),F306/C306*100,"N/A")</f>
        <v>0.698361536395371</v>
      </c>
      <c r="H306" s="3" t="str">
        <f aca="false">IF(NOT(ISNUMBER(F306)),"NO CURRENT DATA",IF(F306&gt;0,"RISEN",IF(F306&lt;0,"FALLEN","UNCHANGED")))</f>
        <v>RISEN</v>
      </c>
      <c r="I306" s="3" t="s">
        <v>1480</v>
      </c>
      <c r="J306" s="3" t="n">
        <v>5</v>
      </c>
    </row>
    <row r="307" customFormat="false" ht="15" hidden="false" customHeight="false" outlineLevel="0" collapsed="false">
      <c r="A307" s="3" t="s">
        <v>707</v>
      </c>
      <c r="B307" s="3" t="s">
        <v>490</v>
      </c>
      <c r="C307" s="4" t="n">
        <v>373.45</v>
      </c>
      <c r="D307" s="4" t="n">
        <v>302.25</v>
      </c>
      <c r="E307" s="3" t="s">
        <v>1479</v>
      </c>
      <c r="F307" s="4" t="n">
        <f aca="false">IF(AND(ISNUMBER(C307),ISNUMBER(D307)),D307-C307,"N/A")</f>
        <v>-71.2</v>
      </c>
      <c r="G307" s="6" t="n">
        <f aca="false">IF(ISNUMBER(F307),F307/C307*100,"N/A")</f>
        <v>-19.0654706118624</v>
      </c>
      <c r="H307" s="3" t="str">
        <f aca="false">IF(NOT(ISNUMBER(F307)),"NO CURRENT DATA",IF(F307&gt;0,"RISEN",IF(F307&lt;0,"FALLEN","UNCHANGED")))</f>
        <v>FALLEN</v>
      </c>
      <c r="I307" s="3" t="s">
        <v>1480</v>
      </c>
      <c r="J307" s="3" t="n">
        <v>2</v>
      </c>
    </row>
    <row r="308" customFormat="false" ht="15" hidden="false" customHeight="false" outlineLevel="0" collapsed="false">
      <c r="A308" s="3" t="s">
        <v>707</v>
      </c>
      <c r="B308" s="3" t="s">
        <v>130</v>
      </c>
      <c r="C308" s="4" t="n">
        <v>728.45</v>
      </c>
      <c r="D308" s="4" t="n">
        <v>691.55</v>
      </c>
      <c r="E308" s="3" t="s">
        <v>1479</v>
      </c>
      <c r="F308" s="4" t="n">
        <f aca="false">IF(AND(ISNUMBER(C308),ISNUMBER(D308)),D308-C308,"N/A")</f>
        <v>-36.9000000000001</v>
      </c>
      <c r="G308" s="6" t="n">
        <f aca="false">IF(ISNUMBER(F308),F308/C308*100,"N/A")</f>
        <v>-5.06555014070974</v>
      </c>
      <c r="H308" s="3" t="str">
        <f aca="false">IF(NOT(ISNUMBER(F308)),"NO CURRENT DATA",IF(F308&gt;0,"RISEN",IF(F308&lt;0,"FALLEN","UNCHANGED")))</f>
        <v>FALLEN</v>
      </c>
      <c r="I308" s="3" t="s">
        <v>1480</v>
      </c>
      <c r="J308" s="3" t="n">
        <v>1</v>
      </c>
    </row>
    <row r="309" customFormat="false" ht="15" hidden="false" customHeight="false" outlineLevel="0" collapsed="false">
      <c r="A309" s="3" t="s">
        <v>707</v>
      </c>
      <c r="B309" s="3" t="s">
        <v>686</v>
      </c>
      <c r="C309" s="4" t="n">
        <v>429.4</v>
      </c>
      <c r="D309" s="4" t="n">
        <v>422.5</v>
      </c>
      <c r="E309" s="3" t="s">
        <v>1479</v>
      </c>
      <c r="F309" s="4" t="n">
        <f aca="false">IF(AND(ISNUMBER(C309),ISNUMBER(D309)),D309-C309,"N/A")</f>
        <v>-6.89999999999998</v>
      </c>
      <c r="G309" s="6" t="n">
        <f aca="false">IF(ISNUMBER(F309),F309/C309*100,"N/A")</f>
        <v>-1.60689333954354</v>
      </c>
      <c r="H309" s="3" t="str">
        <f aca="false">IF(NOT(ISNUMBER(F309)),"NO CURRENT DATA",IF(F309&gt;0,"RISEN",IF(F309&lt;0,"FALLEN","UNCHANGED")))</f>
        <v>FALLEN</v>
      </c>
      <c r="I309" s="3" t="s">
        <v>1480</v>
      </c>
      <c r="J309" s="3" t="n">
        <v>1</v>
      </c>
    </row>
    <row r="310" customFormat="false" ht="15" hidden="false" customHeight="false" outlineLevel="0" collapsed="false">
      <c r="A310" s="3" t="s">
        <v>707</v>
      </c>
      <c r="B310" s="3" t="s">
        <v>357</v>
      </c>
      <c r="C310" s="4" t="n">
        <v>527.9</v>
      </c>
      <c r="D310" s="4" t="n">
        <v>450</v>
      </c>
      <c r="E310" s="3" t="s">
        <v>1479</v>
      </c>
      <c r="F310" s="4" t="n">
        <f aca="false">IF(AND(ISNUMBER(C310),ISNUMBER(D310)),D310-C310,"N/A")</f>
        <v>-77.9</v>
      </c>
      <c r="G310" s="6" t="n">
        <f aca="false">IF(ISNUMBER(F310),F310/C310*100,"N/A")</f>
        <v>-14.7565826861148</v>
      </c>
      <c r="H310" s="3" t="str">
        <f aca="false">IF(NOT(ISNUMBER(F310)),"NO CURRENT DATA",IF(F310&gt;0,"RISEN",IF(F310&lt;0,"FALLEN","UNCHANGED")))</f>
        <v>FALLEN</v>
      </c>
      <c r="I310" s="3" t="s">
        <v>1480</v>
      </c>
      <c r="J310" s="3" t="n">
        <v>2</v>
      </c>
    </row>
    <row r="311" customFormat="false" ht="15" hidden="false" customHeight="false" outlineLevel="0" collapsed="false">
      <c r="A311" s="3" t="s">
        <v>707</v>
      </c>
      <c r="B311" s="3" t="s">
        <v>399</v>
      </c>
      <c r="C311" s="4" t="n">
        <v>720.15</v>
      </c>
      <c r="D311" s="4" t="n">
        <v>531.6</v>
      </c>
      <c r="E311" s="3" t="s">
        <v>1479</v>
      </c>
      <c r="F311" s="4" t="n">
        <f aca="false">IF(AND(ISNUMBER(C311),ISNUMBER(D311)),D311-C311,"N/A")</f>
        <v>-188.55</v>
      </c>
      <c r="G311" s="6" t="n">
        <f aca="false">IF(ISNUMBER(F311),F311/C311*100,"N/A")</f>
        <v>-26.1820454072068</v>
      </c>
      <c r="H311" s="3" t="str">
        <f aca="false">IF(NOT(ISNUMBER(F311)),"NO CURRENT DATA",IF(F311&gt;0,"RISEN",IF(F311&lt;0,"FALLEN","UNCHANGED")))</f>
        <v>FALLEN</v>
      </c>
      <c r="I311" s="3" t="s">
        <v>1480</v>
      </c>
      <c r="J311" s="3" t="n">
        <v>2</v>
      </c>
    </row>
    <row r="312" customFormat="false" ht="15" hidden="false" customHeight="false" outlineLevel="0" collapsed="false">
      <c r="A312" s="3" t="s">
        <v>707</v>
      </c>
      <c r="B312" s="3" t="s">
        <v>74</v>
      </c>
      <c r="C312" s="4" t="n">
        <v>1861.5</v>
      </c>
      <c r="D312" s="4" t="n">
        <v>1540</v>
      </c>
      <c r="E312" s="3" t="s">
        <v>1479</v>
      </c>
      <c r="F312" s="4" t="n">
        <f aca="false">IF(AND(ISNUMBER(C312),ISNUMBER(D312)),D312-C312,"N/A")</f>
        <v>-321.5</v>
      </c>
      <c r="G312" s="6" t="n">
        <f aca="false">IF(ISNUMBER(F312),F312/C312*100,"N/A")</f>
        <v>-17.2710179962396</v>
      </c>
      <c r="H312" s="3" t="str">
        <f aca="false">IF(NOT(ISNUMBER(F312)),"NO CURRENT DATA",IF(F312&gt;0,"RISEN",IF(F312&lt;0,"FALLEN","UNCHANGED")))</f>
        <v>FALLEN</v>
      </c>
      <c r="I312" s="3" t="s">
        <v>1480</v>
      </c>
      <c r="J312" s="3" t="n">
        <v>1</v>
      </c>
    </row>
    <row r="313" customFormat="false" ht="15" hidden="false" customHeight="false" outlineLevel="0" collapsed="false">
      <c r="A313" s="3" t="s">
        <v>707</v>
      </c>
      <c r="B313" s="3" t="s">
        <v>136</v>
      </c>
      <c r="C313" s="4" t="n">
        <v>167.58</v>
      </c>
      <c r="D313" s="4" t="n">
        <v>133.32</v>
      </c>
      <c r="E313" s="3" t="s">
        <v>1479</v>
      </c>
      <c r="F313" s="4" t="n">
        <f aca="false">IF(AND(ISNUMBER(C313),ISNUMBER(D313)),D313-C313,"N/A")</f>
        <v>-34.26</v>
      </c>
      <c r="G313" s="6" t="n">
        <f aca="false">IF(ISNUMBER(F313),F313/C313*100,"N/A")</f>
        <v>-20.4439670605084</v>
      </c>
      <c r="H313" s="3" t="str">
        <f aca="false">IF(NOT(ISNUMBER(F313)),"NO CURRENT DATA",IF(F313&gt;0,"RISEN",IF(F313&lt;0,"FALLEN","UNCHANGED")))</f>
        <v>FALLEN</v>
      </c>
      <c r="I313" s="3" t="s">
        <v>1480</v>
      </c>
      <c r="J313" s="3" t="n">
        <v>8</v>
      </c>
    </row>
    <row r="314" customFormat="false" ht="15" hidden="false" customHeight="false" outlineLevel="0" collapsed="false">
      <c r="A314" s="3" t="s">
        <v>707</v>
      </c>
      <c r="B314" s="3" t="s">
        <v>139</v>
      </c>
      <c r="C314" s="4" t="n">
        <v>2162.6</v>
      </c>
      <c r="D314" s="4" t="n">
        <v>2435.6</v>
      </c>
      <c r="E314" s="3" t="s">
        <v>1479</v>
      </c>
      <c r="F314" s="4" t="n">
        <f aca="false">IF(AND(ISNUMBER(C314),ISNUMBER(D314)),D314-C314,"N/A")</f>
        <v>273</v>
      </c>
      <c r="G314" s="6" t="n">
        <f aca="false">IF(ISNUMBER(F314),F314/C314*100,"N/A")</f>
        <v>12.6236937020253</v>
      </c>
      <c r="H314" s="3" t="str">
        <f aca="false">IF(NOT(ISNUMBER(F314)),"NO CURRENT DATA",IF(F314&gt;0,"RISEN",IF(F314&lt;0,"FALLEN","UNCHANGED")))</f>
        <v>RISEN</v>
      </c>
      <c r="I314" s="3" t="s">
        <v>1480</v>
      </c>
      <c r="J314" s="3" t="n">
        <v>3</v>
      </c>
    </row>
    <row r="315" customFormat="false" ht="15" hidden="false" customHeight="false" outlineLevel="0" collapsed="false">
      <c r="A315" s="3" t="s">
        <v>707</v>
      </c>
      <c r="B315" s="3" t="s">
        <v>541</v>
      </c>
      <c r="C315" s="4" t="n">
        <v>3624.2</v>
      </c>
      <c r="D315" s="4" t="n">
        <v>2760</v>
      </c>
      <c r="E315" s="3" t="s">
        <v>1479</v>
      </c>
      <c r="F315" s="4" t="n">
        <f aca="false">IF(AND(ISNUMBER(C315),ISNUMBER(D315)),D315-C315,"N/A")</f>
        <v>-864.2</v>
      </c>
      <c r="G315" s="6" t="n">
        <f aca="false">IF(ISNUMBER(F315),F315/C315*100,"N/A")</f>
        <v>-23.8452624027372</v>
      </c>
      <c r="H315" s="3" t="str">
        <f aca="false">IF(NOT(ISNUMBER(F315)),"NO CURRENT DATA",IF(F315&gt;0,"RISEN",IF(F315&lt;0,"FALLEN","UNCHANGED")))</f>
        <v>FALLEN</v>
      </c>
      <c r="I315" s="3" t="s">
        <v>1480</v>
      </c>
      <c r="J315" s="3" t="n">
        <v>1</v>
      </c>
    </row>
    <row r="316" customFormat="false" ht="15" hidden="false" customHeight="false" outlineLevel="0" collapsed="false">
      <c r="A316" s="3" t="s">
        <v>707</v>
      </c>
      <c r="B316" s="3" t="s">
        <v>633</v>
      </c>
      <c r="C316" s="4" t="n">
        <v>33740</v>
      </c>
      <c r="D316" s="4" t="n">
        <v>37500</v>
      </c>
      <c r="E316" s="3" t="s">
        <v>1479</v>
      </c>
      <c r="F316" s="4" t="n">
        <f aca="false">IF(AND(ISNUMBER(C316),ISNUMBER(D316)),D316-C316,"N/A")</f>
        <v>3760</v>
      </c>
      <c r="G316" s="6" t="n">
        <f aca="false">IF(ISNUMBER(F316),F316/C316*100,"N/A")</f>
        <v>11.1440426793124</v>
      </c>
      <c r="H316" s="3" t="str">
        <f aca="false">IF(NOT(ISNUMBER(F316)),"NO CURRENT DATA",IF(F316&gt;0,"RISEN",IF(F316&lt;0,"FALLEN","UNCHANGED")))</f>
        <v>RISEN</v>
      </c>
      <c r="I316" s="3" t="s">
        <v>1480</v>
      </c>
      <c r="J316" s="3" t="n">
        <v>1</v>
      </c>
    </row>
    <row r="317" customFormat="false" ht="15" hidden="false" customHeight="false" outlineLevel="0" collapsed="false">
      <c r="A317" s="3" t="s">
        <v>707</v>
      </c>
      <c r="B317" s="3" t="s">
        <v>120</v>
      </c>
      <c r="C317" s="4" t="n">
        <v>392.6</v>
      </c>
      <c r="D317" s="4" t="n">
        <v>330</v>
      </c>
      <c r="E317" s="3" t="s">
        <v>1479</v>
      </c>
      <c r="F317" s="4" t="n">
        <f aca="false">IF(AND(ISNUMBER(C317),ISNUMBER(D317)),D317-C317,"N/A")</f>
        <v>-62.6</v>
      </c>
      <c r="G317" s="6" t="n">
        <f aca="false">IF(ISNUMBER(F317),F317/C317*100,"N/A")</f>
        <v>-15.9449821701477</v>
      </c>
      <c r="H317" s="3" t="str">
        <f aca="false">IF(NOT(ISNUMBER(F317)),"NO CURRENT DATA",IF(F317&gt;0,"RISEN",IF(F317&lt;0,"FALLEN","UNCHANGED")))</f>
        <v>FALLEN</v>
      </c>
      <c r="I317" s="3" t="s">
        <v>1480</v>
      </c>
      <c r="J317" s="3" t="n">
        <v>2</v>
      </c>
    </row>
    <row r="318" customFormat="false" ht="15" hidden="false" customHeight="false" outlineLevel="0" collapsed="false">
      <c r="A318" s="3" t="s">
        <v>707</v>
      </c>
      <c r="B318" s="3" t="s">
        <v>384</v>
      </c>
      <c r="C318" s="4" t="n">
        <v>3211.7</v>
      </c>
      <c r="D318" s="4" t="n">
        <v>3785.5</v>
      </c>
      <c r="E318" s="3" t="s">
        <v>1479</v>
      </c>
      <c r="F318" s="4" t="n">
        <f aca="false">IF(AND(ISNUMBER(C318),ISNUMBER(D318)),D318-C318,"N/A")</f>
        <v>573.8</v>
      </c>
      <c r="G318" s="6" t="n">
        <f aca="false">IF(ISNUMBER(F318),F318/C318*100,"N/A")</f>
        <v>17.8659277018402</v>
      </c>
      <c r="H318" s="3" t="str">
        <f aca="false">IF(NOT(ISNUMBER(F318)),"NO CURRENT DATA",IF(F318&gt;0,"RISEN",IF(F318&lt;0,"FALLEN","UNCHANGED")))</f>
        <v>RISEN</v>
      </c>
      <c r="I318" s="3" t="s">
        <v>1480</v>
      </c>
      <c r="J318" s="3" t="n">
        <v>1</v>
      </c>
    </row>
    <row r="319" customFormat="false" ht="15" hidden="false" customHeight="false" outlineLevel="0" collapsed="false">
      <c r="A319" s="3" t="s">
        <v>707</v>
      </c>
      <c r="B319" s="3" t="s">
        <v>453</v>
      </c>
      <c r="C319" s="4" t="n">
        <v>530.2</v>
      </c>
      <c r="D319" s="4" t="n">
        <v>807.9</v>
      </c>
      <c r="E319" s="3" t="s">
        <v>1479</v>
      </c>
      <c r="F319" s="4" t="n">
        <f aca="false">IF(AND(ISNUMBER(C319),ISNUMBER(D319)),D319-C319,"N/A")</f>
        <v>277.7</v>
      </c>
      <c r="G319" s="6" t="n">
        <f aca="false">IF(ISNUMBER(F319),F319/C319*100,"N/A")</f>
        <v>52.3764617125613</v>
      </c>
      <c r="H319" s="3" t="str">
        <f aca="false">IF(NOT(ISNUMBER(F319)),"NO CURRENT DATA",IF(F319&gt;0,"RISEN",IF(F319&lt;0,"FALLEN","UNCHANGED")))</f>
        <v>RISEN</v>
      </c>
      <c r="I319" s="3" t="s">
        <v>1480</v>
      </c>
      <c r="J319" s="3" t="n">
        <v>2</v>
      </c>
    </row>
    <row r="320" customFormat="false" ht="15" hidden="false" customHeight="false" outlineLevel="0" collapsed="false">
      <c r="A320" s="3" t="s">
        <v>707</v>
      </c>
      <c r="B320" s="3" t="s">
        <v>83</v>
      </c>
      <c r="C320" s="4" t="n">
        <v>2912.2</v>
      </c>
      <c r="D320" s="4" t="n">
        <v>2491.5</v>
      </c>
      <c r="E320" s="3" t="s">
        <v>1479</v>
      </c>
      <c r="F320" s="4" t="n">
        <f aca="false">IF(AND(ISNUMBER(C320),ISNUMBER(D320)),D320-C320,"N/A")</f>
        <v>-420.7</v>
      </c>
      <c r="G320" s="6" t="n">
        <f aca="false">IF(ISNUMBER(F320),F320/C320*100,"N/A")</f>
        <v>-14.4461232058238</v>
      </c>
      <c r="H320" s="3" t="str">
        <f aca="false">IF(NOT(ISNUMBER(F320)),"NO CURRENT DATA",IF(F320&gt;0,"RISEN",IF(F320&lt;0,"FALLEN","UNCHANGED")))</f>
        <v>FALLEN</v>
      </c>
      <c r="I320" s="3" t="s">
        <v>1480</v>
      </c>
      <c r="J320" s="3" t="n">
        <v>3</v>
      </c>
    </row>
    <row r="321" customFormat="false" ht="15" hidden="false" customHeight="false" outlineLevel="0" collapsed="false">
      <c r="A321" s="3" t="s">
        <v>707</v>
      </c>
      <c r="B321" s="3" t="s">
        <v>623</v>
      </c>
      <c r="C321" s="4" t="n">
        <v>1702.1</v>
      </c>
      <c r="D321" s="4" t="n">
        <v>1838</v>
      </c>
      <c r="E321" s="3" t="s">
        <v>1479</v>
      </c>
      <c r="F321" s="4" t="n">
        <f aca="false">IF(AND(ISNUMBER(C321),ISNUMBER(D321)),D321-C321,"N/A")</f>
        <v>135.9</v>
      </c>
      <c r="G321" s="6" t="n">
        <f aca="false">IF(ISNUMBER(F321),F321/C321*100,"N/A")</f>
        <v>7.9842547441396</v>
      </c>
      <c r="H321" s="3" t="str">
        <f aca="false">IF(NOT(ISNUMBER(F321)),"NO CURRENT DATA",IF(F321&gt;0,"RISEN",IF(F321&lt;0,"FALLEN","UNCHANGED")))</f>
        <v>RISEN</v>
      </c>
      <c r="I321" s="3" t="s">
        <v>1480</v>
      </c>
      <c r="J321" s="3" t="n">
        <v>1</v>
      </c>
    </row>
    <row r="322" customFormat="false" ht="15" hidden="false" customHeight="false" outlineLevel="0" collapsed="false">
      <c r="A322" s="3" t="s">
        <v>728</v>
      </c>
      <c r="B322" s="3" t="s">
        <v>289</v>
      </c>
      <c r="C322" s="4" t="n">
        <v>200.92</v>
      </c>
      <c r="D322" s="4" t="n">
        <v>155.22</v>
      </c>
      <c r="E322" s="3" t="s">
        <v>1479</v>
      </c>
      <c r="F322" s="4" t="n">
        <f aca="false">IF(AND(ISNUMBER(C322),ISNUMBER(D322)),D322-C322,"N/A")</f>
        <v>-45.7</v>
      </c>
      <c r="G322" s="6" t="n">
        <f aca="false">IF(ISNUMBER(F322),F322/C322*100,"N/A")</f>
        <v>-22.7453712920565</v>
      </c>
      <c r="H322" s="3" t="str">
        <f aca="false">IF(NOT(ISNUMBER(F322)),"NO CURRENT DATA",IF(F322&gt;0,"RISEN",IF(F322&lt;0,"FALLEN","UNCHANGED")))</f>
        <v>FALLEN</v>
      </c>
      <c r="I322" s="3" t="s">
        <v>1480</v>
      </c>
      <c r="J322" s="3" t="n">
        <v>1</v>
      </c>
    </row>
    <row r="323" customFormat="false" ht="15" hidden="false" customHeight="false" outlineLevel="0" collapsed="false">
      <c r="A323" s="3" t="s">
        <v>728</v>
      </c>
      <c r="B323" s="3" t="s">
        <v>516</v>
      </c>
      <c r="C323" s="4" t="n">
        <v>1880.2</v>
      </c>
      <c r="D323" s="4" t="n">
        <v>1575.4</v>
      </c>
      <c r="E323" s="3" t="s">
        <v>1479</v>
      </c>
      <c r="F323" s="4" t="n">
        <f aca="false">IF(AND(ISNUMBER(C323),ISNUMBER(D323)),D323-C323,"N/A")</f>
        <v>-304.8</v>
      </c>
      <c r="G323" s="6" t="n">
        <f aca="false">IF(ISNUMBER(F323),F323/C323*100,"N/A")</f>
        <v>-16.2110413785767</v>
      </c>
      <c r="H323" s="3" t="str">
        <f aca="false">IF(NOT(ISNUMBER(F323)),"NO CURRENT DATA",IF(F323&gt;0,"RISEN",IF(F323&lt;0,"FALLEN","UNCHANGED")))</f>
        <v>FALLEN</v>
      </c>
      <c r="I323" s="3" t="s">
        <v>1480</v>
      </c>
      <c r="J323" s="3" t="n">
        <v>1</v>
      </c>
    </row>
    <row r="324" customFormat="false" ht="15" hidden="false" customHeight="false" outlineLevel="0" collapsed="false">
      <c r="A324" s="3" t="s">
        <v>728</v>
      </c>
      <c r="B324" s="3" t="s">
        <v>260</v>
      </c>
      <c r="C324" s="4" t="n">
        <v>98.08</v>
      </c>
      <c r="D324" s="4" t="n">
        <v>94.75</v>
      </c>
      <c r="E324" s="3" t="s">
        <v>1479</v>
      </c>
      <c r="F324" s="4" t="n">
        <f aca="false">IF(AND(ISNUMBER(C324),ISNUMBER(D324)),D324-C324,"N/A")</f>
        <v>-3.33</v>
      </c>
      <c r="G324" s="6" t="n">
        <f aca="false">IF(ISNUMBER(F324),F324/C324*100,"N/A")</f>
        <v>-3.39518760195758</v>
      </c>
      <c r="H324" s="3" t="str">
        <f aca="false">IF(NOT(ISNUMBER(F324)),"NO CURRENT DATA",IF(F324&gt;0,"RISEN",IF(F324&lt;0,"FALLEN","UNCHANGED")))</f>
        <v>FALLEN</v>
      </c>
      <c r="I324" s="3" t="s">
        <v>1480</v>
      </c>
      <c r="J324" s="3" t="n">
        <v>3</v>
      </c>
    </row>
    <row r="325" customFormat="false" ht="15" hidden="false" customHeight="false" outlineLevel="0" collapsed="false">
      <c r="A325" s="3" t="s">
        <v>728</v>
      </c>
      <c r="B325" s="3" t="s">
        <v>101</v>
      </c>
      <c r="C325" s="4" t="n">
        <v>2725</v>
      </c>
      <c r="D325" s="4" t="n">
        <v>2302.3</v>
      </c>
      <c r="E325" s="3" t="s">
        <v>1479</v>
      </c>
      <c r="F325" s="4" t="n">
        <f aca="false">IF(AND(ISNUMBER(C325),ISNUMBER(D325)),D325-C325,"N/A")</f>
        <v>-422.7</v>
      </c>
      <c r="G325" s="6" t="n">
        <f aca="false">IF(ISNUMBER(F325),F325/C325*100,"N/A")</f>
        <v>-15.5119266055046</v>
      </c>
      <c r="H325" s="3" t="str">
        <f aca="false">IF(NOT(ISNUMBER(F325)),"NO CURRENT DATA",IF(F325&gt;0,"RISEN",IF(F325&lt;0,"FALLEN","UNCHANGED")))</f>
        <v>FALLEN</v>
      </c>
      <c r="I325" s="3" t="s">
        <v>1480</v>
      </c>
      <c r="J325" s="3" t="n">
        <v>3</v>
      </c>
    </row>
    <row r="326" customFormat="false" ht="15" hidden="false" customHeight="false" outlineLevel="0" collapsed="false">
      <c r="A326" s="3" t="s">
        <v>728</v>
      </c>
      <c r="B326" s="3" t="s">
        <v>399</v>
      </c>
      <c r="C326" s="4" t="n">
        <v>722.5</v>
      </c>
      <c r="D326" s="4" t="n">
        <v>531.6</v>
      </c>
      <c r="E326" s="3" t="s">
        <v>1479</v>
      </c>
      <c r="F326" s="4" t="n">
        <f aca="false">IF(AND(ISNUMBER(C326),ISNUMBER(D326)),D326-C326,"N/A")</f>
        <v>-190.9</v>
      </c>
      <c r="G326" s="6" t="n">
        <f aca="false">IF(ISNUMBER(F326),F326/C326*100,"N/A")</f>
        <v>-26.4221453287197</v>
      </c>
      <c r="H326" s="3" t="str">
        <f aca="false">IF(NOT(ISNUMBER(F326)),"NO CURRENT DATA",IF(F326&gt;0,"RISEN",IF(F326&lt;0,"FALLEN","UNCHANGED")))</f>
        <v>FALLEN</v>
      </c>
      <c r="I326" s="3" t="s">
        <v>1480</v>
      </c>
      <c r="J326" s="3" t="n">
        <v>2</v>
      </c>
    </row>
    <row r="327" customFormat="false" ht="15" hidden="false" customHeight="false" outlineLevel="0" collapsed="false">
      <c r="A327" s="3" t="s">
        <v>728</v>
      </c>
      <c r="B327" s="3" t="s">
        <v>136</v>
      </c>
      <c r="C327" s="4" t="n">
        <v>172.78</v>
      </c>
      <c r="D327" s="4" t="n">
        <v>133.32</v>
      </c>
      <c r="E327" s="3" t="s">
        <v>1479</v>
      </c>
      <c r="F327" s="4" t="n">
        <f aca="false">IF(AND(ISNUMBER(C327),ISNUMBER(D327)),D327-C327,"N/A")</f>
        <v>-39.46</v>
      </c>
      <c r="G327" s="6" t="n">
        <f aca="false">IF(ISNUMBER(F327),F327/C327*100,"N/A")</f>
        <v>-22.83829146892</v>
      </c>
      <c r="H327" s="3" t="str">
        <f aca="false">IF(NOT(ISNUMBER(F327)),"NO CURRENT DATA",IF(F327&gt;0,"RISEN",IF(F327&lt;0,"FALLEN","UNCHANGED")))</f>
        <v>FALLEN</v>
      </c>
      <c r="I327" s="3" t="s">
        <v>1480</v>
      </c>
      <c r="J327" s="3" t="n">
        <v>8</v>
      </c>
    </row>
    <row r="328" customFormat="false" ht="15" hidden="false" customHeight="false" outlineLevel="0" collapsed="false">
      <c r="A328" s="3" t="s">
        <v>728</v>
      </c>
      <c r="B328" s="3" t="s">
        <v>108</v>
      </c>
      <c r="C328" s="4" t="n">
        <v>1167.3</v>
      </c>
      <c r="D328" s="4" t="n">
        <v>1139.6</v>
      </c>
      <c r="E328" s="3" t="s">
        <v>1479</v>
      </c>
      <c r="F328" s="4" t="n">
        <f aca="false">IF(AND(ISNUMBER(C328),ISNUMBER(D328)),D328-C328,"N/A")</f>
        <v>-27.7</v>
      </c>
      <c r="G328" s="6" t="n">
        <f aca="false">IF(ISNUMBER(F328),F328/C328*100,"N/A")</f>
        <v>-2.37299751563437</v>
      </c>
      <c r="H328" s="3" t="str">
        <f aca="false">IF(NOT(ISNUMBER(F328)),"NO CURRENT DATA",IF(F328&gt;0,"RISEN",IF(F328&lt;0,"FALLEN","UNCHANGED")))</f>
        <v>FALLEN</v>
      </c>
      <c r="I328" s="3" t="s">
        <v>1480</v>
      </c>
      <c r="J328" s="3" t="n">
        <v>1</v>
      </c>
    </row>
    <row r="329" customFormat="false" ht="15" hidden="false" customHeight="false" outlineLevel="0" collapsed="false">
      <c r="A329" s="3" t="s">
        <v>728</v>
      </c>
      <c r="B329" s="3" t="s">
        <v>272</v>
      </c>
      <c r="C329" s="4" t="n">
        <v>367.25</v>
      </c>
      <c r="D329" s="4" t="n">
        <v>321.1</v>
      </c>
      <c r="E329" s="3" t="s">
        <v>1479</v>
      </c>
      <c r="F329" s="4" t="n">
        <f aca="false">IF(AND(ISNUMBER(C329),ISNUMBER(D329)),D329-C329,"N/A")</f>
        <v>-46.15</v>
      </c>
      <c r="G329" s="6" t="n">
        <f aca="false">IF(ISNUMBER(F329),F329/C329*100,"N/A")</f>
        <v>-12.5663716814159</v>
      </c>
      <c r="H329" s="3" t="str">
        <f aca="false">IF(NOT(ISNUMBER(F329)),"NO CURRENT DATA",IF(F329&gt;0,"RISEN",IF(F329&lt;0,"FALLEN","UNCHANGED")))</f>
        <v>FALLEN</v>
      </c>
      <c r="I329" s="3" t="s">
        <v>1480</v>
      </c>
      <c r="J329" s="3" t="n">
        <v>2</v>
      </c>
    </row>
    <row r="330" customFormat="false" ht="15" hidden="false" customHeight="false" outlineLevel="0" collapsed="false">
      <c r="A330" s="3" t="s">
        <v>728</v>
      </c>
      <c r="B330" s="3" t="s">
        <v>120</v>
      </c>
      <c r="C330" s="4" t="n">
        <v>414.6</v>
      </c>
      <c r="D330" s="4" t="n">
        <v>330</v>
      </c>
      <c r="E330" s="3" t="s">
        <v>1479</v>
      </c>
      <c r="F330" s="4" t="n">
        <f aca="false">IF(AND(ISNUMBER(C330),ISNUMBER(D330)),D330-C330,"N/A")</f>
        <v>-84.6</v>
      </c>
      <c r="G330" s="6" t="n">
        <f aca="false">IF(ISNUMBER(F330),F330/C330*100,"N/A")</f>
        <v>-20.4052098408104</v>
      </c>
      <c r="H330" s="3" t="str">
        <f aca="false">IF(NOT(ISNUMBER(F330)),"NO CURRENT DATA",IF(F330&gt;0,"RISEN",IF(F330&lt;0,"FALLEN","UNCHANGED")))</f>
        <v>FALLEN</v>
      </c>
      <c r="I330" s="3" t="s">
        <v>1480</v>
      </c>
      <c r="J330" s="3" t="n">
        <v>2</v>
      </c>
    </row>
    <row r="331" customFormat="false" ht="15" hidden="false" customHeight="false" outlineLevel="0" collapsed="false">
      <c r="A331" s="3" t="s">
        <v>728</v>
      </c>
      <c r="B331" s="3" t="s">
        <v>164</v>
      </c>
      <c r="C331" s="4" t="n">
        <v>1460.3</v>
      </c>
      <c r="D331" s="4" t="n">
        <v>1503</v>
      </c>
      <c r="E331" s="3" t="s">
        <v>1479</v>
      </c>
      <c r="F331" s="4" t="n">
        <f aca="false">IF(AND(ISNUMBER(C331),ISNUMBER(D331)),D331-C331,"N/A")</f>
        <v>42.7</v>
      </c>
      <c r="G331" s="6" t="n">
        <f aca="false">IF(ISNUMBER(F331),F331/C331*100,"N/A")</f>
        <v>2.92405670067795</v>
      </c>
      <c r="H331" s="3" t="str">
        <f aca="false">IF(NOT(ISNUMBER(F331)),"NO CURRENT DATA",IF(F331&gt;0,"RISEN",IF(F331&lt;0,"FALLEN","UNCHANGED")))</f>
        <v>RISEN</v>
      </c>
      <c r="I331" s="3" t="s">
        <v>1480</v>
      </c>
      <c r="J331" s="3" t="n">
        <v>3</v>
      </c>
    </row>
    <row r="332" customFormat="false" ht="15" hidden="false" customHeight="false" outlineLevel="0" collapsed="false">
      <c r="A332" s="3" t="s">
        <v>728</v>
      </c>
      <c r="B332" s="3" t="s">
        <v>384</v>
      </c>
      <c r="C332" s="4" t="n">
        <v>3290.5</v>
      </c>
      <c r="D332" s="4" t="n">
        <v>3785.5</v>
      </c>
      <c r="E332" s="3" t="s">
        <v>1479</v>
      </c>
      <c r="F332" s="4" t="n">
        <f aca="false">IF(AND(ISNUMBER(C332),ISNUMBER(D332)),D332-C332,"N/A")</f>
        <v>495</v>
      </c>
      <c r="G332" s="6" t="n">
        <f aca="false">IF(ISNUMBER(F332),F332/C332*100,"N/A")</f>
        <v>15.0433064883756</v>
      </c>
      <c r="H332" s="3" t="str">
        <f aca="false">IF(NOT(ISNUMBER(F332)),"NO CURRENT DATA",IF(F332&gt;0,"RISEN",IF(F332&lt;0,"FALLEN","UNCHANGED")))</f>
        <v>RISEN</v>
      </c>
      <c r="I332" s="3" t="s">
        <v>1480</v>
      </c>
      <c r="J332" s="3" t="n">
        <v>1</v>
      </c>
    </row>
    <row r="333" customFormat="false" ht="15" hidden="false" customHeight="false" outlineLevel="0" collapsed="false">
      <c r="A333" s="3" t="s">
        <v>728</v>
      </c>
      <c r="B333" s="3" t="s">
        <v>740</v>
      </c>
      <c r="C333" s="4" t="n">
        <v>3741</v>
      </c>
      <c r="D333" s="4" t="n">
        <v>3499.8</v>
      </c>
      <c r="E333" s="3" t="s">
        <v>1479</v>
      </c>
      <c r="F333" s="4" t="n">
        <f aca="false">IF(AND(ISNUMBER(C333),ISNUMBER(D333)),D333-C333,"N/A")</f>
        <v>-241.2</v>
      </c>
      <c r="G333" s="6" t="n">
        <f aca="false">IF(ISNUMBER(F333),F333/C333*100,"N/A")</f>
        <v>-6.44747393744988</v>
      </c>
      <c r="H333" s="3" t="str">
        <f aca="false">IF(NOT(ISNUMBER(F333)),"NO CURRENT DATA",IF(F333&gt;0,"RISEN",IF(F333&lt;0,"FALLEN","UNCHANGED")))</f>
        <v>FALLEN</v>
      </c>
      <c r="I333" s="3" t="s">
        <v>1480</v>
      </c>
      <c r="J333" s="3" t="n">
        <v>0</v>
      </c>
    </row>
    <row r="334" customFormat="false" ht="15" hidden="false" customHeight="false" outlineLevel="0" collapsed="false">
      <c r="A334" s="3" t="s">
        <v>728</v>
      </c>
      <c r="B334" s="3" t="s">
        <v>554</v>
      </c>
      <c r="C334" s="4" t="n">
        <v>1407.5</v>
      </c>
      <c r="D334" s="4" t="n">
        <v>1237.2</v>
      </c>
      <c r="E334" s="3" t="s">
        <v>1479</v>
      </c>
      <c r="F334" s="4" t="n">
        <f aca="false">IF(AND(ISNUMBER(C334),ISNUMBER(D334)),D334-C334,"N/A")</f>
        <v>-170.3</v>
      </c>
      <c r="G334" s="6" t="n">
        <f aca="false">IF(ISNUMBER(F334),F334/C334*100,"N/A")</f>
        <v>-12.0994671403197</v>
      </c>
      <c r="H334" s="3" t="str">
        <f aca="false">IF(NOT(ISNUMBER(F334)),"NO CURRENT DATA",IF(F334&gt;0,"RISEN",IF(F334&lt;0,"FALLEN","UNCHANGED")))</f>
        <v>FALLEN</v>
      </c>
      <c r="I334" s="3" t="s">
        <v>1480</v>
      </c>
      <c r="J334" s="3" t="n">
        <v>2</v>
      </c>
    </row>
    <row r="335" customFormat="false" ht="15" hidden="false" customHeight="false" outlineLevel="0" collapsed="false">
      <c r="A335" s="3" t="s">
        <v>744</v>
      </c>
      <c r="B335" s="3" t="s">
        <v>612</v>
      </c>
      <c r="C335" s="4" t="n">
        <v>3934.9</v>
      </c>
      <c r="D335" s="4" t="n">
        <v>3803.5</v>
      </c>
      <c r="E335" s="3" t="s">
        <v>1479</v>
      </c>
      <c r="F335" s="4" t="n">
        <f aca="false">IF(AND(ISNUMBER(C335),ISNUMBER(D335)),D335-C335,"N/A")</f>
        <v>-131.4</v>
      </c>
      <c r="G335" s="6" t="n">
        <f aca="false">IF(ISNUMBER(F335),F335/C335*100,"N/A")</f>
        <v>-3.33934788685863</v>
      </c>
      <c r="H335" s="3" t="str">
        <f aca="false">IF(NOT(ISNUMBER(F335)),"NO CURRENT DATA",IF(F335&gt;0,"RISEN",IF(F335&lt;0,"FALLEN","UNCHANGED")))</f>
        <v>FALLEN</v>
      </c>
      <c r="I335" s="3" t="s">
        <v>1480</v>
      </c>
      <c r="J335" s="3" t="n">
        <v>1</v>
      </c>
    </row>
    <row r="336" customFormat="false" ht="15" hidden="false" customHeight="false" outlineLevel="0" collapsed="false">
      <c r="A336" s="3" t="s">
        <v>744</v>
      </c>
      <c r="B336" s="3" t="s">
        <v>554</v>
      </c>
      <c r="C336" s="4" t="n">
        <v>1417.6</v>
      </c>
      <c r="D336" s="4" t="n">
        <v>1237.2</v>
      </c>
      <c r="E336" s="3" t="s">
        <v>1479</v>
      </c>
      <c r="F336" s="4" t="n">
        <f aca="false">IF(AND(ISNUMBER(C336),ISNUMBER(D336)),D336-C336,"N/A")</f>
        <v>-180.4</v>
      </c>
      <c r="G336" s="6" t="n">
        <f aca="false">IF(ISNUMBER(F336),F336/C336*100,"N/A")</f>
        <v>-12.7257336343115</v>
      </c>
      <c r="H336" s="3" t="str">
        <f aca="false">IF(NOT(ISNUMBER(F336)),"NO CURRENT DATA",IF(F336&gt;0,"RISEN",IF(F336&lt;0,"FALLEN","UNCHANGED")))</f>
        <v>FALLEN</v>
      </c>
      <c r="I336" s="3" t="s">
        <v>1480</v>
      </c>
      <c r="J336" s="3" t="n">
        <v>2</v>
      </c>
    </row>
    <row r="337" customFormat="false" ht="15" hidden="false" customHeight="false" outlineLevel="0" collapsed="false">
      <c r="A337" s="3" t="s">
        <v>747</v>
      </c>
      <c r="B337" s="3" t="s">
        <v>585</v>
      </c>
      <c r="C337" s="4" t="n">
        <v>7152.5</v>
      </c>
      <c r="D337" s="4" t="n">
        <v>8860</v>
      </c>
      <c r="E337" s="3" t="s">
        <v>1479</v>
      </c>
      <c r="F337" s="4" t="n">
        <f aca="false">IF(AND(ISNUMBER(C337),ISNUMBER(D337)),D337-C337,"N/A")</f>
        <v>1707.5</v>
      </c>
      <c r="G337" s="6" t="n">
        <f aca="false">IF(ISNUMBER(F337),F337/C337*100,"N/A")</f>
        <v>23.8727717581265</v>
      </c>
      <c r="H337" s="3" t="str">
        <f aca="false">IF(NOT(ISNUMBER(F337)),"NO CURRENT DATA",IF(F337&gt;0,"RISEN",IF(F337&lt;0,"FALLEN","UNCHANGED")))</f>
        <v>RISEN</v>
      </c>
      <c r="I337" s="3" t="s">
        <v>1480</v>
      </c>
      <c r="J337" s="3" t="n">
        <v>1</v>
      </c>
    </row>
    <row r="338" customFormat="false" ht="15" hidden="false" customHeight="false" outlineLevel="0" collapsed="false">
      <c r="A338" s="3" t="s">
        <v>747</v>
      </c>
      <c r="B338" s="3" t="s">
        <v>554</v>
      </c>
      <c r="C338" s="4" t="n">
        <v>1429</v>
      </c>
      <c r="D338" s="4" t="n">
        <v>1237.2</v>
      </c>
      <c r="E338" s="3" t="s">
        <v>1479</v>
      </c>
      <c r="F338" s="4" t="n">
        <f aca="false">IF(AND(ISNUMBER(C338),ISNUMBER(D338)),D338-C338,"N/A")</f>
        <v>-191.8</v>
      </c>
      <c r="G338" s="6" t="n">
        <f aca="false">IF(ISNUMBER(F338),F338/C338*100,"N/A")</f>
        <v>-13.4219734079776</v>
      </c>
      <c r="H338" s="3" t="str">
        <f aca="false">IF(NOT(ISNUMBER(F338)),"NO CURRENT DATA",IF(F338&gt;0,"RISEN",IF(F338&lt;0,"FALLEN","UNCHANGED")))</f>
        <v>FALLEN</v>
      </c>
      <c r="I338" s="3" t="s">
        <v>1480</v>
      </c>
      <c r="J338" s="3" t="n">
        <v>2</v>
      </c>
    </row>
    <row r="339" customFormat="false" ht="15" hidden="false" customHeight="false" outlineLevel="0" collapsed="false">
      <c r="A339" s="3" t="s">
        <v>750</v>
      </c>
      <c r="B339" s="3" t="s">
        <v>333</v>
      </c>
      <c r="C339" s="4" t="n">
        <v>5750.5</v>
      </c>
      <c r="D339" s="4" t="n">
        <v>5175</v>
      </c>
      <c r="E339" s="3" t="s">
        <v>1479</v>
      </c>
      <c r="F339" s="4" t="n">
        <f aca="false">IF(AND(ISNUMBER(C339),ISNUMBER(D339)),D339-C339,"N/A")</f>
        <v>-575.5</v>
      </c>
      <c r="G339" s="6" t="n">
        <f aca="false">IF(ISNUMBER(F339),F339/C339*100,"N/A")</f>
        <v>-10.0078254064864</v>
      </c>
      <c r="H339" s="3" t="str">
        <f aca="false">IF(NOT(ISNUMBER(F339)),"NO CURRENT DATA",IF(F339&gt;0,"RISEN",IF(F339&lt;0,"FALLEN","UNCHANGED")))</f>
        <v>FALLEN</v>
      </c>
      <c r="I339" s="3" t="s">
        <v>1480</v>
      </c>
      <c r="J339" s="3" t="n">
        <v>3</v>
      </c>
    </row>
    <row r="340" customFormat="false" ht="15" hidden="false" customHeight="false" outlineLevel="0" collapsed="false">
      <c r="A340" s="3" t="s">
        <v>750</v>
      </c>
      <c r="B340" s="3" t="s">
        <v>516</v>
      </c>
      <c r="C340" s="4" t="n">
        <v>1937</v>
      </c>
      <c r="D340" s="4" t="n">
        <v>1575.4</v>
      </c>
      <c r="E340" s="3" t="s">
        <v>1479</v>
      </c>
      <c r="F340" s="4" t="n">
        <f aca="false">IF(AND(ISNUMBER(C340),ISNUMBER(D340)),D340-C340,"N/A")</f>
        <v>-361.6</v>
      </c>
      <c r="G340" s="6" t="n">
        <f aca="false">IF(ISNUMBER(F340),F340/C340*100,"N/A")</f>
        <v>-18.6680433660299</v>
      </c>
      <c r="H340" s="3" t="str">
        <f aca="false">IF(NOT(ISNUMBER(F340)),"NO CURRENT DATA",IF(F340&gt;0,"RISEN",IF(F340&lt;0,"FALLEN","UNCHANGED")))</f>
        <v>FALLEN</v>
      </c>
      <c r="I340" s="3" t="s">
        <v>1480</v>
      </c>
      <c r="J340" s="3" t="n">
        <v>2</v>
      </c>
    </row>
    <row r="341" customFormat="false" ht="15" hidden="false" customHeight="false" outlineLevel="0" collapsed="false">
      <c r="A341" s="3" t="s">
        <v>750</v>
      </c>
      <c r="B341" s="3" t="s">
        <v>260</v>
      </c>
      <c r="C341" s="4" t="n">
        <v>97.98</v>
      </c>
      <c r="D341" s="4" t="n">
        <v>94.75</v>
      </c>
      <c r="E341" s="3" t="s">
        <v>1479</v>
      </c>
      <c r="F341" s="4" t="n">
        <f aca="false">IF(AND(ISNUMBER(C341),ISNUMBER(D341)),D341-C341,"N/A")</f>
        <v>-3.23</v>
      </c>
      <c r="G341" s="6" t="n">
        <f aca="false">IF(ISNUMBER(F341),F341/C341*100,"N/A")</f>
        <v>-3.2965911410492</v>
      </c>
      <c r="H341" s="3" t="str">
        <f aca="false">IF(NOT(ISNUMBER(F341)),"NO CURRENT DATA",IF(F341&gt;0,"RISEN",IF(F341&lt;0,"FALLEN","UNCHANGED")))</f>
        <v>FALLEN</v>
      </c>
      <c r="I341" s="3" t="s">
        <v>1480</v>
      </c>
      <c r="J341" s="3" t="n">
        <v>4</v>
      </c>
    </row>
    <row r="342" customFormat="false" ht="15" hidden="false" customHeight="false" outlineLevel="0" collapsed="false">
      <c r="A342" s="3" t="s">
        <v>750</v>
      </c>
      <c r="B342" s="3" t="s">
        <v>399</v>
      </c>
      <c r="C342" s="4" t="n">
        <v>707.9</v>
      </c>
      <c r="D342" s="4" t="n">
        <v>531.6</v>
      </c>
      <c r="E342" s="3" t="s">
        <v>1479</v>
      </c>
      <c r="F342" s="4" t="n">
        <f aca="false">IF(AND(ISNUMBER(C342),ISNUMBER(D342)),D342-C342,"N/A")</f>
        <v>-176.3</v>
      </c>
      <c r="G342" s="6" t="n">
        <f aca="false">IF(ISNUMBER(F342),F342/C342*100,"N/A")</f>
        <v>-24.9046475490889</v>
      </c>
      <c r="H342" s="3" t="str">
        <f aca="false">IF(NOT(ISNUMBER(F342)),"NO CURRENT DATA",IF(F342&gt;0,"RISEN",IF(F342&lt;0,"FALLEN","UNCHANGED")))</f>
        <v>FALLEN</v>
      </c>
      <c r="I342" s="3" t="s">
        <v>1480</v>
      </c>
      <c r="J342" s="3" t="n">
        <v>3</v>
      </c>
    </row>
    <row r="343" customFormat="false" ht="15" hidden="false" customHeight="false" outlineLevel="0" collapsed="false">
      <c r="A343" s="3" t="s">
        <v>750</v>
      </c>
      <c r="B343" s="3" t="s">
        <v>509</v>
      </c>
      <c r="C343" s="4" t="n">
        <v>927.9</v>
      </c>
      <c r="D343" s="4" t="n">
        <v>909.7</v>
      </c>
      <c r="E343" s="3" t="s">
        <v>1479</v>
      </c>
      <c r="F343" s="4" t="n">
        <f aca="false">IF(AND(ISNUMBER(C343),ISNUMBER(D343)),D343-C343,"N/A")</f>
        <v>-18.1999999999999</v>
      </c>
      <c r="G343" s="6" t="n">
        <f aca="false">IF(ISNUMBER(F343),F343/C343*100,"N/A")</f>
        <v>-1.96141825627761</v>
      </c>
      <c r="H343" s="3" t="str">
        <f aca="false">IF(NOT(ISNUMBER(F343)),"NO CURRENT DATA",IF(F343&gt;0,"RISEN",IF(F343&lt;0,"FALLEN","UNCHANGED")))</f>
        <v>FALLEN</v>
      </c>
      <c r="I343" s="3" t="s">
        <v>1480</v>
      </c>
      <c r="J343" s="3" t="n">
        <v>1</v>
      </c>
    </row>
    <row r="344" customFormat="false" ht="15" hidden="false" customHeight="false" outlineLevel="0" collapsed="false">
      <c r="A344" s="3" t="s">
        <v>750</v>
      </c>
      <c r="B344" s="3" t="s">
        <v>403</v>
      </c>
      <c r="C344" s="4" t="n">
        <v>523.65</v>
      </c>
      <c r="D344" s="4" t="n">
        <v>564.15</v>
      </c>
      <c r="E344" s="3" t="s">
        <v>1479</v>
      </c>
      <c r="F344" s="4" t="n">
        <f aca="false">IF(AND(ISNUMBER(C344),ISNUMBER(D344)),D344-C344,"N/A")</f>
        <v>40.5</v>
      </c>
      <c r="G344" s="6" t="n">
        <f aca="false">IF(ISNUMBER(F344),F344/C344*100,"N/A")</f>
        <v>7.73417358922945</v>
      </c>
      <c r="H344" s="3" t="str">
        <f aca="false">IF(NOT(ISNUMBER(F344)),"NO CURRENT DATA",IF(F344&gt;0,"RISEN",IF(F344&lt;0,"FALLEN","UNCHANGED")))</f>
        <v>RISEN</v>
      </c>
      <c r="I344" s="3" t="s">
        <v>1480</v>
      </c>
      <c r="J344" s="3" t="n">
        <v>1</v>
      </c>
    </row>
    <row r="345" customFormat="false" ht="15" hidden="false" customHeight="false" outlineLevel="0" collapsed="false">
      <c r="A345" s="3" t="s">
        <v>750</v>
      </c>
      <c r="B345" s="3" t="s">
        <v>80</v>
      </c>
      <c r="C345" s="4" t="n">
        <v>1753.2</v>
      </c>
      <c r="D345" s="4" t="n">
        <v>1444</v>
      </c>
      <c r="E345" s="3" t="s">
        <v>1479</v>
      </c>
      <c r="F345" s="4" t="n">
        <f aca="false">IF(AND(ISNUMBER(C345),ISNUMBER(D345)),D345-C345,"N/A")</f>
        <v>-309.2</v>
      </c>
      <c r="G345" s="6" t="n">
        <f aca="false">IF(ISNUMBER(F345),F345/C345*100,"N/A")</f>
        <v>-17.636322153776</v>
      </c>
      <c r="H345" s="3" t="str">
        <f aca="false">IF(NOT(ISNUMBER(F345)),"NO CURRENT DATA",IF(F345&gt;0,"RISEN",IF(F345&lt;0,"FALLEN","UNCHANGED")))</f>
        <v>FALLEN</v>
      </c>
      <c r="I345" s="3" t="s">
        <v>1480</v>
      </c>
      <c r="J345" s="3" t="n">
        <v>3</v>
      </c>
    </row>
    <row r="346" customFormat="false" ht="15" hidden="false" customHeight="false" outlineLevel="0" collapsed="false">
      <c r="A346" s="3" t="s">
        <v>750</v>
      </c>
      <c r="B346" s="3" t="s">
        <v>148</v>
      </c>
      <c r="C346" s="4" t="n">
        <v>3997.2</v>
      </c>
      <c r="D346" s="4" t="n">
        <v>4869</v>
      </c>
      <c r="E346" s="3" t="s">
        <v>1479</v>
      </c>
      <c r="F346" s="4" t="n">
        <f aca="false">IF(AND(ISNUMBER(C346),ISNUMBER(D346)),D346-C346,"N/A")</f>
        <v>871.8</v>
      </c>
      <c r="G346" s="6" t="n">
        <f aca="false">IF(ISNUMBER(F346),F346/C346*100,"N/A")</f>
        <v>21.8102671870309</v>
      </c>
      <c r="H346" s="3" t="str">
        <f aca="false">IF(NOT(ISNUMBER(F346)),"NO CURRENT DATA",IF(F346&gt;0,"RISEN",IF(F346&lt;0,"FALLEN","UNCHANGED")))</f>
        <v>RISEN</v>
      </c>
      <c r="I346" s="3" t="s">
        <v>1480</v>
      </c>
      <c r="J346" s="3" t="n">
        <v>3</v>
      </c>
    </row>
    <row r="347" customFormat="false" ht="15" hidden="false" customHeight="false" outlineLevel="0" collapsed="false">
      <c r="A347" s="3" t="s">
        <v>750</v>
      </c>
      <c r="B347" s="3" t="s">
        <v>156</v>
      </c>
      <c r="C347" s="4" t="n">
        <v>1204</v>
      </c>
      <c r="D347" s="4" t="n">
        <v>1173</v>
      </c>
      <c r="E347" s="3" t="s">
        <v>1479</v>
      </c>
      <c r="F347" s="4" t="n">
        <f aca="false">IF(AND(ISNUMBER(C347),ISNUMBER(D347)),D347-C347,"N/A")</f>
        <v>-31</v>
      </c>
      <c r="G347" s="6" t="n">
        <f aca="false">IF(ISNUMBER(F347),F347/C347*100,"N/A")</f>
        <v>-2.57475083056478</v>
      </c>
      <c r="H347" s="3" t="str">
        <f aca="false">IF(NOT(ISNUMBER(F347)),"NO CURRENT DATA",IF(F347&gt;0,"RISEN",IF(F347&lt;0,"FALLEN","UNCHANGED")))</f>
        <v>FALLEN</v>
      </c>
      <c r="I347" s="3" t="s">
        <v>1480</v>
      </c>
      <c r="J347" s="3" t="n">
        <v>3</v>
      </c>
    </row>
    <row r="348" customFormat="false" ht="15" hidden="false" customHeight="false" outlineLevel="0" collapsed="false">
      <c r="A348" s="3" t="s">
        <v>760</v>
      </c>
      <c r="B348" s="3" t="s">
        <v>96</v>
      </c>
      <c r="C348" s="4" t="n">
        <v>435.95</v>
      </c>
      <c r="D348" s="4" t="n">
        <v>407.5</v>
      </c>
      <c r="E348" s="3" t="s">
        <v>1479</v>
      </c>
      <c r="F348" s="4" t="n">
        <f aca="false">IF(AND(ISNUMBER(C348),ISNUMBER(D348)),D348-C348,"N/A")</f>
        <v>-28.45</v>
      </c>
      <c r="G348" s="6" t="n">
        <f aca="false">IF(ISNUMBER(F348),F348/C348*100,"N/A")</f>
        <v>-6.52597774974194</v>
      </c>
      <c r="H348" s="3" t="str">
        <f aca="false">IF(NOT(ISNUMBER(F348)),"NO CURRENT DATA",IF(F348&gt;0,"RISEN",IF(F348&lt;0,"FALLEN","UNCHANGED")))</f>
        <v>FALLEN</v>
      </c>
      <c r="I348" s="3" t="s">
        <v>1480</v>
      </c>
      <c r="J348" s="3" t="n">
        <v>5</v>
      </c>
    </row>
    <row r="349" customFormat="false" ht="15" hidden="false" customHeight="false" outlineLevel="0" collapsed="false">
      <c r="A349" s="3" t="s">
        <v>760</v>
      </c>
      <c r="B349" s="3" t="s">
        <v>762</v>
      </c>
      <c r="C349" s="4" t="n">
        <v>1021.5</v>
      </c>
      <c r="D349" s="4" t="n">
        <v>1000.1</v>
      </c>
      <c r="E349" s="3" t="s">
        <v>1479</v>
      </c>
      <c r="F349" s="4" t="n">
        <f aca="false">IF(AND(ISNUMBER(C349),ISNUMBER(D349)),D349-C349,"N/A")</f>
        <v>-21.4</v>
      </c>
      <c r="G349" s="6" t="n">
        <f aca="false">IF(ISNUMBER(F349),F349/C349*100,"N/A")</f>
        <v>-2.09495839451786</v>
      </c>
      <c r="H349" s="3" t="str">
        <f aca="false">IF(NOT(ISNUMBER(F349)),"NO CURRENT DATA",IF(F349&gt;0,"RISEN",IF(F349&lt;0,"FALLEN","UNCHANGED")))</f>
        <v>FALLEN</v>
      </c>
      <c r="I349" s="3" t="s">
        <v>1480</v>
      </c>
      <c r="J349" s="3" t="n">
        <v>0</v>
      </c>
    </row>
    <row r="350" customFormat="false" ht="15" hidden="false" customHeight="false" outlineLevel="0" collapsed="false">
      <c r="A350" s="3" t="s">
        <v>760</v>
      </c>
      <c r="B350" s="3" t="s">
        <v>765</v>
      </c>
      <c r="C350" s="4" t="n">
        <v>280.69</v>
      </c>
      <c r="D350" s="4" t="n">
        <v>325.5</v>
      </c>
      <c r="E350" s="3" t="s">
        <v>1479</v>
      </c>
      <c r="F350" s="4" t="n">
        <f aca="false">IF(AND(ISNUMBER(C350),ISNUMBER(D350)),D350-C350,"N/A")</f>
        <v>44.81</v>
      </c>
      <c r="G350" s="6" t="n">
        <f aca="false">IF(ISNUMBER(F350),F350/C350*100,"N/A")</f>
        <v>15.9642310021732</v>
      </c>
      <c r="H350" s="3" t="str">
        <f aca="false">IF(NOT(ISNUMBER(F350)),"NO CURRENT DATA",IF(F350&gt;0,"RISEN",IF(F350&lt;0,"FALLEN","UNCHANGED")))</f>
        <v>RISEN</v>
      </c>
      <c r="I350" s="3" t="s">
        <v>1480</v>
      </c>
      <c r="J350" s="3" t="n">
        <v>0</v>
      </c>
    </row>
    <row r="351" customFormat="false" ht="15" hidden="false" customHeight="false" outlineLevel="0" collapsed="false">
      <c r="A351" s="3" t="s">
        <v>760</v>
      </c>
      <c r="B351" s="3" t="s">
        <v>768</v>
      </c>
      <c r="C351" s="4" t="n">
        <v>163.42</v>
      </c>
      <c r="D351" s="4" t="n">
        <v>206.59</v>
      </c>
      <c r="E351" s="3" t="s">
        <v>1479</v>
      </c>
      <c r="F351" s="4" t="n">
        <f aca="false">IF(AND(ISNUMBER(C351),ISNUMBER(D351)),D351-C351,"N/A")</f>
        <v>43.17</v>
      </c>
      <c r="G351" s="6" t="n">
        <f aca="false">IF(ISNUMBER(F351),F351/C351*100,"N/A")</f>
        <v>26.416595275976</v>
      </c>
      <c r="H351" s="3" t="str">
        <f aca="false">IF(NOT(ISNUMBER(F351)),"NO CURRENT DATA",IF(F351&gt;0,"RISEN",IF(F351&lt;0,"FALLEN","UNCHANGED")))</f>
        <v>RISEN</v>
      </c>
      <c r="I351" s="3" t="s">
        <v>1480</v>
      </c>
      <c r="J351" s="3" t="n">
        <v>0</v>
      </c>
    </row>
    <row r="352" customFormat="false" ht="15" hidden="false" customHeight="false" outlineLevel="0" collapsed="false">
      <c r="A352" s="3" t="s">
        <v>771</v>
      </c>
      <c r="B352" s="3" t="s">
        <v>328</v>
      </c>
      <c r="C352" s="4" t="n">
        <v>6019</v>
      </c>
      <c r="D352" s="4" t="n">
        <v>4915</v>
      </c>
      <c r="E352" s="3" t="s">
        <v>1479</v>
      </c>
      <c r="F352" s="4" t="n">
        <f aca="false">IF(AND(ISNUMBER(C352),ISNUMBER(D352)),D352-C352,"N/A")</f>
        <v>-1104</v>
      </c>
      <c r="G352" s="6" t="n">
        <f aca="false">IF(ISNUMBER(F352),F352/C352*100,"N/A")</f>
        <v>-18.3419172620037</v>
      </c>
      <c r="H352" s="3" t="str">
        <f aca="false">IF(NOT(ISNUMBER(F352)),"NO CURRENT DATA",IF(F352&gt;0,"RISEN",IF(F352&lt;0,"FALLEN","UNCHANGED")))</f>
        <v>FALLEN</v>
      </c>
      <c r="I352" s="3" t="s">
        <v>1480</v>
      </c>
      <c r="J352" s="3" t="n">
        <v>3</v>
      </c>
    </row>
    <row r="353" customFormat="false" ht="15" hidden="false" customHeight="false" outlineLevel="0" collapsed="false">
      <c r="A353" s="3" t="s">
        <v>771</v>
      </c>
      <c r="B353" s="3" t="s">
        <v>195</v>
      </c>
      <c r="C353" s="4" t="n">
        <v>290.5</v>
      </c>
      <c r="D353" s="4" t="n">
        <v>325</v>
      </c>
      <c r="E353" s="3" t="s">
        <v>1479</v>
      </c>
      <c r="F353" s="4" t="n">
        <f aca="false">IF(AND(ISNUMBER(C353),ISNUMBER(D353)),D353-C353,"N/A")</f>
        <v>34.5</v>
      </c>
      <c r="G353" s="6" t="n">
        <f aca="false">IF(ISNUMBER(F353),F353/C353*100,"N/A")</f>
        <v>11.8760757314974</v>
      </c>
      <c r="H353" s="3" t="str">
        <f aca="false">IF(NOT(ISNUMBER(F353)),"NO CURRENT DATA",IF(F353&gt;0,"RISEN",IF(F353&lt;0,"FALLEN","UNCHANGED")))</f>
        <v>RISEN</v>
      </c>
      <c r="I353" s="3" t="s">
        <v>1480</v>
      </c>
      <c r="J353" s="3" t="n">
        <v>2</v>
      </c>
    </row>
    <row r="354" customFormat="false" ht="15" hidden="false" customHeight="false" outlineLevel="0" collapsed="false">
      <c r="A354" s="3" t="s">
        <v>771</v>
      </c>
      <c r="B354" s="3" t="s">
        <v>605</v>
      </c>
      <c r="C354" s="4" t="n">
        <v>467.05</v>
      </c>
      <c r="D354" s="4" t="n">
        <v>360</v>
      </c>
      <c r="E354" s="3" t="s">
        <v>1479</v>
      </c>
      <c r="F354" s="4" t="n">
        <f aca="false">IF(AND(ISNUMBER(C354),ISNUMBER(D354)),D354-C354,"N/A")</f>
        <v>-107.05</v>
      </c>
      <c r="G354" s="6" t="n">
        <f aca="false">IF(ISNUMBER(F354),F354/C354*100,"N/A")</f>
        <v>-22.9204581950541</v>
      </c>
      <c r="H354" s="3" t="str">
        <f aca="false">IF(NOT(ISNUMBER(F354)),"NO CURRENT DATA",IF(F354&gt;0,"RISEN",IF(F354&lt;0,"FALLEN","UNCHANGED")))</f>
        <v>FALLEN</v>
      </c>
      <c r="I354" s="3" t="s">
        <v>1480</v>
      </c>
      <c r="J354" s="3" t="n">
        <v>2</v>
      </c>
    </row>
    <row r="355" customFormat="false" ht="15" hidden="false" customHeight="false" outlineLevel="0" collapsed="false">
      <c r="A355" s="3" t="s">
        <v>771</v>
      </c>
      <c r="B355" s="3" t="s">
        <v>300</v>
      </c>
      <c r="C355" s="4" t="n">
        <v>1182.9</v>
      </c>
      <c r="D355" s="4" t="n">
        <v>962</v>
      </c>
      <c r="E355" s="3" t="s">
        <v>1479</v>
      </c>
      <c r="F355" s="4" t="n">
        <f aca="false">IF(AND(ISNUMBER(C355),ISNUMBER(D355)),D355-C355,"N/A")</f>
        <v>-220.9</v>
      </c>
      <c r="G355" s="6" t="n">
        <f aca="false">IF(ISNUMBER(F355),F355/C355*100,"N/A")</f>
        <v>-18.6744441626511</v>
      </c>
      <c r="H355" s="3" t="str">
        <f aca="false">IF(NOT(ISNUMBER(F355)),"NO CURRENT DATA",IF(F355&gt;0,"RISEN",IF(F355&lt;0,"FALLEN","UNCHANGED")))</f>
        <v>FALLEN</v>
      </c>
      <c r="I355" s="3" t="s">
        <v>1480</v>
      </c>
      <c r="J355" s="3" t="n">
        <v>3</v>
      </c>
    </row>
    <row r="356" customFormat="false" ht="15" hidden="false" customHeight="false" outlineLevel="0" collapsed="false">
      <c r="A356" s="3" t="s">
        <v>771</v>
      </c>
      <c r="B356" s="3" t="s">
        <v>372</v>
      </c>
      <c r="C356" s="4" t="n">
        <v>455.1</v>
      </c>
      <c r="D356" s="4" t="n">
        <v>376</v>
      </c>
      <c r="E356" s="3" t="s">
        <v>1479</v>
      </c>
      <c r="F356" s="4" t="n">
        <f aca="false">IF(AND(ISNUMBER(C356),ISNUMBER(D356)),D356-C356,"N/A")</f>
        <v>-79.1</v>
      </c>
      <c r="G356" s="6" t="n">
        <f aca="false">IF(ISNUMBER(F356),F356/C356*100,"N/A")</f>
        <v>-17.3807954295759</v>
      </c>
      <c r="H356" s="3" t="str">
        <f aca="false">IF(NOT(ISNUMBER(F356)),"NO CURRENT DATA",IF(F356&gt;0,"RISEN",IF(F356&lt;0,"FALLEN","UNCHANGED")))</f>
        <v>FALLEN</v>
      </c>
      <c r="I356" s="3" t="s">
        <v>1480</v>
      </c>
      <c r="J356" s="3" t="n">
        <v>2</v>
      </c>
    </row>
    <row r="357" customFormat="false" ht="15" hidden="false" customHeight="false" outlineLevel="0" collapsed="false">
      <c r="A357" s="3" t="s">
        <v>777</v>
      </c>
      <c r="B357" s="3" t="s">
        <v>516</v>
      </c>
      <c r="C357" s="4" t="n">
        <v>1974</v>
      </c>
      <c r="D357" s="4" t="n">
        <v>1575.4</v>
      </c>
      <c r="E357" s="3" t="s">
        <v>1479</v>
      </c>
      <c r="F357" s="4" t="n">
        <f aca="false">IF(AND(ISNUMBER(C357),ISNUMBER(D357)),D357-C357,"N/A")</f>
        <v>-398.6</v>
      </c>
      <c r="G357" s="6" t="n">
        <f aca="false">IF(ISNUMBER(F357),F357/C357*100,"N/A")</f>
        <v>-20.1925025329281</v>
      </c>
      <c r="H357" s="3" t="str">
        <f aca="false">IF(NOT(ISNUMBER(F357)),"NO CURRENT DATA",IF(F357&gt;0,"RISEN",IF(F357&lt;0,"FALLEN","UNCHANGED")))</f>
        <v>FALLEN</v>
      </c>
      <c r="I357" s="3" t="s">
        <v>1480</v>
      </c>
      <c r="J357" s="3" t="n">
        <v>3</v>
      </c>
    </row>
    <row r="358" customFormat="false" ht="15" hidden="false" customHeight="false" outlineLevel="0" collapsed="false">
      <c r="A358" s="3" t="s">
        <v>777</v>
      </c>
      <c r="B358" s="3" t="s">
        <v>300</v>
      </c>
      <c r="C358" s="4" t="n">
        <v>1192.4</v>
      </c>
      <c r="D358" s="4" t="n">
        <v>962</v>
      </c>
      <c r="E358" s="3" t="s">
        <v>1479</v>
      </c>
      <c r="F358" s="4" t="n">
        <f aca="false">IF(AND(ISNUMBER(C358),ISNUMBER(D358)),D358-C358,"N/A")</f>
        <v>-230.4</v>
      </c>
      <c r="G358" s="6" t="n">
        <f aca="false">IF(ISNUMBER(F358),F358/C358*100,"N/A")</f>
        <v>-19.3223750419322</v>
      </c>
      <c r="H358" s="3" t="str">
        <f aca="false">IF(NOT(ISNUMBER(F358)),"NO CURRENT DATA",IF(F358&gt;0,"RISEN",IF(F358&lt;0,"FALLEN","UNCHANGED")))</f>
        <v>FALLEN</v>
      </c>
      <c r="I358" s="3" t="s">
        <v>1480</v>
      </c>
      <c r="J358" s="3" t="n">
        <v>3</v>
      </c>
    </row>
    <row r="359" customFormat="false" ht="15" hidden="false" customHeight="false" outlineLevel="0" collapsed="false">
      <c r="A359" s="3" t="s">
        <v>780</v>
      </c>
      <c r="B359" s="3" t="s">
        <v>80</v>
      </c>
      <c r="C359" s="4" t="n">
        <v>1824.9</v>
      </c>
      <c r="D359" s="4" t="n">
        <v>1444</v>
      </c>
      <c r="E359" s="3" t="s">
        <v>1479</v>
      </c>
      <c r="F359" s="4" t="n">
        <f aca="false">IF(AND(ISNUMBER(C359),ISNUMBER(D359)),D359-C359,"N/A")</f>
        <v>-380.9</v>
      </c>
      <c r="G359" s="6" t="n">
        <f aca="false">IF(ISNUMBER(F359),F359/C359*100,"N/A")</f>
        <v>-20.8723765685791</v>
      </c>
      <c r="H359" s="3" t="str">
        <f aca="false">IF(NOT(ISNUMBER(F359)),"NO CURRENT DATA",IF(F359&gt;0,"RISEN",IF(F359&lt;0,"FALLEN","UNCHANGED")))</f>
        <v>FALLEN</v>
      </c>
      <c r="I359" s="3" t="s">
        <v>1480</v>
      </c>
      <c r="J359" s="3" t="n">
        <v>4</v>
      </c>
    </row>
    <row r="360" customFormat="false" ht="15" hidden="false" customHeight="false" outlineLevel="0" collapsed="false">
      <c r="A360" s="3" t="s">
        <v>780</v>
      </c>
      <c r="B360" s="3" t="s">
        <v>300</v>
      </c>
      <c r="C360" s="4" t="n">
        <v>1198.6</v>
      </c>
      <c r="D360" s="4" t="n">
        <v>962</v>
      </c>
      <c r="E360" s="3" t="s">
        <v>1479</v>
      </c>
      <c r="F360" s="4" t="n">
        <f aca="false">IF(AND(ISNUMBER(C360),ISNUMBER(D360)),D360-C360,"N/A")</f>
        <v>-236.6</v>
      </c>
      <c r="G360" s="6" t="n">
        <f aca="false">IF(ISNUMBER(F360),F360/C360*100,"N/A")</f>
        <v>-19.7396963123644</v>
      </c>
      <c r="H360" s="3" t="str">
        <f aca="false">IF(NOT(ISNUMBER(F360)),"NO CURRENT DATA",IF(F360&gt;0,"RISEN",IF(F360&lt;0,"FALLEN","UNCHANGED")))</f>
        <v>FALLEN</v>
      </c>
      <c r="I360" s="3" t="s">
        <v>1480</v>
      </c>
      <c r="J360" s="3" t="n">
        <v>3</v>
      </c>
    </row>
    <row r="361" customFormat="false" ht="15" hidden="false" customHeight="false" outlineLevel="0" collapsed="false">
      <c r="A361" s="3" t="s">
        <v>783</v>
      </c>
      <c r="B361" s="3" t="s">
        <v>182</v>
      </c>
      <c r="C361" s="4" t="n">
        <v>1639.8</v>
      </c>
      <c r="D361" s="4" t="n">
        <v>1370.5</v>
      </c>
      <c r="E361" s="3" t="s">
        <v>1479</v>
      </c>
      <c r="F361" s="4" t="n">
        <f aca="false">IF(AND(ISNUMBER(C361),ISNUMBER(D361)),D361-C361,"N/A")</f>
        <v>-269.3</v>
      </c>
      <c r="G361" s="6" t="n">
        <f aca="false">IF(ISNUMBER(F361),F361/C361*100,"N/A")</f>
        <v>-16.4227344798146</v>
      </c>
      <c r="H361" s="3" t="str">
        <f aca="false">IF(NOT(ISNUMBER(F361)),"NO CURRENT DATA",IF(F361&gt;0,"RISEN",IF(F361&lt;0,"FALLEN","UNCHANGED")))</f>
        <v>FALLEN</v>
      </c>
      <c r="I361" s="3" t="s">
        <v>1480</v>
      </c>
      <c r="J361" s="3" t="n">
        <v>2</v>
      </c>
    </row>
    <row r="362" customFormat="false" ht="15" hidden="false" customHeight="false" outlineLevel="0" collapsed="false">
      <c r="A362" s="3" t="s">
        <v>783</v>
      </c>
      <c r="B362" s="3" t="s">
        <v>284</v>
      </c>
      <c r="C362" s="4" t="n">
        <v>2030.5</v>
      </c>
      <c r="D362" s="4" t="n">
        <v>2325.7</v>
      </c>
      <c r="E362" s="3" t="s">
        <v>1479</v>
      </c>
      <c r="F362" s="4" t="n">
        <f aca="false">IF(AND(ISNUMBER(C362),ISNUMBER(D362)),D362-C362,"N/A")</f>
        <v>295.2</v>
      </c>
      <c r="G362" s="6" t="n">
        <f aca="false">IF(ISNUMBER(F362),F362/C362*100,"N/A")</f>
        <v>14.5382910613149</v>
      </c>
      <c r="H362" s="3" t="str">
        <f aca="false">IF(NOT(ISNUMBER(F362)),"NO CURRENT DATA",IF(F362&gt;0,"RISEN",IF(F362&lt;0,"FALLEN","UNCHANGED")))</f>
        <v>RISEN</v>
      </c>
      <c r="I362" s="3" t="s">
        <v>1480</v>
      </c>
      <c r="J362" s="3" t="n">
        <v>2</v>
      </c>
    </row>
    <row r="363" customFormat="false" ht="15" hidden="false" customHeight="false" outlineLevel="0" collapsed="false">
      <c r="A363" s="3" t="s">
        <v>786</v>
      </c>
      <c r="B363" s="3" t="s">
        <v>509</v>
      </c>
      <c r="C363" s="4" t="n">
        <v>943.8</v>
      </c>
      <c r="D363" s="4" t="n">
        <v>909.7</v>
      </c>
      <c r="E363" s="3" t="s">
        <v>1479</v>
      </c>
      <c r="F363" s="4" t="n">
        <f aca="false">IF(AND(ISNUMBER(C363),ISNUMBER(D363)),D363-C363,"N/A")</f>
        <v>-34.0999999999999</v>
      </c>
      <c r="G363" s="6" t="n">
        <f aca="false">IF(ISNUMBER(F363),F363/C363*100,"N/A")</f>
        <v>-3.6130536130536</v>
      </c>
      <c r="H363" s="3" t="str">
        <f aca="false">IF(NOT(ISNUMBER(F363)),"NO CURRENT DATA",IF(F363&gt;0,"RISEN",IF(F363&lt;0,"FALLEN","UNCHANGED")))</f>
        <v>FALLEN</v>
      </c>
      <c r="I363" s="3" t="s">
        <v>1480</v>
      </c>
      <c r="J363" s="3" t="n">
        <v>2</v>
      </c>
    </row>
    <row r="364" customFormat="false" ht="15" hidden="false" customHeight="false" outlineLevel="0" collapsed="false">
      <c r="A364" s="3" t="s">
        <v>788</v>
      </c>
      <c r="B364" s="3" t="s">
        <v>272</v>
      </c>
      <c r="C364" s="4" t="n">
        <v>375.45</v>
      </c>
      <c r="D364" s="4" t="n">
        <v>321.1</v>
      </c>
      <c r="E364" s="3" t="s">
        <v>1479</v>
      </c>
      <c r="F364" s="4" t="n">
        <f aca="false">IF(AND(ISNUMBER(C364),ISNUMBER(D364)),D364-C364,"N/A")</f>
        <v>-54.35</v>
      </c>
      <c r="G364" s="6" t="n">
        <f aca="false">IF(ISNUMBER(F364),F364/C364*100,"N/A")</f>
        <v>-14.4759621787189</v>
      </c>
      <c r="H364" s="3" t="str">
        <f aca="false">IF(NOT(ISNUMBER(F364)),"NO CURRENT DATA",IF(F364&gt;0,"RISEN",IF(F364&lt;0,"FALLEN","UNCHANGED")))</f>
        <v>FALLEN</v>
      </c>
      <c r="I364" s="3" t="s">
        <v>1480</v>
      </c>
      <c r="J364" s="3" t="n">
        <v>3</v>
      </c>
    </row>
    <row r="365" customFormat="false" ht="15" hidden="false" customHeight="false" outlineLevel="0" collapsed="false">
      <c r="A365" s="3" t="s">
        <v>790</v>
      </c>
      <c r="B365" s="3" t="s">
        <v>272</v>
      </c>
      <c r="C365" s="4" t="n">
        <v>382.75</v>
      </c>
      <c r="D365" s="4" t="n">
        <v>321.1</v>
      </c>
      <c r="E365" s="3" t="s">
        <v>1479</v>
      </c>
      <c r="F365" s="4" t="n">
        <f aca="false">IF(AND(ISNUMBER(C365),ISNUMBER(D365)),D365-C365,"N/A")</f>
        <v>-61.65</v>
      </c>
      <c r="G365" s="6" t="n">
        <f aca="false">IF(ISNUMBER(F365),F365/C365*100,"N/A")</f>
        <v>-16.1071195297191</v>
      </c>
      <c r="H365" s="3" t="str">
        <f aca="false">IF(NOT(ISNUMBER(F365)),"NO CURRENT DATA",IF(F365&gt;0,"RISEN",IF(F365&lt;0,"FALLEN","UNCHANGED")))</f>
        <v>FALLEN</v>
      </c>
      <c r="I365" s="3" t="s">
        <v>1480</v>
      </c>
      <c r="J365" s="3" t="n">
        <v>3</v>
      </c>
    </row>
    <row r="366" customFormat="false" ht="15" hidden="false" customHeight="false" outlineLevel="0" collapsed="false">
      <c r="A366" s="3" t="s">
        <v>792</v>
      </c>
      <c r="B366" s="3" t="s">
        <v>199</v>
      </c>
      <c r="C366" s="4" t="n">
        <v>395.85</v>
      </c>
      <c r="D366" s="4" t="n">
        <v>374.9</v>
      </c>
      <c r="E366" s="3" t="s">
        <v>1479</v>
      </c>
      <c r="F366" s="4" t="n">
        <f aca="false">IF(AND(ISNUMBER(C366),ISNUMBER(D366)),D366-C366,"N/A")</f>
        <v>-20.95</v>
      </c>
      <c r="G366" s="6" t="n">
        <f aca="false">IF(ISNUMBER(F366),F366/C366*100,"N/A")</f>
        <v>-5.29240874068461</v>
      </c>
      <c r="H366" s="3" t="str">
        <f aca="false">IF(NOT(ISNUMBER(F366)),"NO CURRENT DATA",IF(F366&gt;0,"RISEN",IF(F366&lt;0,"FALLEN","UNCHANGED")))</f>
        <v>FALLEN</v>
      </c>
      <c r="I366" s="3" t="s">
        <v>1480</v>
      </c>
      <c r="J366" s="3" t="n">
        <v>6</v>
      </c>
    </row>
    <row r="367" customFormat="false" ht="15" hidden="false" customHeight="false" outlineLevel="0" collapsed="false">
      <c r="A367" s="3" t="s">
        <v>792</v>
      </c>
      <c r="B367" s="3" t="s">
        <v>794</v>
      </c>
      <c r="C367" s="4" t="n">
        <v>2270.4</v>
      </c>
      <c r="D367" s="4" t="n">
        <v>1845.9</v>
      </c>
      <c r="E367" s="3" t="s">
        <v>1479</v>
      </c>
      <c r="F367" s="4" t="n">
        <f aca="false">IF(AND(ISNUMBER(C367),ISNUMBER(D367)),D367-C367,"N/A")</f>
        <v>-424.5</v>
      </c>
      <c r="G367" s="6" t="n">
        <f aca="false">IF(ISNUMBER(F367),F367/C367*100,"N/A")</f>
        <v>-18.6971458773784</v>
      </c>
      <c r="H367" s="3" t="str">
        <f aca="false">IF(NOT(ISNUMBER(F367)),"NO CURRENT DATA",IF(F367&gt;0,"RISEN",IF(F367&lt;0,"FALLEN","UNCHANGED")))</f>
        <v>FALLEN</v>
      </c>
      <c r="I367" s="3" t="s">
        <v>1480</v>
      </c>
      <c r="J367" s="3" t="n">
        <v>0</v>
      </c>
    </row>
    <row r="368" customFormat="false" ht="15" hidden="false" customHeight="false" outlineLevel="0" collapsed="false">
      <c r="A368" s="3" t="s">
        <v>792</v>
      </c>
      <c r="B368" s="3" t="s">
        <v>797</v>
      </c>
      <c r="C368" s="4" t="n">
        <v>337.35</v>
      </c>
      <c r="D368" s="4" t="n">
        <v>411.75</v>
      </c>
      <c r="E368" s="3" t="s">
        <v>1479</v>
      </c>
      <c r="F368" s="4" t="n">
        <f aca="false">IF(AND(ISNUMBER(C368),ISNUMBER(D368)),D368-C368,"N/A")</f>
        <v>74.4</v>
      </c>
      <c r="G368" s="6" t="n">
        <f aca="false">IF(ISNUMBER(F368),F368/C368*100,"N/A")</f>
        <v>22.054246331703</v>
      </c>
      <c r="H368" s="3" t="str">
        <f aca="false">IF(NOT(ISNUMBER(F368)),"NO CURRENT DATA",IF(F368&gt;0,"RISEN",IF(F368&lt;0,"FALLEN","UNCHANGED")))</f>
        <v>RISEN</v>
      </c>
      <c r="I368" s="3" t="s">
        <v>1480</v>
      </c>
      <c r="J368" s="3" t="n">
        <v>0</v>
      </c>
    </row>
    <row r="369" customFormat="false" ht="15" hidden="false" customHeight="false" outlineLevel="0" collapsed="false">
      <c r="A369" s="3" t="s">
        <v>792</v>
      </c>
      <c r="B369" s="3" t="s">
        <v>565</v>
      </c>
      <c r="C369" s="4" t="n">
        <v>1417.6</v>
      </c>
      <c r="D369" s="4" t="n">
        <v>1085</v>
      </c>
      <c r="E369" s="3" t="s">
        <v>1479</v>
      </c>
      <c r="F369" s="4" t="n">
        <f aca="false">IF(AND(ISNUMBER(C369),ISNUMBER(D369)),D369-C369,"N/A")</f>
        <v>-332.6</v>
      </c>
      <c r="G369" s="6" t="n">
        <f aca="false">IF(ISNUMBER(F369),F369/C369*100,"N/A")</f>
        <v>-23.4621896162528</v>
      </c>
      <c r="H369" s="3" t="str">
        <f aca="false">IF(NOT(ISNUMBER(F369)),"NO CURRENT DATA",IF(F369&gt;0,"RISEN",IF(F369&lt;0,"FALLEN","UNCHANGED")))</f>
        <v>FALLEN</v>
      </c>
      <c r="I369" s="3" t="s">
        <v>1480</v>
      </c>
      <c r="J369" s="3" t="n">
        <v>2</v>
      </c>
    </row>
    <row r="370" customFormat="false" ht="15" hidden="false" customHeight="false" outlineLevel="0" collapsed="false">
      <c r="A370" s="3" t="s">
        <v>792</v>
      </c>
      <c r="B370" s="3" t="s">
        <v>136</v>
      </c>
      <c r="C370" s="4" t="n">
        <v>183.03</v>
      </c>
      <c r="D370" s="4" t="n">
        <v>133.32</v>
      </c>
      <c r="E370" s="3" t="s">
        <v>1479</v>
      </c>
      <c r="F370" s="4" t="n">
        <f aca="false">IF(AND(ISNUMBER(C370),ISNUMBER(D370)),D370-C370,"N/A")</f>
        <v>-49.71</v>
      </c>
      <c r="G370" s="6" t="n">
        <f aca="false">IF(ISNUMBER(F370),F370/C370*100,"N/A")</f>
        <v>-27.1594820521226</v>
      </c>
      <c r="H370" s="3" t="str">
        <f aca="false">IF(NOT(ISNUMBER(F370)),"NO CURRENT DATA",IF(F370&gt;0,"RISEN",IF(F370&lt;0,"FALLEN","UNCHANGED")))</f>
        <v>FALLEN</v>
      </c>
      <c r="I370" s="3" t="s">
        <v>1480</v>
      </c>
      <c r="J370" s="3" t="n">
        <v>9</v>
      </c>
    </row>
    <row r="371" customFormat="false" ht="15" hidden="false" customHeight="false" outlineLevel="0" collapsed="false">
      <c r="A371" s="3" t="s">
        <v>792</v>
      </c>
      <c r="B371" s="3" t="s">
        <v>175</v>
      </c>
      <c r="C371" s="4" t="n">
        <v>1275</v>
      </c>
      <c r="D371" s="4" t="n">
        <v>1264.1</v>
      </c>
      <c r="E371" s="3" t="s">
        <v>1479</v>
      </c>
      <c r="F371" s="4" t="n">
        <f aca="false">IF(AND(ISNUMBER(C371),ISNUMBER(D371)),D371-C371,"N/A")</f>
        <v>-10.9000000000001</v>
      </c>
      <c r="G371" s="6" t="n">
        <f aca="false">IF(ISNUMBER(F371),F371/C371*100,"N/A")</f>
        <v>-0.854901960784321</v>
      </c>
      <c r="H371" s="3" t="str">
        <f aca="false">IF(NOT(ISNUMBER(F371)),"NO CURRENT DATA",IF(F371&gt;0,"RISEN",IF(F371&lt;0,"FALLEN","UNCHANGED")))</f>
        <v>FALLEN</v>
      </c>
      <c r="I371" s="3" t="s">
        <v>1480</v>
      </c>
      <c r="J371" s="3" t="n">
        <v>4</v>
      </c>
    </row>
    <row r="372" customFormat="false" ht="15" hidden="false" customHeight="false" outlineLevel="0" collapsed="false">
      <c r="A372" s="3" t="s">
        <v>792</v>
      </c>
      <c r="B372" s="3" t="s">
        <v>296</v>
      </c>
      <c r="C372" s="4" t="n">
        <v>2292.2</v>
      </c>
      <c r="D372" s="4" t="n">
        <v>2062</v>
      </c>
      <c r="E372" s="3" t="s">
        <v>1479</v>
      </c>
      <c r="F372" s="4" t="n">
        <f aca="false">IF(AND(ISNUMBER(C372),ISNUMBER(D372)),D372-C372,"N/A")</f>
        <v>-230.2</v>
      </c>
      <c r="G372" s="6" t="n">
        <f aca="false">IF(ISNUMBER(F372),F372/C372*100,"N/A")</f>
        <v>-10.0427536864148</v>
      </c>
      <c r="H372" s="3" t="str">
        <f aca="false">IF(NOT(ISNUMBER(F372)),"NO CURRENT DATA",IF(F372&gt;0,"RISEN",IF(F372&lt;0,"FALLEN","UNCHANGED")))</f>
        <v>FALLEN</v>
      </c>
      <c r="I372" s="3" t="s">
        <v>1480</v>
      </c>
      <c r="J372" s="3" t="n">
        <v>2</v>
      </c>
    </row>
    <row r="373" customFormat="false" ht="15" hidden="false" customHeight="false" outlineLevel="0" collapsed="false">
      <c r="A373" s="3" t="s">
        <v>792</v>
      </c>
      <c r="B373" s="3" t="s">
        <v>139</v>
      </c>
      <c r="C373" s="4" t="n">
        <v>2155.7</v>
      </c>
      <c r="D373" s="4" t="n">
        <v>2435.6</v>
      </c>
      <c r="E373" s="3" t="s">
        <v>1479</v>
      </c>
      <c r="F373" s="4" t="n">
        <f aca="false">IF(AND(ISNUMBER(C373),ISNUMBER(D373)),D373-C373,"N/A")</f>
        <v>279.9</v>
      </c>
      <c r="G373" s="6" t="n">
        <f aca="false">IF(ISNUMBER(F373),F373/C373*100,"N/A")</f>
        <v>12.9841814723756</v>
      </c>
      <c r="H373" s="3" t="str">
        <f aca="false">IF(NOT(ISNUMBER(F373)),"NO CURRENT DATA",IF(F373&gt;0,"RISEN",IF(F373&lt;0,"FALLEN","UNCHANGED")))</f>
        <v>RISEN</v>
      </c>
      <c r="I373" s="3" t="s">
        <v>1480</v>
      </c>
      <c r="J373" s="3" t="n">
        <v>4</v>
      </c>
    </row>
    <row r="374" customFormat="false" ht="15" hidden="false" customHeight="false" outlineLevel="0" collapsed="false">
      <c r="A374" s="3" t="s">
        <v>792</v>
      </c>
      <c r="B374" s="3" t="s">
        <v>117</v>
      </c>
      <c r="C374" s="4" t="n">
        <v>313.9</v>
      </c>
      <c r="D374" s="4" t="n">
        <v>289.85</v>
      </c>
      <c r="E374" s="3" t="s">
        <v>1479</v>
      </c>
      <c r="F374" s="4" t="n">
        <f aca="false">IF(AND(ISNUMBER(C374),ISNUMBER(D374)),D374-C374,"N/A")</f>
        <v>-24.05</v>
      </c>
      <c r="G374" s="6" t="n">
        <f aca="false">IF(ISNUMBER(F374),F374/C374*100,"N/A")</f>
        <v>-7.66167569289581</v>
      </c>
      <c r="H374" s="3" t="str">
        <f aca="false">IF(NOT(ISNUMBER(F374)),"NO CURRENT DATA",IF(F374&gt;0,"RISEN",IF(F374&lt;0,"FALLEN","UNCHANGED")))</f>
        <v>FALLEN</v>
      </c>
      <c r="I374" s="3" t="s">
        <v>1480</v>
      </c>
      <c r="J374" s="3" t="n">
        <v>2</v>
      </c>
    </row>
    <row r="375" customFormat="false" ht="15" hidden="false" customHeight="false" outlineLevel="0" collapsed="false">
      <c r="A375" s="3" t="s">
        <v>792</v>
      </c>
      <c r="B375" s="3" t="s">
        <v>406</v>
      </c>
      <c r="C375" s="4" t="n">
        <v>164.93</v>
      </c>
      <c r="D375" s="4" t="n">
        <v>184.2</v>
      </c>
      <c r="E375" s="3" t="s">
        <v>1479</v>
      </c>
      <c r="F375" s="4" t="n">
        <f aca="false">IF(AND(ISNUMBER(C375),ISNUMBER(D375)),D375-C375,"N/A")</f>
        <v>19.27</v>
      </c>
      <c r="G375" s="6" t="n">
        <f aca="false">IF(ISNUMBER(F375),F375/C375*100,"N/A")</f>
        <v>11.6837446189292</v>
      </c>
      <c r="H375" s="3" t="str">
        <f aca="false">IF(NOT(ISNUMBER(F375)),"NO CURRENT DATA",IF(F375&gt;0,"RISEN",IF(F375&lt;0,"FALLEN","UNCHANGED")))</f>
        <v>RISEN</v>
      </c>
      <c r="I375" s="3" t="s">
        <v>1480</v>
      </c>
      <c r="J375" s="3" t="n">
        <v>1</v>
      </c>
    </row>
    <row r="376" customFormat="false" ht="15" hidden="false" customHeight="false" outlineLevel="0" collapsed="false">
      <c r="A376" s="3" t="s">
        <v>792</v>
      </c>
      <c r="B376" s="3" t="s">
        <v>740</v>
      </c>
      <c r="C376" s="4" t="n">
        <v>4052.6</v>
      </c>
      <c r="D376" s="4" t="n">
        <v>3499.8</v>
      </c>
      <c r="E376" s="3" t="s">
        <v>1479</v>
      </c>
      <c r="F376" s="4" t="n">
        <f aca="false">IF(AND(ISNUMBER(C376),ISNUMBER(D376)),D376-C376,"N/A")</f>
        <v>-552.8</v>
      </c>
      <c r="G376" s="6" t="n">
        <f aca="false">IF(ISNUMBER(F376),F376/C376*100,"N/A")</f>
        <v>-13.6406257711099</v>
      </c>
      <c r="H376" s="3" t="str">
        <f aca="false">IF(NOT(ISNUMBER(F376)),"NO CURRENT DATA",IF(F376&gt;0,"RISEN",IF(F376&lt;0,"FALLEN","UNCHANGED")))</f>
        <v>FALLEN</v>
      </c>
      <c r="I376" s="3" t="s">
        <v>1480</v>
      </c>
      <c r="J376" s="3" t="n">
        <v>1</v>
      </c>
    </row>
    <row r="377" customFormat="false" ht="15" hidden="false" customHeight="false" outlineLevel="0" collapsed="false">
      <c r="A377" s="3" t="s">
        <v>808</v>
      </c>
      <c r="B377" s="3" t="s">
        <v>809</v>
      </c>
      <c r="C377" s="4" t="n">
        <v>726.75</v>
      </c>
      <c r="D377" s="4" t="n">
        <v>865</v>
      </c>
      <c r="E377" s="3" t="s">
        <v>1479</v>
      </c>
      <c r="F377" s="4" t="n">
        <f aca="false">IF(AND(ISNUMBER(C377),ISNUMBER(D377)),D377-C377,"N/A")</f>
        <v>138.25</v>
      </c>
      <c r="G377" s="6" t="n">
        <f aca="false">IF(ISNUMBER(F377),F377/C377*100,"N/A")</f>
        <v>19.0230478156175</v>
      </c>
      <c r="H377" s="3" t="str">
        <f aca="false">IF(NOT(ISNUMBER(F377)),"NO CURRENT DATA",IF(F377&gt;0,"RISEN",IF(F377&lt;0,"FALLEN","UNCHANGED")))</f>
        <v>RISEN</v>
      </c>
      <c r="I377" s="3" t="s">
        <v>1480</v>
      </c>
      <c r="J377" s="3" t="n">
        <v>0</v>
      </c>
    </row>
    <row r="378" customFormat="false" ht="15" hidden="false" customHeight="false" outlineLevel="0" collapsed="false">
      <c r="A378" s="3" t="s">
        <v>808</v>
      </c>
      <c r="B378" s="3" t="s">
        <v>216</v>
      </c>
      <c r="C378" s="4" t="n">
        <v>1358.1</v>
      </c>
      <c r="D378" s="4" t="n">
        <v>1383.7</v>
      </c>
      <c r="E378" s="3" t="s">
        <v>1479</v>
      </c>
      <c r="F378" s="4" t="n">
        <f aca="false">IF(AND(ISNUMBER(C378),ISNUMBER(D378)),D378-C378,"N/A")</f>
        <v>25.6000000000001</v>
      </c>
      <c r="G378" s="6" t="n">
        <f aca="false">IF(ISNUMBER(F378),F378/C378*100,"N/A")</f>
        <v>1.88498637802814</v>
      </c>
      <c r="H378" s="3" t="str">
        <f aca="false">IF(NOT(ISNUMBER(F378)),"NO CURRENT DATA",IF(F378&gt;0,"RISEN",IF(F378&lt;0,"FALLEN","UNCHANGED")))</f>
        <v>RISEN</v>
      </c>
      <c r="I378" s="3" t="s">
        <v>1480</v>
      </c>
      <c r="J378" s="3" t="n">
        <v>3</v>
      </c>
    </row>
    <row r="379" customFormat="false" ht="15" hidden="false" customHeight="false" outlineLevel="0" collapsed="false">
      <c r="A379" s="3" t="s">
        <v>808</v>
      </c>
      <c r="B379" s="3" t="s">
        <v>602</v>
      </c>
      <c r="C379" s="4" t="n">
        <v>1404.9</v>
      </c>
      <c r="D379" s="4" t="n">
        <v>1302</v>
      </c>
      <c r="E379" s="3" t="s">
        <v>1479</v>
      </c>
      <c r="F379" s="4" t="n">
        <f aca="false">IF(AND(ISNUMBER(C379),ISNUMBER(D379)),D379-C379,"N/A")</f>
        <v>-102.9</v>
      </c>
      <c r="G379" s="6" t="n">
        <f aca="false">IF(ISNUMBER(F379),F379/C379*100,"N/A")</f>
        <v>-7.32436472346787</v>
      </c>
      <c r="H379" s="3" t="str">
        <f aca="false">IF(NOT(ISNUMBER(F379)),"NO CURRENT DATA",IF(F379&gt;0,"RISEN",IF(F379&lt;0,"FALLEN","UNCHANGED")))</f>
        <v>FALLEN</v>
      </c>
      <c r="I379" s="3" t="s">
        <v>1480</v>
      </c>
      <c r="J379" s="3" t="n">
        <v>2</v>
      </c>
    </row>
    <row r="380" customFormat="false" ht="15" hidden="false" customHeight="false" outlineLevel="0" collapsed="false">
      <c r="A380" s="3" t="s">
        <v>808</v>
      </c>
      <c r="B380" s="3" t="s">
        <v>814</v>
      </c>
      <c r="C380" s="4" t="n">
        <v>391.55</v>
      </c>
      <c r="D380" s="4" t="n">
        <v>281.75</v>
      </c>
      <c r="E380" s="3" t="s">
        <v>1479</v>
      </c>
      <c r="F380" s="4" t="n">
        <f aca="false">IF(AND(ISNUMBER(C380),ISNUMBER(D380)),D380-C380,"N/A")</f>
        <v>-109.8</v>
      </c>
      <c r="G380" s="6" t="n">
        <f aca="false">IF(ISNUMBER(F380),F380/C380*100,"N/A")</f>
        <v>-28.0423956072022</v>
      </c>
      <c r="H380" s="3" t="str">
        <f aca="false">IF(NOT(ISNUMBER(F380)),"NO CURRENT DATA",IF(F380&gt;0,"RISEN",IF(F380&lt;0,"FALLEN","UNCHANGED")))</f>
        <v>FALLEN</v>
      </c>
      <c r="I380" s="3" t="s">
        <v>1480</v>
      </c>
      <c r="J380" s="3" t="n">
        <v>0</v>
      </c>
    </row>
    <row r="381" customFormat="false" ht="15" hidden="false" customHeight="false" outlineLevel="0" collapsed="false">
      <c r="A381" s="3" t="s">
        <v>808</v>
      </c>
      <c r="B381" s="3" t="s">
        <v>660</v>
      </c>
      <c r="C381" s="4" t="n">
        <v>201.54</v>
      </c>
      <c r="D381" s="4" t="n">
        <v>171.75</v>
      </c>
      <c r="E381" s="3" t="s">
        <v>1479</v>
      </c>
      <c r="F381" s="4" t="n">
        <f aca="false">IF(AND(ISNUMBER(C381),ISNUMBER(D381)),D381-C381,"N/A")</f>
        <v>-29.79</v>
      </c>
      <c r="G381" s="6" t="n">
        <f aca="false">IF(ISNUMBER(F381),F381/C381*100,"N/A")</f>
        <v>-14.7811848764513</v>
      </c>
      <c r="H381" s="3" t="str">
        <f aca="false">IF(NOT(ISNUMBER(F381)),"NO CURRENT DATA",IF(F381&gt;0,"RISEN",IF(F381&lt;0,"FALLEN","UNCHANGED")))</f>
        <v>FALLEN</v>
      </c>
      <c r="I381" s="3" t="s">
        <v>1480</v>
      </c>
      <c r="J381" s="3" t="n">
        <v>1</v>
      </c>
    </row>
    <row r="382" customFormat="false" ht="15" hidden="false" customHeight="false" outlineLevel="0" collapsed="false">
      <c r="A382" s="3" t="s">
        <v>818</v>
      </c>
      <c r="B382" s="3" t="s">
        <v>136</v>
      </c>
      <c r="C382" s="4" t="n">
        <v>187.47</v>
      </c>
      <c r="D382" s="4" t="n">
        <v>133.32</v>
      </c>
      <c r="E382" s="3" t="s">
        <v>1479</v>
      </c>
      <c r="F382" s="4" t="n">
        <f aca="false">IF(AND(ISNUMBER(C382),ISNUMBER(D382)),D382-C382,"N/A")</f>
        <v>-54.15</v>
      </c>
      <c r="G382" s="6" t="n">
        <f aca="false">IF(ISNUMBER(F382),F382/C382*100,"N/A")</f>
        <v>-28.8846215394463</v>
      </c>
      <c r="H382" s="3" t="str">
        <f aca="false">IF(NOT(ISNUMBER(F382)),"NO CURRENT DATA",IF(F382&gt;0,"RISEN",IF(F382&lt;0,"FALLEN","UNCHANGED")))</f>
        <v>FALLEN</v>
      </c>
      <c r="I382" s="3" t="s">
        <v>1480</v>
      </c>
      <c r="J382" s="3" t="n">
        <v>10</v>
      </c>
    </row>
    <row r="383" customFormat="false" ht="15" hidden="false" customHeight="false" outlineLevel="0" collapsed="false">
      <c r="A383" s="3" t="s">
        <v>818</v>
      </c>
      <c r="B383" s="3" t="s">
        <v>820</v>
      </c>
      <c r="C383" s="4" t="n">
        <v>519.9</v>
      </c>
      <c r="D383" s="4" t="n">
        <v>478.7</v>
      </c>
      <c r="E383" s="3" t="s">
        <v>1479</v>
      </c>
      <c r="F383" s="4" t="n">
        <f aca="false">IF(AND(ISNUMBER(C383),ISNUMBER(D383)),D383-C383,"N/A")</f>
        <v>-41.2</v>
      </c>
      <c r="G383" s="6" t="n">
        <f aca="false">IF(ISNUMBER(F383),F383/C383*100,"N/A")</f>
        <v>-7.92460088478553</v>
      </c>
      <c r="H383" s="3" t="str">
        <f aca="false">IF(NOT(ISNUMBER(F383)),"NO CURRENT DATA",IF(F383&gt;0,"RISEN",IF(F383&lt;0,"FALLEN","UNCHANGED")))</f>
        <v>FALLEN</v>
      </c>
      <c r="I383" s="3" t="s">
        <v>1480</v>
      </c>
      <c r="J383" s="3" t="n">
        <v>0</v>
      </c>
    </row>
    <row r="384" customFormat="false" ht="15" hidden="false" customHeight="false" outlineLevel="0" collapsed="false">
      <c r="A384" s="3" t="s">
        <v>818</v>
      </c>
      <c r="B384" s="3" t="s">
        <v>680</v>
      </c>
      <c r="C384" s="4" t="n">
        <v>2753.4</v>
      </c>
      <c r="D384" s="4" t="n">
        <v>2459</v>
      </c>
      <c r="E384" s="3" t="s">
        <v>1479</v>
      </c>
      <c r="F384" s="4" t="n">
        <f aca="false">IF(AND(ISNUMBER(C384),ISNUMBER(D384)),D384-C384,"N/A")</f>
        <v>-294.4</v>
      </c>
      <c r="G384" s="6" t="n">
        <f aca="false">IF(ISNUMBER(F384),F384/C384*100,"N/A")</f>
        <v>-10.6922350548413</v>
      </c>
      <c r="H384" s="3" t="str">
        <f aca="false">IF(NOT(ISNUMBER(F384)),"NO CURRENT DATA",IF(F384&gt;0,"RISEN",IF(F384&lt;0,"FALLEN","UNCHANGED")))</f>
        <v>FALLEN</v>
      </c>
      <c r="I384" s="3" t="s">
        <v>1480</v>
      </c>
      <c r="J384" s="3" t="n">
        <v>1</v>
      </c>
    </row>
    <row r="385" customFormat="false" ht="15" hidden="false" customHeight="false" outlineLevel="0" collapsed="false">
      <c r="A385" s="3" t="s">
        <v>824</v>
      </c>
      <c r="B385" s="3" t="s">
        <v>623</v>
      </c>
      <c r="C385" s="4" t="n">
        <v>1752.5</v>
      </c>
      <c r="D385" s="4" t="n">
        <v>1838</v>
      </c>
      <c r="E385" s="3" t="s">
        <v>1479</v>
      </c>
      <c r="F385" s="4" t="n">
        <f aca="false">IF(AND(ISNUMBER(C385),ISNUMBER(D385)),D385-C385,"N/A")</f>
        <v>85.5</v>
      </c>
      <c r="G385" s="6" t="n">
        <f aca="false">IF(ISNUMBER(F385),F385/C385*100,"N/A")</f>
        <v>4.87874465049929</v>
      </c>
      <c r="H385" s="3" t="str">
        <f aca="false">IF(NOT(ISNUMBER(F385)),"NO CURRENT DATA",IF(F385&gt;0,"RISEN",IF(F385&lt;0,"FALLEN","UNCHANGED")))</f>
        <v>RISEN</v>
      </c>
      <c r="I385" s="3" t="s">
        <v>1480</v>
      </c>
      <c r="J385" s="3" t="n">
        <v>2</v>
      </c>
    </row>
    <row r="386" customFormat="false" ht="15" hidden="false" customHeight="false" outlineLevel="0" collapsed="false">
      <c r="A386" s="3" t="s">
        <v>824</v>
      </c>
      <c r="B386" s="3" t="s">
        <v>680</v>
      </c>
      <c r="C386" s="4" t="n">
        <v>2837.6</v>
      </c>
      <c r="D386" s="4" t="n">
        <v>2459</v>
      </c>
      <c r="E386" s="3" t="s">
        <v>1479</v>
      </c>
      <c r="F386" s="4" t="n">
        <f aca="false">IF(AND(ISNUMBER(C386),ISNUMBER(D386)),D386-C386,"N/A")</f>
        <v>-378.6</v>
      </c>
      <c r="G386" s="6" t="n">
        <f aca="false">IF(ISNUMBER(F386),F386/C386*100,"N/A")</f>
        <v>-13.3422610656893</v>
      </c>
      <c r="H386" s="3" t="str">
        <f aca="false">IF(NOT(ISNUMBER(F386)),"NO CURRENT DATA",IF(F386&gt;0,"RISEN",IF(F386&lt;0,"FALLEN","UNCHANGED")))</f>
        <v>FALLEN</v>
      </c>
      <c r="I386" s="3" t="s">
        <v>1480</v>
      </c>
      <c r="J386" s="3" t="n">
        <v>1</v>
      </c>
    </row>
    <row r="387" customFormat="false" ht="15" hidden="false" customHeight="false" outlineLevel="0" collapsed="false">
      <c r="A387" s="3" t="s">
        <v>827</v>
      </c>
      <c r="B387" s="3" t="s">
        <v>623</v>
      </c>
      <c r="C387" s="4" t="n">
        <v>1784.5</v>
      </c>
      <c r="D387" s="4" t="n">
        <v>1838</v>
      </c>
      <c r="E387" s="3" t="s">
        <v>1479</v>
      </c>
      <c r="F387" s="4" t="n">
        <f aca="false">IF(AND(ISNUMBER(C387),ISNUMBER(D387)),D387-C387,"N/A")</f>
        <v>53.5</v>
      </c>
      <c r="G387" s="6" t="n">
        <f aca="false">IF(ISNUMBER(F387),F387/C387*100,"N/A")</f>
        <v>2.99803866629308</v>
      </c>
      <c r="H387" s="3" t="str">
        <f aca="false">IF(NOT(ISNUMBER(F387)),"NO CURRENT DATA",IF(F387&gt;0,"RISEN",IF(F387&lt;0,"FALLEN","UNCHANGED")))</f>
        <v>RISEN</v>
      </c>
      <c r="I387" s="3" t="s">
        <v>1480</v>
      </c>
      <c r="J387" s="3" t="n">
        <v>3</v>
      </c>
    </row>
    <row r="388" customFormat="false" ht="15" hidden="false" customHeight="false" outlineLevel="0" collapsed="false">
      <c r="A388" s="3" t="s">
        <v>829</v>
      </c>
      <c r="B388" s="3" t="s">
        <v>182</v>
      </c>
      <c r="C388" s="4" t="n">
        <v>1689.2</v>
      </c>
      <c r="D388" s="4" t="n">
        <v>1370.5</v>
      </c>
      <c r="E388" s="3" t="s">
        <v>1479</v>
      </c>
      <c r="F388" s="4" t="n">
        <f aca="false">IF(AND(ISNUMBER(C388),ISNUMBER(D388)),D388-C388,"N/A")</f>
        <v>-318.7</v>
      </c>
      <c r="G388" s="6" t="n">
        <f aca="false">IF(ISNUMBER(F388),F388/C388*100,"N/A")</f>
        <v>-18.8669192517168</v>
      </c>
      <c r="H388" s="3" t="str">
        <f aca="false">IF(NOT(ISNUMBER(F388)),"NO CURRENT DATA",IF(F388&gt;0,"RISEN",IF(F388&lt;0,"FALLEN","UNCHANGED")))</f>
        <v>FALLEN</v>
      </c>
      <c r="I388" s="3" t="s">
        <v>1480</v>
      </c>
      <c r="J388" s="3" t="n">
        <v>3</v>
      </c>
    </row>
    <row r="389" customFormat="false" ht="15" hidden="false" customHeight="false" outlineLevel="0" collapsed="false">
      <c r="A389" s="3" t="s">
        <v>829</v>
      </c>
      <c r="B389" s="3" t="s">
        <v>272</v>
      </c>
      <c r="C389" s="4" t="n">
        <v>380.6</v>
      </c>
      <c r="D389" s="4" t="n">
        <v>321.1</v>
      </c>
      <c r="E389" s="3" t="s">
        <v>1479</v>
      </c>
      <c r="F389" s="4" t="n">
        <f aca="false">IF(AND(ISNUMBER(C389),ISNUMBER(D389)),D389-C389,"N/A")</f>
        <v>-59.5</v>
      </c>
      <c r="G389" s="6" t="n">
        <f aca="false">IF(ISNUMBER(F389),F389/C389*100,"N/A")</f>
        <v>-15.6332107199159</v>
      </c>
      <c r="H389" s="3" t="str">
        <f aca="false">IF(NOT(ISNUMBER(F389)),"NO CURRENT DATA",IF(F389&gt;0,"RISEN",IF(F389&lt;0,"FALLEN","UNCHANGED")))</f>
        <v>FALLEN</v>
      </c>
      <c r="I389" s="3" t="s">
        <v>1480</v>
      </c>
      <c r="J389" s="3" t="n">
        <v>4</v>
      </c>
    </row>
    <row r="390" customFormat="false" ht="15" hidden="false" customHeight="false" outlineLevel="0" collapsed="false">
      <c r="A390" s="3" t="s">
        <v>832</v>
      </c>
      <c r="B390" s="3" t="s">
        <v>623</v>
      </c>
      <c r="C390" s="4" t="n">
        <v>1807.4</v>
      </c>
      <c r="D390" s="4" t="n">
        <v>1838</v>
      </c>
      <c r="E390" s="3" t="s">
        <v>1479</v>
      </c>
      <c r="F390" s="4" t="n">
        <f aca="false">IF(AND(ISNUMBER(C390),ISNUMBER(D390)),D390-C390,"N/A")</f>
        <v>30.5999999999999</v>
      </c>
      <c r="G390" s="6" t="n">
        <f aca="false">IF(ISNUMBER(F390),F390/C390*100,"N/A")</f>
        <v>1.69303972557264</v>
      </c>
      <c r="H390" s="3" t="str">
        <f aca="false">IF(NOT(ISNUMBER(F390)),"NO CURRENT DATA",IF(F390&gt;0,"RISEN",IF(F390&lt;0,"FALLEN","UNCHANGED")))</f>
        <v>RISEN</v>
      </c>
      <c r="I390" s="3" t="s">
        <v>1480</v>
      </c>
      <c r="J390" s="3" t="n">
        <v>4</v>
      </c>
    </row>
    <row r="391" customFormat="false" ht="15" hidden="false" customHeight="false" outlineLevel="0" collapsed="false">
      <c r="A391" s="3" t="s">
        <v>834</v>
      </c>
      <c r="B391" s="3" t="s">
        <v>93</v>
      </c>
      <c r="C391" s="4" t="n">
        <v>1849</v>
      </c>
      <c r="D391" s="4" t="n">
        <v>1651.6</v>
      </c>
      <c r="E391" s="3" t="s">
        <v>1479</v>
      </c>
      <c r="F391" s="4" t="n">
        <f aca="false">IF(AND(ISNUMBER(C391),ISNUMBER(D391)),D391-C391,"N/A")</f>
        <v>-197.4</v>
      </c>
      <c r="G391" s="6" t="n">
        <f aca="false">IF(ISNUMBER(F391),F391/C391*100,"N/A")</f>
        <v>-10.6760411032991</v>
      </c>
      <c r="H391" s="3" t="str">
        <f aca="false">IF(NOT(ISNUMBER(F391)),"NO CURRENT DATA",IF(F391&gt;0,"RISEN",IF(F391&lt;0,"FALLEN","UNCHANGED")))</f>
        <v>FALLEN</v>
      </c>
      <c r="I391" s="3" t="s">
        <v>1480</v>
      </c>
      <c r="J391" s="3" t="n">
        <v>2</v>
      </c>
    </row>
    <row r="392" customFormat="false" ht="15" hidden="false" customHeight="false" outlineLevel="0" collapsed="false">
      <c r="A392" s="3" t="s">
        <v>834</v>
      </c>
      <c r="B392" s="3" t="s">
        <v>296</v>
      </c>
      <c r="C392" s="4" t="n">
        <v>2337.4</v>
      </c>
      <c r="D392" s="4" t="n">
        <v>2062</v>
      </c>
      <c r="E392" s="3" t="s">
        <v>1479</v>
      </c>
      <c r="F392" s="4" t="n">
        <f aca="false">IF(AND(ISNUMBER(C392),ISNUMBER(D392)),D392-C392,"N/A")</f>
        <v>-275.4</v>
      </c>
      <c r="G392" s="6" t="n">
        <f aca="false">IF(ISNUMBER(F392),F392/C392*100,"N/A")</f>
        <v>-11.7823222383845</v>
      </c>
      <c r="H392" s="3" t="str">
        <f aca="false">IF(NOT(ISNUMBER(F392)),"NO CURRENT DATA",IF(F392&gt;0,"RISEN",IF(F392&lt;0,"FALLEN","UNCHANGED")))</f>
        <v>FALLEN</v>
      </c>
      <c r="I392" s="3" t="s">
        <v>1480</v>
      </c>
      <c r="J392" s="3" t="n">
        <v>3</v>
      </c>
    </row>
    <row r="393" customFormat="false" ht="15" hidden="false" customHeight="false" outlineLevel="0" collapsed="false">
      <c r="A393" s="3" t="s">
        <v>834</v>
      </c>
      <c r="B393" s="3" t="s">
        <v>544</v>
      </c>
      <c r="C393" s="4" t="n">
        <v>1241.2</v>
      </c>
      <c r="D393" s="4" t="n">
        <v>1346</v>
      </c>
      <c r="E393" s="3" t="s">
        <v>1479</v>
      </c>
      <c r="F393" s="4" t="n">
        <f aca="false">IF(AND(ISNUMBER(C393),ISNUMBER(D393)),D393-C393,"N/A")</f>
        <v>104.8</v>
      </c>
      <c r="G393" s="6" t="n">
        <f aca="false">IF(ISNUMBER(F393),F393/C393*100,"N/A")</f>
        <v>8.44344183048662</v>
      </c>
      <c r="H393" s="3" t="str">
        <f aca="false">IF(NOT(ISNUMBER(F393)),"NO CURRENT DATA",IF(F393&gt;0,"RISEN",IF(F393&lt;0,"FALLEN","UNCHANGED")))</f>
        <v>RISEN</v>
      </c>
      <c r="I393" s="3" t="s">
        <v>1480</v>
      </c>
      <c r="J393" s="3" t="n">
        <v>1</v>
      </c>
    </row>
    <row r="394" customFormat="false" ht="15" hidden="false" customHeight="false" outlineLevel="0" collapsed="false">
      <c r="A394" s="3" t="s">
        <v>834</v>
      </c>
      <c r="B394" s="3" t="s">
        <v>623</v>
      </c>
      <c r="C394" s="4" t="n">
        <v>1812.8</v>
      </c>
      <c r="D394" s="4" t="n">
        <v>1838</v>
      </c>
      <c r="E394" s="3" t="s">
        <v>1479</v>
      </c>
      <c r="F394" s="4" t="n">
        <f aca="false">IF(AND(ISNUMBER(C394),ISNUMBER(D394)),D394-C394,"N/A")</f>
        <v>25.2</v>
      </c>
      <c r="G394" s="6" t="n">
        <f aca="false">IF(ISNUMBER(F394),F394/C394*100,"N/A")</f>
        <v>1.39011473962931</v>
      </c>
      <c r="H394" s="3" t="str">
        <f aca="false">IF(NOT(ISNUMBER(F394)),"NO CURRENT DATA",IF(F394&gt;0,"RISEN",IF(F394&lt;0,"FALLEN","UNCHANGED")))</f>
        <v>RISEN</v>
      </c>
      <c r="I394" s="3" t="s">
        <v>1480</v>
      </c>
      <c r="J394" s="3" t="n">
        <v>4</v>
      </c>
    </row>
    <row r="395" customFormat="false" ht="15" hidden="false" customHeight="false" outlineLevel="0" collapsed="false">
      <c r="A395" s="3" t="s">
        <v>839</v>
      </c>
      <c r="B395" s="3" t="s">
        <v>740</v>
      </c>
      <c r="C395" s="4" t="n">
        <v>4038</v>
      </c>
      <c r="D395" s="4" t="n">
        <v>3499.8</v>
      </c>
      <c r="E395" s="3" t="s">
        <v>1479</v>
      </c>
      <c r="F395" s="4" t="n">
        <f aca="false">IF(AND(ISNUMBER(C395),ISNUMBER(D395)),D395-C395,"N/A")</f>
        <v>-538.2</v>
      </c>
      <c r="G395" s="6" t="n">
        <f aca="false">IF(ISNUMBER(F395),F395/C395*100,"N/A")</f>
        <v>-13.3283803863299</v>
      </c>
      <c r="H395" s="3" t="str">
        <f aca="false">IF(NOT(ISNUMBER(F395)),"NO CURRENT DATA",IF(F395&gt;0,"RISEN",IF(F395&lt;0,"FALLEN","UNCHANGED")))</f>
        <v>FALLEN</v>
      </c>
      <c r="I395" s="3" t="s">
        <v>1480</v>
      </c>
      <c r="J395" s="3" t="n">
        <v>2</v>
      </c>
    </row>
    <row r="396" customFormat="false" ht="15" hidden="false" customHeight="false" outlineLevel="0" collapsed="false">
      <c r="A396" s="3" t="s">
        <v>839</v>
      </c>
      <c r="B396" s="3" t="s">
        <v>223</v>
      </c>
      <c r="C396" s="4" t="n">
        <v>202.23</v>
      </c>
      <c r="D396" s="4" t="n">
        <v>161.56</v>
      </c>
      <c r="E396" s="3" t="s">
        <v>1479</v>
      </c>
      <c r="F396" s="4" t="n">
        <f aca="false">IF(AND(ISNUMBER(C396),ISNUMBER(D396)),D396-C396,"N/A")</f>
        <v>-40.67</v>
      </c>
      <c r="G396" s="6" t="n">
        <f aca="false">IF(ISNUMBER(F396),F396/C396*100,"N/A")</f>
        <v>-20.1107649705781</v>
      </c>
      <c r="H396" s="3" t="str">
        <f aca="false">IF(NOT(ISNUMBER(F396)),"NO CURRENT DATA",IF(F396&gt;0,"RISEN",IF(F396&lt;0,"FALLEN","UNCHANGED")))</f>
        <v>FALLEN</v>
      </c>
      <c r="I396" s="3" t="s">
        <v>1480</v>
      </c>
      <c r="J396" s="3" t="n">
        <v>1</v>
      </c>
    </row>
    <row r="397" customFormat="false" ht="15" hidden="false" customHeight="false" outlineLevel="0" collapsed="false">
      <c r="A397" s="3" t="s">
        <v>842</v>
      </c>
      <c r="B397" s="3" t="s">
        <v>272</v>
      </c>
      <c r="C397" s="4" t="n">
        <v>390.55</v>
      </c>
      <c r="D397" s="4" t="n">
        <v>321.1</v>
      </c>
      <c r="E397" s="3" t="s">
        <v>1479</v>
      </c>
      <c r="F397" s="4" t="n">
        <f aca="false">IF(AND(ISNUMBER(C397),ISNUMBER(D397)),D397-C397,"N/A")</f>
        <v>-69.45</v>
      </c>
      <c r="G397" s="6" t="n">
        <f aca="false">IF(ISNUMBER(F397),F397/C397*100,"N/A")</f>
        <v>-17.7826142619383</v>
      </c>
      <c r="H397" s="3" t="str">
        <f aca="false">IF(NOT(ISNUMBER(F397)),"NO CURRENT DATA",IF(F397&gt;0,"RISEN",IF(F397&lt;0,"FALLEN","UNCHANGED")))</f>
        <v>FALLEN</v>
      </c>
      <c r="I397" s="3" t="s">
        <v>1480</v>
      </c>
      <c r="J397" s="3" t="n">
        <v>5</v>
      </c>
    </row>
    <row r="398" customFormat="false" ht="15" hidden="false" customHeight="false" outlineLevel="0" collapsed="false">
      <c r="A398" s="3" t="s">
        <v>844</v>
      </c>
      <c r="B398" s="3" t="s">
        <v>845</v>
      </c>
      <c r="C398" s="4" t="n">
        <v>75.27</v>
      </c>
      <c r="D398" s="4" t="n">
        <v>74.5</v>
      </c>
      <c r="E398" s="3" t="s">
        <v>1479</v>
      </c>
      <c r="F398" s="4" t="n">
        <f aca="false">IF(AND(ISNUMBER(C398),ISNUMBER(D398)),D398-C398,"N/A")</f>
        <v>-0.769999999999996</v>
      </c>
      <c r="G398" s="6" t="n">
        <f aca="false">IF(ISNUMBER(F398),F398/C398*100,"N/A")</f>
        <v>-1.02298392453832</v>
      </c>
      <c r="H398" s="3" t="str">
        <f aca="false">IF(NOT(ISNUMBER(F398)),"NO CURRENT DATA",IF(F398&gt;0,"RISEN",IF(F398&lt;0,"FALLEN","UNCHANGED")))</f>
        <v>FALLEN</v>
      </c>
      <c r="I398" s="3" t="s">
        <v>1480</v>
      </c>
      <c r="J398" s="3" t="n">
        <v>0</v>
      </c>
    </row>
    <row r="399" customFormat="false" ht="15" hidden="false" customHeight="false" outlineLevel="0" collapsed="false">
      <c r="A399" s="3" t="s">
        <v>848</v>
      </c>
      <c r="B399" s="3" t="s">
        <v>574</v>
      </c>
      <c r="C399" s="4" t="n">
        <v>337.7</v>
      </c>
      <c r="D399" s="4" t="n">
        <v>303.25</v>
      </c>
      <c r="E399" s="3" t="s">
        <v>1479</v>
      </c>
      <c r="F399" s="4" t="n">
        <f aca="false">IF(AND(ISNUMBER(C399),ISNUMBER(D399)),D399-C399,"N/A")</f>
        <v>-34.45</v>
      </c>
      <c r="G399" s="6" t="n">
        <f aca="false">IF(ISNUMBER(F399),F399/C399*100,"N/A")</f>
        <v>-10.2013621557595</v>
      </c>
      <c r="H399" s="3" t="str">
        <f aca="false">IF(NOT(ISNUMBER(F399)),"NO CURRENT DATA",IF(F399&gt;0,"RISEN",IF(F399&lt;0,"FALLEN","UNCHANGED")))</f>
        <v>FALLEN</v>
      </c>
      <c r="I399" s="3" t="s">
        <v>1480</v>
      </c>
      <c r="J399" s="3" t="n">
        <v>1</v>
      </c>
    </row>
    <row r="400" customFormat="false" ht="15" hidden="false" customHeight="false" outlineLevel="0" collapsed="false">
      <c r="A400" s="3" t="s">
        <v>848</v>
      </c>
      <c r="B400" s="3" t="s">
        <v>608</v>
      </c>
      <c r="C400" s="4" t="n">
        <v>1932.1</v>
      </c>
      <c r="D400" s="4" t="n">
        <v>1728.1</v>
      </c>
      <c r="E400" s="3" t="s">
        <v>1479</v>
      </c>
      <c r="F400" s="4" t="n">
        <f aca="false">IF(AND(ISNUMBER(C400),ISNUMBER(D400)),D400-C400,"N/A")</f>
        <v>-204</v>
      </c>
      <c r="G400" s="6" t="n">
        <f aca="false">IF(ISNUMBER(F400),F400/C400*100,"N/A")</f>
        <v>-10.5584597070545</v>
      </c>
      <c r="H400" s="3" t="str">
        <f aca="false">IF(NOT(ISNUMBER(F400)),"NO CURRENT DATA",IF(F400&gt;0,"RISEN",IF(F400&lt;0,"FALLEN","UNCHANGED")))</f>
        <v>FALLEN</v>
      </c>
      <c r="I400" s="3" t="s">
        <v>1480</v>
      </c>
      <c r="J400" s="3" t="n">
        <v>4</v>
      </c>
    </row>
    <row r="401" customFormat="false" ht="15" hidden="false" customHeight="false" outlineLevel="0" collapsed="false">
      <c r="A401" s="3" t="s">
        <v>848</v>
      </c>
      <c r="B401" s="3" t="s">
        <v>453</v>
      </c>
      <c r="C401" s="4" t="n">
        <v>502.1</v>
      </c>
      <c r="D401" s="4" t="n">
        <v>807.9</v>
      </c>
      <c r="E401" s="3" t="s">
        <v>1479</v>
      </c>
      <c r="F401" s="4" t="n">
        <f aca="false">IF(AND(ISNUMBER(C401),ISNUMBER(D401)),D401-C401,"N/A")</f>
        <v>305.8</v>
      </c>
      <c r="G401" s="6" t="n">
        <f aca="false">IF(ISNUMBER(F401),F401/C401*100,"N/A")</f>
        <v>60.9042023501294</v>
      </c>
      <c r="H401" s="3" t="str">
        <f aca="false">IF(NOT(ISNUMBER(F401)),"NO CURRENT DATA",IF(F401&gt;0,"RISEN",IF(F401&lt;0,"FALLEN","UNCHANGED")))</f>
        <v>RISEN</v>
      </c>
      <c r="I401" s="3" t="s">
        <v>1480</v>
      </c>
      <c r="J401" s="3" t="n">
        <v>3</v>
      </c>
    </row>
    <row r="402" customFormat="false" ht="15" hidden="false" customHeight="false" outlineLevel="0" collapsed="false">
      <c r="A402" s="3" t="s">
        <v>852</v>
      </c>
      <c r="B402" s="3" t="s">
        <v>664</v>
      </c>
      <c r="C402" s="4" t="n">
        <v>1804.4</v>
      </c>
      <c r="D402" s="4" t="n">
        <v>1957</v>
      </c>
      <c r="E402" s="3" t="s">
        <v>1479</v>
      </c>
      <c r="F402" s="4" t="n">
        <f aca="false">IF(AND(ISNUMBER(C402),ISNUMBER(D402)),D402-C402,"N/A")</f>
        <v>152.6</v>
      </c>
      <c r="G402" s="6" t="n">
        <f aca="false">IF(ISNUMBER(F402),F402/C402*100,"N/A")</f>
        <v>8.45710485479937</v>
      </c>
      <c r="H402" s="3" t="str">
        <f aca="false">IF(NOT(ISNUMBER(F402)),"NO CURRENT DATA",IF(F402&gt;0,"RISEN",IF(F402&lt;0,"FALLEN","UNCHANGED")))</f>
        <v>RISEN</v>
      </c>
      <c r="I402" s="3" t="s">
        <v>1480</v>
      </c>
      <c r="J402" s="3" t="n">
        <v>2</v>
      </c>
    </row>
    <row r="403" customFormat="false" ht="15" hidden="false" customHeight="false" outlineLevel="0" collapsed="false">
      <c r="A403" s="3" t="s">
        <v>852</v>
      </c>
      <c r="B403" s="3" t="s">
        <v>96</v>
      </c>
      <c r="C403" s="4" t="n">
        <v>422.55</v>
      </c>
      <c r="D403" s="4" t="n">
        <v>407.5</v>
      </c>
      <c r="E403" s="3" t="s">
        <v>1479</v>
      </c>
      <c r="F403" s="4" t="n">
        <f aca="false">IF(AND(ISNUMBER(C403),ISNUMBER(D403)),D403-C403,"N/A")</f>
        <v>-15.05</v>
      </c>
      <c r="G403" s="6" t="n">
        <f aca="false">IF(ISNUMBER(F403),F403/C403*100,"N/A")</f>
        <v>-3.56170867352976</v>
      </c>
      <c r="H403" s="3" t="str">
        <f aca="false">IF(NOT(ISNUMBER(F403)),"NO CURRENT DATA",IF(F403&gt;0,"RISEN",IF(F403&lt;0,"FALLEN","UNCHANGED")))</f>
        <v>FALLEN</v>
      </c>
      <c r="I403" s="3" t="s">
        <v>1480</v>
      </c>
      <c r="J403" s="3" t="n">
        <v>6</v>
      </c>
    </row>
    <row r="404" customFormat="false" ht="15" hidden="false" customHeight="false" outlineLevel="0" collapsed="false">
      <c r="A404" s="3" t="s">
        <v>852</v>
      </c>
      <c r="B404" s="3" t="s">
        <v>152</v>
      </c>
      <c r="C404" s="4" t="n">
        <v>854.15</v>
      </c>
      <c r="D404" s="4" t="n">
        <v>1117.1</v>
      </c>
      <c r="E404" s="3" t="s">
        <v>1479</v>
      </c>
      <c r="F404" s="4" t="n">
        <f aca="false">IF(AND(ISNUMBER(C404),ISNUMBER(D404)),D404-C404,"N/A")</f>
        <v>262.95</v>
      </c>
      <c r="G404" s="6" t="n">
        <f aca="false">IF(ISNUMBER(F404),F404/C404*100,"N/A")</f>
        <v>30.7849909266522</v>
      </c>
      <c r="H404" s="3" t="str">
        <f aca="false">IF(NOT(ISNUMBER(F404)),"NO CURRENT DATA",IF(F404&gt;0,"RISEN",IF(F404&lt;0,"FALLEN","UNCHANGED")))</f>
        <v>RISEN</v>
      </c>
      <c r="I404" s="3" t="s">
        <v>1480</v>
      </c>
      <c r="J404" s="3" t="n">
        <v>3</v>
      </c>
    </row>
    <row r="405" customFormat="false" ht="15" hidden="false" customHeight="false" outlineLevel="0" collapsed="false">
      <c r="A405" s="3" t="s">
        <v>852</v>
      </c>
      <c r="B405" s="3" t="s">
        <v>414</v>
      </c>
      <c r="C405" s="4" t="n">
        <v>1178.6</v>
      </c>
      <c r="D405" s="4" t="n">
        <v>1640.6</v>
      </c>
      <c r="E405" s="3" t="s">
        <v>1479</v>
      </c>
      <c r="F405" s="4" t="n">
        <f aca="false">IF(AND(ISNUMBER(C405),ISNUMBER(D405)),D405-C405,"N/A")</f>
        <v>462</v>
      </c>
      <c r="G405" s="6" t="n">
        <f aca="false">IF(ISNUMBER(F405),F405/C405*100,"N/A")</f>
        <v>39.1990497200068</v>
      </c>
      <c r="H405" s="3" t="str">
        <f aca="false">IF(NOT(ISNUMBER(F405)),"NO CURRENT DATA",IF(F405&gt;0,"RISEN",IF(F405&lt;0,"FALLEN","UNCHANGED")))</f>
        <v>RISEN</v>
      </c>
      <c r="I405" s="3" t="s">
        <v>1480</v>
      </c>
      <c r="J405" s="3" t="n">
        <v>1</v>
      </c>
    </row>
    <row r="406" customFormat="false" ht="15" hidden="false" customHeight="false" outlineLevel="0" collapsed="false">
      <c r="A406" s="3" t="s">
        <v>852</v>
      </c>
      <c r="B406" s="3" t="s">
        <v>237</v>
      </c>
      <c r="C406" s="4" t="n">
        <v>1627.3</v>
      </c>
      <c r="D406" s="4" t="n">
        <v>1952.2</v>
      </c>
      <c r="E406" s="3" t="s">
        <v>1479</v>
      </c>
      <c r="F406" s="4" t="n">
        <f aca="false">IF(AND(ISNUMBER(C406),ISNUMBER(D406)),D406-C406,"N/A")</f>
        <v>324.9</v>
      </c>
      <c r="G406" s="6" t="n">
        <f aca="false">IF(ISNUMBER(F406),F406/C406*100,"N/A")</f>
        <v>19.9655871689301</v>
      </c>
      <c r="H406" s="3" t="str">
        <f aca="false">IF(NOT(ISNUMBER(F406)),"NO CURRENT DATA",IF(F406&gt;0,"RISEN",IF(F406&lt;0,"FALLEN","UNCHANGED")))</f>
        <v>RISEN</v>
      </c>
      <c r="I406" s="3" t="s">
        <v>1480</v>
      </c>
      <c r="J406" s="3" t="n">
        <v>3</v>
      </c>
    </row>
    <row r="407" customFormat="false" ht="15" hidden="false" customHeight="false" outlineLevel="0" collapsed="false">
      <c r="A407" s="3" t="s">
        <v>852</v>
      </c>
      <c r="B407" s="3" t="s">
        <v>441</v>
      </c>
      <c r="C407" s="4" t="n">
        <v>807.65</v>
      </c>
      <c r="D407" s="4" t="n">
        <v>1085</v>
      </c>
      <c r="E407" s="3" t="s">
        <v>1479</v>
      </c>
      <c r="F407" s="4" t="n">
        <f aca="false">IF(AND(ISNUMBER(C407),ISNUMBER(D407)),D407-C407,"N/A")</f>
        <v>277.35</v>
      </c>
      <c r="G407" s="6" t="n">
        <f aca="false">IF(ISNUMBER(F407),F407/C407*100,"N/A")</f>
        <v>34.3403702098681</v>
      </c>
      <c r="H407" s="3" t="str">
        <f aca="false">IF(NOT(ISNUMBER(F407)),"NO CURRENT DATA",IF(F407&gt;0,"RISEN",IF(F407&lt;0,"FALLEN","UNCHANGED")))</f>
        <v>RISEN</v>
      </c>
      <c r="I407" s="3" t="s">
        <v>1480</v>
      </c>
      <c r="J407" s="3" t="n">
        <v>1</v>
      </c>
    </row>
    <row r="408" customFormat="false" ht="15" hidden="false" customHeight="false" outlineLevel="0" collapsed="false">
      <c r="A408" s="3" t="s">
        <v>852</v>
      </c>
      <c r="B408" s="3" t="s">
        <v>859</v>
      </c>
      <c r="C408" s="4" t="n">
        <v>7374.5</v>
      </c>
      <c r="D408" s="4" t="n">
        <v>8191</v>
      </c>
      <c r="E408" s="3" t="s">
        <v>1479</v>
      </c>
      <c r="F408" s="4" t="n">
        <f aca="false">IF(AND(ISNUMBER(C408),ISNUMBER(D408)),D408-C408,"N/A")</f>
        <v>816.5</v>
      </c>
      <c r="G408" s="6" t="n">
        <f aca="false">IF(ISNUMBER(F408),F408/C408*100,"N/A")</f>
        <v>11.07193708048</v>
      </c>
      <c r="H408" s="3" t="str">
        <f aca="false">IF(NOT(ISNUMBER(F408)),"NO CURRENT DATA",IF(F408&gt;0,"RISEN",IF(F408&lt;0,"FALLEN","UNCHANGED")))</f>
        <v>RISEN</v>
      </c>
      <c r="I408" s="3" t="s">
        <v>1480</v>
      </c>
      <c r="J408" s="3" t="n">
        <v>0</v>
      </c>
    </row>
    <row r="409" customFormat="false" ht="15" hidden="false" customHeight="false" outlineLevel="0" collapsed="false">
      <c r="A409" s="3" t="s">
        <v>852</v>
      </c>
      <c r="B409" s="3" t="s">
        <v>574</v>
      </c>
      <c r="C409" s="4" t="n">
        <v>348.05</v>
      </c>
      <c r="D409" s="4" t="n">
        <v>303.25</v>
      </c>
      <c r="E409" s="3" t="s">
        <v>1479</v>
      </c>
      <c r="F409" s="4" t="n">
        <f aca="false">IF(AND(ISNUMBER(C409),ISNUMBER(D409)),D409-C409,"N/A")</f>
        <v>-44.8</v>
      </c>
      <c r="G409" s="6" t="n">
        <f aca="false">IF(ISNUMBER(F409),F409/C409*100,"N/A")</f>
        <v>-12.8717138342192</v>
      </c>
      <c r="H409" s="3" t="str">
        <f aca="false">IF(NOT(ISNUMBER(F409)),"NO CURRENT DATA",IF(F409&gt;0,"RISEN",IF(F409&lt;0,"FALLEN","UNCHANGED")))</f>
        <v>FALLEN</v>
      </c>
      <c r="I409" s="3" t="s">
        <v>1480</v>
      </c>
      <c r="J409" s="3" t="n">
        <v>1</v>
      </c>
    </row>
    <row r="410" customFormat="false" ht="15" hidden="false" customHeight="false" outlineLevel="0" collapsed="false">
      <c r="A410" s="3" t="s">
        <v>863</v>
      </c>
      <c r="B410" s="3" t="s">
        <v>686</v>
      </c>
      <c r="C410" s="4" t="n">
        <v>468.15</v>
      </c>
      <c r="D410" s="4" t="n">
        <v>422.5</v>
      </c>
      <c r="E410" s="3" t="s">
        <v>1479</v>
      </c>
      <c r="F410" s="4" t="n">
        <f aca="false">IF(AND(ISNUMBER(C410),ISNUMBER(D410)),D410-C410,"N/A")</f>
        <v>-45.65</v>
      </c>
      <c r="G410" s="6" t="n">
        <f aca="false">IF(ISNUMBER(F410),F410/C410*100,"N/A")</f>
        <v>-9.7511481362811</v>
      </c>
      <c r="H410" s="3" t="str">
        <f aca="false">IF(NOT(ISNUMBER(F410)),"NO CURRENT DATA",IF(F410&gt;0,"RISEN",IF(F410&lt;0,"FALLEN","UNCHANGED")))</f>
        <v>FALLEN</v>
      </c>
      <c r="I410" s="3" t="s">
        <v>1480</v>
      </c>
      <c r="J410" s="3" t="n">
        <v>2</v>
      </c>
    </row>
    <row r="411" customFormat="false" ht="15" hidden="false" customHeight="false" outlineLevel="0" collapsed="false">
      <c r="A411" s="3" t="s">
        <v>863</v>
      </c>
      <c r="B411" s="3" t="s">
        <v>96</v>
      </c>
      <c r="C411" s="4" t="n">
        <v>422.85</v>
      </c>
      <c r="D411" s="4" t="n">
        <v>407.5</v>
      </c>
      <c r="E411" s="3" t="s">
        <v>1479</v>
      </c>
      <c r="F411" s="4" t="n">
        <f aca="false">IF(AND(ISNUMBER(C411),ISNUMBER(D411)),D411-C411,"N/A")</f>
        <v>-15.35</v>
      </c>
      <c r="G411" s="6" t="n">
        <f aca="false">IF(ISNUMBER(F411),F411/C411*100,"N/A")</f>
        <v>-3.63012888731229</v>
      </c>
      <c r="H411" s="3" t="str">
        <f aca="false">IF(NOT(ISNUMBER(F411)),"NO CURRENT DATA",IF(F411&gt;0,"RISEN",IF(F411&lt;0,"FALLEN","UNCHANGED")))</f>
        <v>FALLEN</v>
      </c>
      <c r="I411" s="3" t="s">
        <v>1480</v>
      </c>
      <c r="J411" s="3" t="n">
        <v>7</v>
      </c>
    </row>
    <row r="412" customFormat="false" ht="15" hidden="false" customHeight="false" outlineLevel="0" collapsed="false">
      <c r="A412" s="3" t="s">
        <v>863</v>
      </c>
      <c r="B412" s="3" t="s">
        <v>562</v>
      </c>
      <c r="C412" s="4" t="n">
        <v>2616.3</v>
      </c>
      <c r="D412" s="4" t="n">
        <v>3150</v>
      </c>
      <c r="E412" s="3" t="s">
        <v>1479</v>
      </c>
      <c r="F412" s="4" t="n">
        <f aca="false">IF(AND(ISNUMBER(C412),ISNUMBER(D412)),D412-C412,"N/A")</f>
        <v>533.7</v>
      </c>
      <c r="G412" s="6" t="n">
        <f aca="false">IF(ISNUMBER(F412),F412/C412*100,"N/A")</f>
        <v>20.3990368077055</v>
      </c>
      <c r="H412" s="3" t="str">
        <f aca="false">IF(NOT(ISNUMBER(F412)),"NO CURRENT DATA",IF(F412&gt;0,"RISEN",IF(F412&lt;0,"FALLEN","UNCHANGED")))</f>
        <v>RISEN</v>
      </c>
      <c r="I412" s="3" t="s">
        <v>1480</v>
      </c>
      <c r="J412" s="3" t="n">
        <v>2</v>
      </c>
    </row>
    <row r="413" customFormat="false" ht="15" hidden="false" customHeight="false" outlineLevel="0" collapsed="false">
      <c r="A413" s="3" t="s">
        <v>863</v>
      </c>
      <c r="B413" s="3" t="s">
        <v>591</v>
      </c>
      <c r="C413" s="4" t="n">
        <v>1333.7</v>
      </c>
      <c r="D413" s="4" t="n">
        <v>1252.6</v>
      </c>
      <c r="E413" s="3" t="s">
        <v>1479</v>
      </c>
      <c r="F413" s="4" t="n">
        <f aca="false">IF(AND(ISNUMBER(C413),ISNUMBER(D413)),D413-C413,"N/A")</f>
        <v>-81.1000000000001</v>
      </c>
      <c r="G413" s="6" t="n">
        <f aca="false">IF(ISNUMBER(F413),F413/C413*100,"N/A")</f>
        <v>-6.08082777236261</v>
      </c>
      <c r="H413" s="3" t="str">
        <f aca="false">IF(NOT(ISNUMBER(F413)),"NO CURRENT DATA",IF(F413&gt;0,"RISEN",IF(F413&lt;0,"FALLEN","UNCHANGED")))</f>
        <v>FALLEN</v>
      </c>
      <c r="I413" s="3" t="s">
        <v>1480</v>
      </c>
      <c r="J413" s="3" t="n">
        <v>2</v>
      </c>
    </row>
    <row r="414" customFormat="false" ht="15" hidden="false" customHeight="false" outlineLevel="0" collapsed="false">
      <c r="A414" s="3" t="s">
        <v>863</v>
      </c>
      <c r="B414" s="3" t="s">
        <v>868</v>
      </c>
      <c r="C414" s="4" t="n">
        <v>5275.5</v>
      </c>
      <c r="D414" s="4" t="n">
        <v>5390</v>
      </c>
      <c r="E414" s="3" t="s">
        <v>1479</v>
      </c>
      <c r="F414" s="4" t="n">
        <f aca="false">IF(AND(ISNUMBER(C414),ISNUMBER(D414)),D414-C414,"N/A")</f>
        <v>114.5</v>
      </c>
      <c r="G414" s="6" t="n">
        <f aca="false">IF(ISNUMBER(F414),F414/C414*100,"N/A")</f>
        <v>2.17041038764098</v>
      </c>
      <c r="H414" s="3" t="str">
        <f aca="false">IF(NOT(ISNUMBER(F414)),"NO CURRENT DATA",IF(F414&gt;0,"RISEN",IF(F414&lt;0,"FALLEN","UNCHANGED")))</f>
        <v>RISEN</v>
      </c>
      <c r="I414" s="3" t="s">
        <v>1480</v>
      </c>
      <c r="J414" s="3" t="n">
        <v>0</v>
      </c>
    </row>
    <row r="415" customFormat="false" ht="15" hidden="false" customHeight="false" outlineLevel="0" collapsed="false">
      <c r="A415" s="3" t="s">
        <v>863</v>
      </c>
      <c r="B415" s="3" t="s">
        <v>871</v>
      </c>
      <c r="C415" s="4" t="n">
        <v>1255.9</v>
      </c>
      <c r="D415" s="4" t="n">
        <v>1003.2</v>
      </c>
      <c r="E415" s="3" t="s">
        <v>1479</v>
      </c>
      <c r="F415" s="4" t="n">
        <f aca="false">IF(AND(ISNUMBER(C415),ISNUMBER(D415)),D415-C415,"N/A")</f>
        <v>-252.7</v>
      </c>
      <c r="G415" s="6" t="n">
        <f aca="false">IF(ISNUMBER(F415),F415/C415*100,"N/A")</f>
        <v>-20.1210287443268</v>
      </c>
      <c r="H415" s="3" t="str">
        <f aca="false">IF(NOT(ISNUMBER(F415)),"NO CURRENT DATA",IF(F415&gt;0,"RISEN",IF(F415&lt;0,"FALLEN","UNCHANGED")))</f>
        <v>FALLEN</v>
      </c>
      <c r="I415" s="3" t="s">
        <v>1480</v>
      </c>
      <c r="J415" s="3" t="n">
        <v>0</v>
      </c>
    </row>
    <row r="416" customFormat="false" ht="15" hidden="false" customHeight="false" outlineLevel="0" collapsed="false">
      <c r="A416" s="3" t="s">
        <v>863</v>
      </c>
      <c r="B416" s="3" t="s">
        <v>762</v>
      </c>
      <c r="C416" s="4" t="n">
        <v>964.8</v>
      </c>
      <c r="D416" s="4" t="n">
        <v>1000.1</v>
      </c>
      <c r="E416" s="3" t="s">
        <v>1479</v>
      </c>
      <c r="F416" s="4" t="n">
        <f aca="false">IF(AND(ISNUMBER(C416),ISNUMBER(D416)),D416-C416,"N/A")</f>
        <v>35.3000000000001</v>
      </c>
      <c r="G416" s="6" t="n">
        <f aca="false">IF(ISNUMBER(F416),F416/C416*100,"N/A")</f>
        <v>3.65878938640133</v>
      </c>
      <c r="H416" s="3" t="str">
        <f aca="false">IF(NOT(ISNUMBER(F416)),"NO CURRENT DATA",IF(F416&gt;0,"RISEN",IF(F416&lt;0,"FALLEN","UNCHANGED")))</f>
        <v>RISEN</v>
      </c>
      <c r="I416" s="3" t="s">
        <v>1480</v>
      </c>
      <c r="J416" s="3" t="n">
        <v>1</v>
      </c>
    </row>
    <row r="417" customFormat="false" ht="15" hidden="false" customHeight="false" outlineLevel="0" collapsed="false">
      <c r="A417" s="3" t="s">
        <v>863</v>
      </c>
      <c r="B417" s="3" t="s">
        <v>80</v>
      </c>
      <c r="C417" s="4" t="n">
        <v>1639.3</v>
      </c>
      <c r="D417" s="4" t="n">
        <v>1444</v>
      </c>
      <c r="E417" s="3" t="s">
        <v>1479</v>
      </c>
      <c r="F417" s="4" t="n">
        <f aca="false">IF(AND(ISNUMBER(C417),ISNUMBER(D417)),D417-C417,"N/A")</f>
        <v>-195.3</v>
      </c>
      <c r="G417" s="6" t="n">
        <f aca="false">IF(ISNUMBER(F417),F417/C417*100,"N/A")</f>
        <v>-11.913621667785</v>
      </c>
      <c r="H417" s="3" t="str">
        <f aca="false">IF(NOT(ISNUMBER(F417)),"NO CURRENT DATA",IF(F417&gt;0,"RISEN",IF(F417&lt;0,"FALLEN","UNCHANGED")))</f>
        <v>FALLEN</v>
      </c>
      <c r="I417" s="3" t="s">
        <v>1480</v>
      </c>
      <c r="J417" s="3" t="n">
        <v>5</v>
      </c>
    </row>
    <row r="418" customFormat="false" ht="15" hidden="false" customHeight="false" outlineLevel="0" collapsed="false">
      <c r="A418" s="3" t="s">
        <v>863</v>
      </c>
      <c r="B418" s="3" t="s">
        <v>876</v>
      </c>
      <c r="C418" s="4" t="n">
        <v>2909.5</v>
      </c>
      <c r="D418" s="4" t="n">
        <v>2349</v>
      </c>
      <c r="E418" s="3" t="s">
        <v>1479</v>
      </c>
      <c r="F418" s="4" t="n">
        <f aca="false">IF(AND(ISNUMBER(C418),ISNUMBER(D418)),D418-C418,"N/A")</f>
        <v>-560.5</v>
      </c>
      <c r="G418" s="6" t="n">
        <f aca="false">IF(ISNUMBER(F418),F418/C418*100,"N/A")</f>
        <v>-19.2644784327204</v>
      </c>
      <c r="H418" s="3" t="str">
        <f aca="false">IF(NOT(ISNUMBER(F418)),"NO CURRENT DATA",IF(F418&gt;0,"RISEN",IF(F418&lt;0,"FALLEN","UNCHANGED")))</f>
        <v>FALLEN</v>
      </c>
      <c r="I418" s="3" t="s">
        <v>1480</v>
      </c>
      <c r="J418" s="3" t="n">
        <v>0</v>
      </c>
    </row>
    <row r="419" customFormat="false" ht="15" hidden="false" customHeight="false" outlineLevel="0" collapsed="false">
      <c r="A419" s="3" t="s">
        <v>863</v>
      </c>
      <c r="B419" s="3" t="s">
        <v>529</v>
      </c>
      <c r="C419" s="4" t="n">
        <v>297.6</v>
      </c>
      <c r="D419" s="4" t="n">
        <v>261.85</v>
      </c>
      <c r="E419" s="3" t="s">
        <v>1479</v>
      </c>
      <c r="F419" s="4" t="n">
        <f aca="false">IF(AND(ISNUMBER(C419),ISNUMBER(D419)),D419-C419,"N/A")</f>
        <v>-35.75</v>
      </c>
      <c r="G419" s="6" t="n">
        <f aca="false">IF(ISNUMBER(F419),F419/C419*100,"N/A")</f>
        <v>-12.0127688172043</v>
      </c>
      <c r="H419" s="3" t="str">
        <f aca="false">IF(NOT(ISNUMBER(F419)),"NO CURRENT DATA",IF(F419&gt;0,"RISEN",IF(F419&lt;0,"FALLEN","UNCHANGED")))</f>
        <v>FALLEN</v>
      </c>
      <c r="I419" s="3" t="s">
        <v>1480</v>
      </c>
      <c r="J419" s="3" t="n">
        <v>2</v>
      </c>
    </row>
    <row r="420" customFormat="false" ht="15" hidden="false" customHeight="false" outlineLevel="0" collapsed="false">
      <c r="A420" s="3" t="s">
        <v>863</v>
      </c>
      <c r="B420" s="3" t="s">
        <v>880</v>
      </c>
      <c r="C420" s="4" t="n">
        <v>1414.4</v>
      </c>
      <c r="D420" s="4" t="n">
        <v>1197.6</v>
      </c>
      <c r="E420" s="3" t="s">
        <v>1479</v>
      </c>
      <c r="F420" s="4" t="n">
        <f aca="false">IF(AND(ISNUMBER(C420),ISNUMBER(D420)),D420-C420,"N/A")</f>
        <v>-216.8</v>
      </c>
      <c r="G420" s="6" t="n">
        <f aca="false">IF(ISNUMBER(F420),F420/C420*100,"N/A")</f>
        <v>-15.3280542986425</v>
      </c>
      <c r="H420" s="3" t="str">
        <f aca="false">IF(NOT(ISNUMBER(F420)),"NO CURRENT DATA",IF(F420&gt;0,"RISEN",IF(F420&lt;0,"FALLEN","UNCHANGED")))</f>
        <v>FALLEN</v>
      </c>
      <c r="I420" s="3" t="s">
        <v>1480</v>
      </c>
      <c r="J420" s="3" t="n">
        <v>0</v>
      </c>
    </row>
    <row r="421" customFormat="false" ht="15" hidden="false" customHeight="false" outlineLevel="0" collapsed="false">
      <c r="A421" s="3" t="s">
        <v>863</v>
      </c>
      <c r="B421" s="3" t="s">
        <v>145</v>
      </c>
      <c r="C421" s="4" t="n">
        <v>1384.8</v>
      </c>
      <c r="D421" s="4" t="n">
        <v>1542.2</v>
      </c>
      <c r="E421" s="3" t="s">
        <v>1479</v>
      </c>
      <c r="F421" s="4" t="n">
        <f aca="false">IF(AND(ISNUMBER(C421),ISNUMBER(D421)),D421-C421,"N/A")</f>
        <v>157.4</v>
      </c>
      <c r="G421" s="6" t="n">
        <f aca="false">IF(ISNUMBER(F421),F421/C421*100,"N/A")</f>
        <v>11.366262276141</v>
      </c>
      <c r="H421" s="3" t="str">
        <f aca="false">IF(NOT(ISNUMBER(F421)),"NO CURRENT DATA",IF(F421&gt;0,"RISEN",IF(F421&lt;0,"FALLEN","UNCHANGED")))</f>
        <v>RISEN</v>
      </c>
      <c r="I421" s="3" t="s">
        <v>1480</v>
      </c>
      <c r="J421" s="3" t="n">
        <v>5</v>
      </c>
    </row>
    <row r="422" customFormat="false" ht="15" hidden="false" customHeight="false" outlineLevel="0" collapsed="false">
      <c r="A422" s="3" t="s">
        <v>863</v>
      </c>
      <c r="B422" s="3" t="s">
        <v>814</v>
      </c>
      <c r="C422" s="4" t="n">
        <v>314.1</v>
      </c>
      <c r="D422" s="4" t="n">
        <v>281.75</v>
      </c>
      <c r="E422" s="3" t="s">
        <v>1479</v>
      </c>
      <c r="F422" s="4" t="n">
        <f aca="false">IF(AND(ISNUMBER(C422),ISNUMBER(D422)),D422-C422,"N/A")</f>
        <v>-32.35</v>
      </c>
      <c r="G422" s="6" t="n">
        <f aca="false">IF(ISNUMBER(F422),F422/C422*100,"N/A")</f>
        <v>-10.2992677491245</v>
      </c>
      <c r="H422" s="3" t="str">
        <f aca="false">IF(NOT(ISNUMBER(F422)),"NO CURRENT DATA",IF(F422&gt;0,"RISEN",IF(F422&lt;0,"FALLEN","UNCHANGED")))</f>
        <v>FALLEN</v>
      </c>
      <c r="I422" s="3" t="s">
        <v>1480</v>
      </c>
      <c r="J422" s="3" t="n">
        <v>1</v>
      </c>
    </row>
    <row r="423" customFormat="false" ht="15" hidden="false" customHeight="false" outlineLevel="0" collapsed="false">
      <c r="A423" s="3" t="s">
        <v>863</v>
      </c>
      <c r="B423" s="3" t="s">
        <v>223</v>
      </c>
      <c r="C423" s="4" t="n">
        <v>190.9</v>
      </c>
      <c r="D423" s="4" t="n">
        <v>161.56</v>
      </c>
      <c r="E423" s="3" t="s">
        <v>1479</v>
      </c>
      <c r="F423" s="4" t="n">
        <f aca="false">IF(AND(ISNUMBER(C423),ISNUMBER(D423)),D423-C423,"N/A")</f>
        <v>-29.34</v>
      </c>
      <c r="G423" s="6" t="n">
        <f aca="false">IF(ISNUMBER(F423),F423/C423*100,"N/A")</f>
        <v>-15.3693033001572</v>
      </c>
      <c r="H423" s="3" t="str">
        <f aca="false">IF(NOT(ISNUMBER(F423)),"NO CURRENT DATA",IF(F423&gt;0,"RISEN",IF(F423&lt;0,"FALLEN","UNCHANGED")))</f>
        <v>FALLEN</v>
      </c>
      <c r="I423" s="3" t="s">
        <v>1480</v>
      </c>
      <c r="J423" s="3" t="n">
        <v>2</v>
      </c>
    </row>
    <row r="424" customFormat="false" ht="15" hidden="false" customHeight="false" outlineLevel="0" collapsed="false">
      <c r="A424" s="3" t="s">
        <v>886</v>
      </c>
      <c r="B424" s="3" t="s">
        <v>591</v>
      </c>
      <c r="C424" s="4" t="n">
        <v>1358.6</v>
      </c>
      <c r="D424" s="4" t="n">
        <v>1252.6</v>
      </c>
      <c r="E424" s="3" t="s">
        <v>1479</v>
      </c>
      <c r="F424" s="4" t="n">
        <f aca="false">IF(AND(ISNUMBER(C424),ISNUMBER(D424)),D424-C424,"N/A")</f>
        <v>-106</v>
      </c>
      <c r="G424" s="6" t="n">
        <f aca="false">IF(ISNUMBER(F424),F424/C424*100,"N/A")</f>
        <v>-7.8021492713087</v>
      </c>
      <c r="H424" s="3" t="str">
        <f aca="false">IF(NOT(ISNUMBER(F424)),"NO CURRENT DATA",IF(F424&gt;0,"RISEN",IF(F424&lt;0,"FALLEN","UNCHANGED")))</f>
        <v>FALLEN</v>
      </c>
      <c r="I424" s="3" t="s">
        <v>1480</v>
      </c>
      <c r="J424" s="3" t="n">
        <v>2</v>
      </c>
    </row>
    <row r="425" customFormat="false" ht="15" hidden="false" customHeight="false" outlineLevel="0" collapsed="false">
      <c r="A425" s="3" t="s">
        <v>888</v>
      </c>
      <c r="B425" s="3" t="s">
        <v>227</v>
      </c>
      <c r="C425" s="4" t="n">
        <v>1385.4</v>
      </c>
      <c r="D425" s="4" t="n">
        <v>1743.7</v>
      </c>
      <c r="E425" s="3" t="s">
        <v>1479</v>
      </c>
      <c r="F425" s="4" t="n">
        <f aca="false">IF(AND(ISNUMBER(C425),ISNUMBER(D425)),D425-C425,"N/A")</f>
        <v>358.3</v>
      </c>
      <c r="G425" s="6" t="n">
        <f aca="false">IF(ISNUMBER(F425),F425/C425*100,"N/A")</f>
        <v>25.8625667677205</v>
      </c>
      <c r="H425" s="3" t="str">
        <f aca="false">IF(NOT(ISNUMBER(F425)),"NO CURRENT DATA",IF(F425&gt;0,"RISEN",IF(F425&lt;0,"FALLEN","UNCHANGED")))</f>
        <v>RISEN</v>
      </c>
      <c r="I425" s="3" t="s">
        <v>1480</v>
      </c>
      <c r="J425" s="3" t="n">
        <v>1</v>
      </c>
    </row>
    <row r="426" customFormat="false" ht="15" hidden="false" customHeight="false" outlineLevel="0" collapsed="false">
      <c r="A426" s="3" t="s">
        <v>888</v>
      </c>
      <c r="B426" s="3" t="s">
        <v>380</v>
      </c>
      <c r="C426" s="4" t="n">
        <v>1342.1</v>
      </c>
      <c r="D426" s="4" t="n">
        <v>1697.5</v>
      </c>
      <c r="E426" s="3" t="s">
        <v>1479</v>
      </c>
      <c r="F426" s="4" t="n">
        <f aca="false">IF(AND(ISNUMBER(C426),ISNUMBER(D426)),D426-C426,"N/A")</f>
        <v>355.4</v>
      </c>
      <c r="G426" s="6" t="n">
        <f aca="false">IF(ISNUMBER(F426),F426/C426*100,"N/A")</f>
        <v>26.4808881603457</v>
      </c>
      <c r="H426" s="3" t="str">
        <f aca="false">IF(NOT(ISNUMBER(F426)),"NO CURRENT DATA",IF(F426&gt;0,"RISEN",IF(F426&lt;0,"FALLEN","UNCHANGED")))</f>
        <v>RISEN</v>
      </c>
      <c r="I426" s="3" t="s">
        <v>1480</v>
      </c>
      <c r="J426" s="3" t="n">
        <v>2</v>
      </c>
    </row>
    <row r="427" customFormat="false" ht="15" hidden="false" customHeight="false" outlineLevel="0" collapsed="false">
      <c r="A427" s="3" t="s">
        <v>888</v>
      </c>
      <c r="B427" s="3" t="s">
        <v>213</v>
      </c>
      <c r="C427" s="4" t="n">
        <v>817.3</v>
      </c>
      <c r="D427" s="4" t="n">
        <v>985</v>
      </c>
      <c r="E427" s="3" t="s">
        <v>1479</v>
      </c>
      <c r="F427" s="4" t="n">
        <f aca="false">IF(AND(ISNUMBER(C427),ISNUMBER(D427)),D427-C427,"N/A")</f>
        <v>167.7</v>
      </c>
      <c r="G427" s="6" t="n">
        <f aca="false">IF(ISNUMBER(F427),F427/C427*100,"N/A")</f>
        <v>20.5187813532363</v>
      </c>
      <c r="H427" s="3" t="str">
        <f aca="false">IF(NOT(ISNUMBER(F427)),"NO CURRENT DATA",IF(F427&gt;0,"RISEN",IF(F427&lt;0,"FALLEN","UNCHANGED")))</f>
        <v>RISEN</v>
      </c>
      <c r="I427" s="3" t="s">
        <v>1480</v>
      </c>
      <c r="J427" s="3" t="n">
        <v>1</v>
      </c>
    </row>
    <row r="428" customFormat="false" ht="15" hidden="false" customHeight="false" outlineLevel="0" collapsed="false">
      <c r="A428" s="3" t="s">
        <v>888</v>
      </c>
      <c r="B428" s="3" t="s">
        <v>892</v>
      </c>
      <c r="C428" s="4" t="n">
        <v>742.25</v>
      </c>
      <c r="D428" s="4" t="n">
        <v>719.05</v>
      </c>
      <c r="E428" s="3" t="s">
        <v>1479</v>
      </c>
      <c r="F428" s="4" t="n">
        <f aca="false">IF(AND(ISNUMBER(C428),ISNUMBER(D428)),D428-C428,"N/A")</f>
        <v>-23.2</v>
      </c>
      <c r="G428" s="6" t="n">
        <f aca="false">IF(ISNUMBER(F428),F428/C428*100,"N/A")</f>
        <v>-3.12563152576626</v>
      </c>
      <c r="H428" s="3" t="str">
        <f aca="false">IF(NOT(ISNUMBER(F428)),"NO CURRENT DATA",IF(F428&gt;0,"RISEN",IF(F428&lt;0,"FALLEN","UNCHANGED")))</f>
        <v>FALLEN</v>
      </c>
      <c r="I428" s="3" t="s">
        <v>1480</v>
      </c>
      <c r="J428" s="3" t="n">
        <v>0</v>
      </c>
    </row>
    <row r="429" customFormat="false" ht="15" hidden="false" customHeight="false" outlineLevel="0" collapsed="false">
      <c r="A429" s="3" t="s">
        <v>888</v>
      </c>
      <c r="B429" s="3" t="s">
        <v>602</v>
      </c>
      <c r="C429" s="4" t="n">
        <v>1212.7</v>
      </c>
      <c r="D429" s="4" t="n">
        <v>1302</v>
      </c>
      <c r="E429" s="3" t="s">
        <v>1479</v>
      </c>
      <c r="F429" s="4" t="n">
        <f aca="false">IF(AND(ISNUMBER(C429),ISNUMBER(D429)),D429-C429,"N/A")</f>
        <v>89.3</v>
      </c>
      <c r="G429" s="6" t="n">
        <f aca="false">IF(ISNUMBER(F429),F429/C429*100,"N/A")</f>
        <v>7.36373381710233</v>
      </c>
      <c r="H429" s="3" t="str">
        <f aca="false">IF(NOT(ISNUMBER(F429)),"NO CURRENT DATA",IF(F429&gt;0,"RISEN",IF(F429&lt;0,"FALLEN","UNCHANGED")))</f>
        <v>RISEN</v>
      </c>
      <c r="I429" s="3" t="s">
        <v>1480</v>
      </c>
      <c r="J429" s="3" t="n">
        <v>3</v>
      </c>
    </row>
    <row r="430" customFormat="false" ht="15" hidden="false" customHeight="false" outlineLevel="0" collapsed="false">
      <c r="A430" s="3" t="s">
        <v>888</v>
      </c>
      <c r="B430" s="3" t="s">
        <v>364</v>
      </c>
      <c r="C430" s="4" t="n">
        <v>513.35</v>
      </c>
      <c r="D430" s="4" t="n">
        <v>458.7</v>
      </c>
      <c r="E430" s="3" t="s">
        <v>1479</v>
      </c>
      <c r="F430" s="4" t="n">
        <f aca="false">IF(AND(ISNUMBER(C430),ISNUMBER(D430)),D430-C430,"N/A")</f>
        <v>-54.65</v>
      </c>
      <c r="G430" s="6" t="n">
        <f aca="false">IF(ISNUMBER(F430),F430/C430*100,"N/A")</f>
        <v>-10.6457582546021</v>
      </c>
      <c r="H430" s="3" t="str">
        <f aca="false">IF(NOT(ISNUMBER(F430)),"NO CURRENT DATA",IF(F430&gt;0,"RISEN",IF(F430&lt;0,"FALLEN","UNCHANGED")))</f>
        <v>FALLEN</v>
      </c>
      <c r="I430" s="3" t="s">
        <v>1480</v>
      </c>
      <c r="J430" s="3" t="n">
        <v>5</v>
      </c>
    </row>
    <row r="431" customFormat="false" ht="15" hidden="false" customHeight="false" outlineLevel="0" collapsed="false">
      <c r="A431" s="3" t="s">
        <v>888</v>
      </c>
      <c r="B431" s="3" t="s">
        <v>897</v>
      </c>
      <c r="C431" s="4" t="n">
        <v>744.5</v>
      </c>
      <c r="D431" s="4" t="n">
        <v>813.25</v>
      </c>
      <c r="E431" s="3" t="s">
        <v>1479</v>
      </c>
      <c r="F431" s="4" t="n">
        <f aca="false">IF(AND(ISNUMBER(C431),ISNUMBER(D431)),D431-C431,"N/A")</f>
        <v>68.75</v>
      </c>
      <c r="G431" s="6" t="n">
        <f aca="false">IF(ISNUMBER(F431),F431/C431*100,"N/A")</f>
        <v>9.23438549361988</v>
      </c>
      <c r="H431" s="3" t="str">
        <f aca="false">IF(NOT(ISNUMBER(F431)),"NO CURRENT DATA",IF(F431&gt;0,"RISEN",IF(F431&lt;0,"FALLEN","UNCHANGED")))</f>
        <v>RISEN</v>
      </c>
      <c r="I431" s="3" t="s">
        <v>1480</v>
      </c>
      <c r="J431" s="3" t="n">
        <v>0</v>
      </c>
    </row>
    <row r="432" customFormat="false" ht="15" hidden="false" customHeight="false" outlineLevel="0" collapsed="false">
      <c r="A432" s="3" t="s">
        <v>888</v>
      </c>
      <c r="B432" s="3" t="s">
        <v>368</v>
      </c>
      <c r="C432" s="4" t="n">
        <v>107.62</v>
      </c>
      <c r="D432" s="4" t="n">
        <v>162.37</v>
      </c>
      <c r="E432" s="3" t="s">
        <v>1479</v>
      </c>
      <c r="F432" s="4" t="n">
        <f aca="false">IF(AND(ISNUMBER(C432),ISNUMBER(D432)),D432-C432,"N/A")</f>
        <v>54.75</v>
      </c>
      <c r="G432" s="6" t="n">
        <f aca="false">IF(ISNUMBER(F432),F432/C432*100,"N/A")</f>
        <v>50.8734435978443</v>
      </c>
      <c r="H432" s="3" t="str">
        <f aca="false">IF(NOT(ISNUMBER(F432)),"NO CURRENT DATA",IF(F432&gt;0,"RISEN",IF(F432&lt;0,"FALLEN","UNCHANGED")))</f>
        <v>RISEN</v>
      </c>
      <c r="I432" s="3" t="s">
        <v>1480</v>
      </c>
      <c r="J432" s="3" t="n">
        <v>3</v>
      </c>
    </row>
    <row r="433" customFormat="false" ht="15" hidden="false" customHeight="false" outlineLevel="0" collapsed="false">
      <c r="A433" s="3" t="s">
        <v>888</v>
      </c>
      <c r="B433" s="3" t="s">
        <v>901</v>
      </c>
      <c r="C433" s="4" t="n">
        <v>865.15</v>
      </c>
      <c r="D433" s="4" t="n">
        <v>1093.9</v>
      </c>
      <c r="E433" s="3" t="s">
        <v>1479</v>
      </c>
      <c r="F433" s="4" t="n">
        <f aca="false">IF(AND(ISNUMBER(C433),ISNUMBER(D433)),D433-C433,"N/A")</f>
        <v>228.75</v>
      </c>
      <c r="G433" s="6" t="n">
        <f aca="false">IF(ISNUMBER(F433),F433/C433*100,"N/A")</f>
        <v>26.4405016471132</v>
      </c>
      <c r="H433" s="3" t="str">
        <f aca="false">IF(NOT(ISNUMBER(F433)),"NO CURRENT DATA",IF(F433&gt;0,"RISEN",IF(F433&lt;0,"FALLEN","UNCHANGED")))</f>
        <v>RISEN</v>
      </c>
      <c r="I433" s="3" t="s">
        <v>1480</v>
      </c>
      <c r="J433" s="3" t="n">
        <v>0</v>
      </c>
    </row>
    <row r="434" customFormat="false" ht="15" hidden="false" customHeight="false" outlineLevel="0" collapsed="false">
      <c r="A434" s="3" t="s">
        <v>888</v>
      </c>
      <c r="B434" s="3" t="s">
        <v>544</v>
      </c>
      <c r="C434" s="4" t="n">
        <v>1180.8</v>
      </c>
      <c r="D434" s="4" t="n">
        <v>1346</v>
      </c>
      <c r="E434" s="3" t="s">
        <v>1479</v>
      </c>
      <c r="F434" s="4" t="n">
        <f aca="false">IF(AND(ISNUMBER(C434),ISNUMBER(D434)),D434-C434,"N/A")</f>
        <v>165.2</v>
      </c>
      <c r="G434" s="6" t="n">
        <f aca="false">IF(ISNUMBER(F434),F434/C434*100,"N/A")</f>
        <v>13.9905149051491</v>
      </c>
      <c r="H434" s="3" t="str">
        <f aca="false">IF(NOT(ISNUMBER(F434)),"NO CURRENT DATA",IF(F434&gt;0,"RISEN",IF(F434&lt;0,"FALLEN","UNCHANGED")))</f>
        <v>RISEN</v>
      </c>
      <c r="I434" s="3" t="s">
        <v>1480</v>
      </c>
      <c r="J434" s="3" t="n">
        <v>2</v>
      </c>
    </row>
    <row r="435" customFormat="false" ht="15" hidden="false" customHeight="false" outlineLevel="0" collapsed="false">
      <c r="A435" s="3" t="s">
        <v>888</v>
      </c>
      <c r="B435" s="3" t="s">
        <v>765</v>
      </c>
      <c r="C435" s="4" t="n">
        <v>239.97</v>
      </c>
      <c r="D435" s="4" t="n">
        <v>325.5</v>
      </c>
      <c r="E435" s="3" t="s">
        <v>1479</v>
      </c>
      <c r="F435" s="4" t="n">
        <f aca="false">IF(AND(ISNUMBER(C435),ISNUMBER(D435)),D435-C435,"N/A")</f>
        <v>85.53</v>
      </c>
      <c r="G435" s="6" t="n">
        <f aca="false">IF(ISNUMBER(F435),F435/C435*100,"N/A")</f>
        <v>35.6419552444056</v>
      </c>
      <c r="H435" s="3" t="str">
        <f aca="false">IF(NOT(ISNUMBER(F435)),"NO CURRENT DATA",IF(F435&gt;0,"RISEN",IF(F435&lt;0,"FALLEN","UNCHANGED")))</f>
        <v>RISEN</v>
      </c>
      <c r="I435" s="3" t="s">
        <v>1480</v>
      </c>
      <c r="J435" s="3" t="n">
        <v>1</v>
      </c>
    </row>
    <row r="436" customFormat="false" ht="15" hidden="false" customHeight="false" outlineLevel="0" collapsed="false">
      <c r="A436" s="3" t="s">
        <v>888</v>
      </c>
      <c r="B436" s="3" t="s">
        <v>441</v>
      </c>
      <c r="C436" s="4" t="n">
        <v>780.05</v>
      </c>
      <c r="D436" s="4" t="n">
        <v>1085</v>
      </c>
      <c r="E436" s="3" t="s">
        <v>1479</v>
      </c>
      <c r="F436" s="4" t="n">
        <f aca="false">IF(AND(ISNUMBER(C436),ISNUMBER(D436)),D436-C436,"N/A")</f>
        <v>304.95</v>
      </c>
      <c r="G436" s="6" t="n">
        <f aca="false">IF(ISNUMBER(F436),F436/C436*100,"N/A")</f>
        <v>39.093647843087</v>
      </c>
      <c r="H436" s="3" t="str">
        <f aca="false">IF(NOT(ISNUMBER(F436)),"NO CURRENT DATA",IF(F436&gt;0,"RISEN",IF(F436&lt;0,"FALLEN","UNCHANGED")))</f>
        <v>RISEN</v>
      </c>
      <c r="I436" s="3" t="s">
        <v>1480</v>
      </c>
      <c r="J436" s="3" t="n">
        <v>2</v>
      </c>
    </row>
    <row r="437" customFormat="false" ht="15" hidden="false" customHeight="false" outlineLevel="0" collapsed="false">
      <c r="A437" s="3" t="s">
        <v>888</v>
      </c>
      <c r="B437" s="3" t="s">
        <v>907</v>
      </c>
      <c r="C437" s="4" t="n">
        <v>937.7</v>
      </c>
      <c r="D437" s="4" t="n">
        <v>906</v>
      </c>
      <c r="E437" s="3" t="s">
        <v>1479</v>
      </c>
      <c r="F437" s="4" t="n">
        <f aca="false">IF(AND(ISNUMBER(C437),ISNUMBER(D437)),D437-C437,"N/A")</f>
        <v>-31.7</v>
      </c>
      <c r="G437" s="6" t="n">
        <f aca="false">IF(ISNUMBER(F437),F437/C437*100,"N/A")</f>
        <v>-3.38061213607764</v>
      </c>
      <c r="H437" s="3" t="str">
        <f aca="false">IF(NOT(ISNUMBER(F437)),"NO CURRENT DATA",IF(F437&gt;0,"RISEN",IF(F437&lt;0,"FALLEN","UNCHANGED")))</f>
        <v>FALLEN</v>
      </c>
      <c r="I437" s="3" t="s">
        <v>1480</v>
      </c>
      <c r="J437" s="3" t="n">
        <v>0</v>
      </c>
    </row>
    <row r="438" customFormat="false" ht="15" hidden="false" customHeight="false" outlineLevel="0" collapsed="false">
      <c r="A438" s="3" t="s">
        <v>888</v>
      </c>
      <c r="B438" s="3" t="s">
        <v>550</v>
      </c>
      <c r="C438" s="4" t="n">
        <v>1144.9</v>
      </c>
      <c r="D438" s="4" t="n">
        <v>1470.8</v>
      </c>
      <c r="E438" s="3" t="s">
        <v>1479</v>
      </c>
      <c r="F438" s="4" t="n">
        <f aca="false">IF(AND(ISNUMBER(C438),ISNUMBER(D438)),D438-C438,"N/A")</f>
        <v>325.9</v>
      </c>
      <c r="G438" s="6" t="n">
        <f aca="false">IF(ISNUMBER(F438),F438/C438*100,"N/A")</f>
        <v>28.465368154424</v>
      </c>
      <c r="H438" s="3" t="str">
        <f aca="false">IF(NOT(ISNUMBER(F438)),"NO CURRENT DATA",IF(F438&gt;0,"RISEN",IF(F438&lt;0,"FALLEN","UNCHANGED")))</f>
        <v>RISEN</v>
      </c>
      <c r="I438" s="3" t="s">
        <v>1480</v>
      </c>
      <c r="J438" s="3" t="n">
        <v>1</v>
      </c>
    </row>
    <row r="439" customFormat="false" ht="15" hidden="false" customHeight="false" outlineLevel="0" collapsed="false">
      <c r="A439" s="3" t="s">
        <v>888</v>
      </c>
      <c r="B439" s="3" t="s">
        <v>406</v>
      </c>
      <c r="C439" s="4" t="n">
        <v>155.82</v>
      </c>
      <c r="D439" s="4" t="n">
        <v>184.2</v>
      </c>
      <c r="E439" s="3" t="s">
        <v>1479</v>
      </c>
      <c r="F439" s="4" t="n">
        <f aca="false">IF(AND(ISNUMBER(C439),ISNUMBER(D439)),D439-C439,"N/A")</f>
        <v>28.38</v>
      </c>
      <c r="G439" s="6" t="n">
        <f aca="false">IF(ISNUMBER(F439),F439/C439*100,"N/A")</f>
        <v>18.2133230650751</v>
      </c>
      <c r="H439" s="3" t="str">
        <f aca="false">IF(NOT(ISNUMBER(F439)),"NO CURRENT DATA",IF(F439&gt;0,"RISEN",IF(F439&lt;0,"FALLEN","UNCHANGED")))</f>
        <v>RISEN</v>
      </c>
      <c r="I439" s="3" t="s">
        <v>1480</v>
      </c>
      <c r="J439" s="3" t="n">
        <v>2</v>
      </c>
    </row>
    <row r="440" customFormat="false" ht="15" hidden="false" customHeight="false" outlineLevel="0" collapsed="false">
      <c r="A440" s="3" t="s">
        <v>888</v>
      </c>
      <c r="B440" s="3" t="s">
        <v>912</v>
      </c>
      <c r="C440" s="4" t="n">
        <v>265.3</v>
      </c>
      <c r="D440" s="4" t="n">
        <v>256</v>
      </c>
      <c r="E440" s="3" t="s">
        <v>1479</v>
      </c>
      <c r="F440" s="4" t="n">
        <f aca="false">IF(AND(ISNUMBER(C440),ISNUMBER(D440)),D440-C440,"N/A")</f>
        <v>-9.30000000000001</v>
      </c>
      <c r="G440" s="6" t="n">
        <f aca="false">IF(ISNUMBER(F440),F440/C440*100,"N/A")</f>
        <v>-3.50546551074256</v>
      </c>
      <c r="H440" s="3" t="str">
        <f aca="false">IF(NOT(ISNUMBER(F440)),"NO CURRENT DATA",IF(F440&gt;0,"RISEN",IF(F440&lt;0,"FALLEN","UNCHANGED")))</f>
        <v>FALLEN</v>
      </c>
      <c r="I440" s="3" t="s">
        <v>1480</v>
      </c>
      <c r="J440" s="3" t="n">
        <v>0</v>
      </c>
    </row>
    <row r="441" customFormat="false" ht="15" hidden="false" customHeight="false" outlineLevel="0" collapsed="false">
      <c r="A441" s="3" t="s">
        <v>915</v>
      </c>
      <c r="B441" s="3" t="s">
        <v>152</v>
      </c>
      <c r="C441" s="4" t="n">
        <v>696.05</v>
      </c>
      <c r="D441" s="4" t="n">
        <v>1117.1</v>
      </c>
      <c r="E441" s="3" t="s">
        <v>1479</v>
      </c>
      <c r="F441" s="4" t="n">
        <f aca="false">IF(AND(ISNUMBER(C441),ISNUMBER(D441)),D441-C441,"N/A")</f>
        <v>421.05</v>
      </c>
      <c r="G441" s="6" t="n">
        <f aca="false">IF(ISNUMBER(F441),F441/C441*100,"N/A")</f>
        <v>60.4913440126428</v>
      </c>
      <c r="H441" s="3" t="str">
        <f aca="false">IF(NOT(ISNUMBER(F441)),"NO CURRENT DATA",IF(F441&gt;0,"RISEN",IF(F441&lt;0,"FALLEN","UNCHANGED")))</f>
        <v>RISEN</v>
      </c>
      <c r="I441" s="3" t="s">
        <v>1480</v>
      </c>
      <c r="J441" s="3" t="n">
        <v>4</v>
      </c>
    </row>
    <row r="442" customFormat="false" ht="15" hidden="false" customHeight="false" outlineLevel="0" collapsed="false">
      <c r="A442" s="3" t="s">
        <v>915</v>
      </c>
      <c r="B442" s="3" t="s">
        <v>917</v>
      </c>
      <c r="C442" s="4" t="n">
        <v>4303.9</v>
      </c>
      <c r="D442" s="4" t="n">
        <v>4091.4</v>
      </c>
      <c r="E442" s="3" t="s">
        <v>1479</v>
      </c>
      <c r="F442" s="4" t="n">
        <f aca="false">IF(AND(ISNUMBER(C442),ISNUMBER(D442)),D442-C442,"N/A")</f>
        <v>-212.5</v>
      </c>
      <c r="G442" s="6" t="n">
        <f aca="false">IF(ISNUMBER(F442),F442/C442*100,"N/A")</f>
        <v>-4.93738237412578</v>
      </c>
      <c r="H442" s="3" t="str">
        <f aca="false">IF(NOT(ISNUMBER(F442)),"NO CURRENT DATA",IF(F442&gt;0,"RISEN",IF(F442&lt;0,"FALLEN","UNCHANGED")))</f>
        <v>FALLEN</v>
      </c>
      <c r="I442" s="3" t="s">
        <v>1480</v>
      </c>
      <c r="J442" s="3" t="n">
        <v>0</v>
      </c>
    </row>
    <row r="443" customFormat="false" ht="15" hidden="false" customHeight="false" outlineLevel="0" collapsed="false">
      <c r="A443" s="3" t="s">
        <v>915</v>
      </c>
      <c r="B443" s="3" t="s">
        <v>897</v>
      </c>
      <c r="C443" s="4" t="n">
        <v>761.35</v>
      </c>
      <c r="D443" s="4" t="n">
        <v>813.25</v>
      </c>
      <c r="E443" s="3" t="s">
        <v>1479</v>
      </c>
      <c r="F443" s="4" t="n">
        <f aca="false">IF(AND(ISNUMBER(C443),ISNUMBER(D443)),D443-C443,"N/A")</f>
        <v>51.9</v>
      </c>
      <c r="G443" s="6" t="n">
        <f aca="false">IF(ISNUMBER(F443),F443/C443*100,"N/A")</f>
        <v>6.81683851054048</v>
      </c>
      <c r="H443" s="3" t="str">
        <f aca="false">IF(NOT(ISNUMBER(F443)),"NO CURRENT DATA",IF(F443&gt;0,"RISEN",IF(F443&lt;0,"FALLEN","UNCHANGED")))</f>
        <v>RISEN</v>
      </c>
      <c r="I443" s="3" t="s">
        <v>1480</v>
      </c>
      <c r="J443" s="3" t="n">
        <v>0</v>
      </c>
    </row>
    <row r="444" customFormat="false" ht="15" hidden="false" customHeight="false" outlineLevel="0" collapsed="false">
      <c r="A444" s="3" t="s">
        <v>915</v>
      </c>
      <c r="B444" s="3" t="s">
        <v>765</v>
      </c>
      <c r="C444" s="4" t="n">
        <v>245.98</v>
      </c>
      <c r="D444" s="4" t="n">
        <v>325.5</v>
      </c>
      <c r="E444" s="3" t="s">
        <v>1479</v>
      </c>
      <c r="F444" s="4" t="n">
        <f aca="false">IF(AND(ISNUMBER(C444),ISNUMBER(D444)),D444-C444,"N/A")</f>
        <v>79.52</v>
      </c>
      <c r="G444" s="6" t="n">
        <f aca="false">IF(ISNUMBER(F444),F444/C444*100,"N/A")</f>
        <v>32.3278315310188</v>
      </c>
      <c r="H444" s="3" t="str">
        <f aca="false">IF(NOT(ISNUMBER(F444)),"NO CURRENT DATA",IF(F444&gt;0,"RISEN",IF(F444&lt;0,"FALLEN","UNCHANGED")))</f>
        <v>RISEN</v>
      </c>
      <c r="I444" s="3" t="s">
        <v>1480</v>
      </c>
      <c r="J444" s="3" t="n">
        <v>1</v>
      </c>
    </row>
    <row r="445" customFormat="false" ht="15" hidden="false" customHeight="false" outlineLevel="0" collapsed="false">
      <c r="A445" s="3" t="s">
        <v>915</v>
      </c>
      <c r="B445" s="3" t="s">
        <v>550</v>
      </c>
      <c r="C445" s="4" t="n">
        <v>1152</v>
      </c>
      <c r="D445" s="4" t="n">
        <v>1470.8</v>
      </c>
      <c r="E445" s="3" t="s">
        <v>1479</v>
      </c>
      <c r="F445" s="4" t="n">
        <f aca="false">IF(AND(ISNUMBER(C445),ISNUMBER(D445)),D445-C445,"N/A")</f>
        <v>318.8</v>
      </c>
      <c r="G445" s="6" t="n">
        <f aca="false">IF(ISNUMBER(F445),F445/C445*100,"N/A")</f>
        <v>27.6736111111111</v>
      </c>
      <c r="H445" s="3" t="str">
        <f aca="false">IF(NOT(ISNUMBER(F445)),"NO CURRENT DATA",IF(F445&gt;0,"RISEN",IF(F445&lt;0,"FALLEN","UNCHANGED")))</f>
        <v>RISEN</v>
      </c>
      <c r="I445" s="3" t="s">
        <v>1480</v>
      </c>
      <c r="J445" s="3" t="n">
        <v>1</v>
      </c>
    </row>
    <row r="446" customFormat="false" ht="15" hidden="false" customHeight="false" outlineLevel="0" collapsed="false">
      <c r="A446" s="3" t="s">
        <v>915</v>
      </c>
      <c r="B446" s="3" t="s">
        <v>923</v>
      </c>
      <c r="C446" s="4" t="n">
        <v>2450.7</v>
      </c>
      <c r="D446" s="4" t="n">
        <v>2070.7</v>
      </c>
      <c r="E446" s="3" t="s">
        <v>1479</v>
      </c>
      <c r="F446" s="4" t="n">
        <f aca="false">IF(AND(ISNUMBER(C446),ISNUMBER(D446)),D446-C446,"N/A")</f>
        <v>-380</v>
      </c>
      <c r="G446" s="6" t="n">
        <f aca="false">IF(ISNUMBER(F446),F446/C446*100,"N/A")</f>
        <v>-15.5057738605296</v>
      </c>
      <c r="H446" s="3" t="str">
        <f aca="false">IF(NOT(ISNUMBER(F446)),"NO CURRENT DATA",IF(F446&gt;0,"RISEN",IF(F446&lt;0,"FALLEN","UNCHANGED")))</f>
        <v>FALLEN</v>
      </c>
      <c r="I446" s="3" t="s">
        <v>1480</v>
      </c>
      <c r="J446" s="3" t="n">
        <v>0</v>
      </c>
    </row>
    <row r="447" customFormat="false" ht="15" hidden="false" customHeight="false" outlineLevel="0" collapsed="false">
      <c r="A447" s="3" t="s">
        <v>915</v>
      </c>
      <c r="B447" s="3" t="s">
        <v>926</v>
      </c>
      <c r="C447" s="4" t="n">
        <v>4097.2</v>
      </c>
      <c r="D447" s="4" t="n">
        <v>4819.5</v>
      </c>
      <c r="E447" s="3" t="s">
        <v>1479</v>
      </c>
      <c r="F447" s="4" t="n">
        <f aca="false">IF(AND(ISNUMBER(C447),ISNUMBER(D447)),D447-C447,"N/A")</f>
        <v>722.3</v>
      </c>
      <c r="G447" s="6" t="n">
        <f aca="false">IF(ISNUMBER(F447),F447/C447*100,"N/A")</f>
        <v>17.6291125646783</v>
      </c>
      <c r="H447" s="3" t="str">
        <f aca="false">IF(NOT(ISNUMBER(F447)),"NO CURRENT DATA",IF(F447&gt;0,"RISEN",IF(F447&lt;0,"FALLEN","UNCHANGED")))</f>
        <v>RISEN</v>
      </c>
      <c r="I447" s="3" t="s">
        <v>1480</v>
      </c>
      <c r="J447" s="3" t="n">
        <v>0</v>
      </c>
    </row>
    <row r="448" customFormat="false" ht="15" hidden="false" customHeight="false" outlineLevel="0" collapsed="false">
      <c r="A448" s="3" t="s">
        <v>929</v>
      </c>
      <c r="B448" s="3" t="s">
        <v>930</v>
      </c>
      <c r="C448" s="4" t="n">
        <v>163.26</v>
      </c>
      <c r="D448" s="4" t="n">
        <v>196.14</v>
      </c>
      <c r="E448" s="3" t="s">
        <v>1479</v>
      </c>
      <c r="F448" s="4" t="n">
        <f aca="false">IF(AND(ISNUMBER(C448),ISNUMBER(D448)),D448-C448,"N/A")</f>
        <v>32.88</v>
      </c>
      <c r="G448" s="6" t="n">
        <f aca="false">IF(ISNUMBER(F448),F448/C448*100,"N/A")</f>
        <v>20.1396545387725</v>
      </c>
      <c r="H448" s="3" t="str">
        <f aca="false">IF(NOT(ISNUMBER(F448)),"NO CURRENT DATA",IF(F448&gt;0,"RISEN",IF(F448&lt;0,"FALLEN","UNCHANGED")))</f>
        <v>RISEN</v>
      </c>
      <c r="I448" s="3" t="s">
        <v>1480</v>
      </c>
      <c r="J448" s="3" t="n">
        <v>0</v>
      </c>
    </row>
    <row r="449" customFormat="false" ht="15" hidden="false" customHeight="false" outlineLevel="0" collapsed="false">
      <c r="A449" s="3" t="s">
        <v>929</v>
      </c>
      <c r="B449" s="3" t="s">
        <v>152</v>
      </c>
      <c r="C449" s="4" t="n">
        <v>710.25</v>
      </c>
      <c r="D449" s="4" t="n">
        <v>1117.1</v>
      </c>
      <c r="E449" s="3" t="s">
        <v>1479</v>
      </c>
      <c r="F449" s="4" t="n">
        <f aca="false">IF(AND(ISNUMBER(C449),ISNUMBER(D449)),D449-C449,"N/A")</f>
        <v>406.85</v>
      </c>
      <c r="G449" s="6" t="n">
        <f aca="false">IF(ISNUMBER(F449),F449/C449*100,"N/A")</f>
        <v>57.2826469552974</v>
      </c>
      <c r="H449" s="3" t="str">
        <f aca="false">IF(NOT(ISNUMBER(F449)),"NO CURRENT DATA",IF(F449&gt;0,"RISEN",IF(F449&lt;0,"FALLEN","UNCHANGED")))</f>
        <v>RISEN</v>
      </c>
      <c r="I449" s="3" t="s">
        <v>1480</v>
      </c>
      <c r="J449" s="3" t="n">
        <v>4</v>
      </c>
    </row>
    <row r="450" customFormat="false" ht="15" hidden="false" customHeight="false" outlineLevel="0" collapsed="false">
      <c r="A450" s="3" t="s">
        <v>929</v>
      </c>
      <c r="B450" s="3" t="s">
        <v>901</v>
      </c>
      <c r="C450" s="4" t="n">
        <v>839.65</v>
      </c>
      <c r="D450" s="4" t="n">
        <v>1093.9</v>
      </c>
      <c r="E450" s="3" t="s">
        <v>1479</v>
      </c>
      <c r="F450" s="4" t="n">
        <f aca="false">IF(AND(ISNUMBER(C450),ISNUMBER(D450)),D450-C450,"N/A")</f>
        <v>254.25</v>
      </c>
      <c r="G450" s="6" t="n">
        <f aca="false">IF(ISNUMBER(F450),F450/C450*100,"N/A")</f>
        <v>30.2804740070268</v>
      </c>
      <c r="H450" s="3" t="str">
        <f aca="false">IF(NOT(ISNUMBER(F450)),"NO CURRENT DATA",IF(F450&gt;0,"RISEN",IF(F450&lt;0,"FALLEN","UNCHANGED")))</f>
        <v>RISEN</v>
      </c>
      <c r="I450" s="3" t="s">
        <v>1480</v>
      </c>
      <c r="J450" s="3" t="n">
        <v>1</v>
      </c>
    </row>
    <row r="451" customFormat="false" ht="15" hidden="false" customHeight="false" outlineLevel="0" collapsed="false">
      <c r="A451" s="3" t="s">
        <v>929</v>
      </c>
      <c r="B451" s="3" t="s">
        <v>765</v>
      </c>
      <c r="C451" s="4" t="n">
        <v>252.52</v>
      </c>
      <c r="D451" s="4" t="n">
        <v>325.5</v>
      </c>
      <c r="E451" s="3" t="s">
        <v>1479</v>
      </c>
      <c r="F451" s="4" t="n">
        <f aca="false">IF(AND(ISNUMBER(C451),ISNUMBER(D451)),D451-C451,"N/A")</f>
        <v>72.98</v>
      </c>
      <c r="G451" s="6" t="n">
        <f aca="false">IF(ISNUMBER(F451),F451/C451*100,"N/A")</f>
        <v>28.9006811341676</v>
      </c>
      <c r="H451" s="3" t="str">
        <f aca="false">IF(NOT(ISNUMBER(F451)),"NO CURRENT DATA",IF(F451&gt;0,"RISEN",IF(F451&lt;0,"FALLEN","UNCHANGED")))</f>
        <v>RISEN</v>
      </c>
      <c r="I451" s="3" t="s">
        <v>1480</v>
      </c>
      <c r="J451" s="3" t="n">
        <v>1</v>
      </c>
    </row>
    <row r="452" customFormat="false" ht="15" hidden="false" customHeight="false" outlineLevel="0" collapsed="false">
      <c r="A452" s="3" t="s">
        <v>929</v>
      </c>
      <c r="B452" s="3" t="s">
        <v>300</v>
      </c>
      <c r="C452" s="4" t="n">
        <v>1032.75</v>
      </c>
      <c r="D452" s="4" t="n">
        <v>962</v>
      </c>
      <c r="E452" s="3" t="s">
        <v>1479</v>
      </c>
      <c r="F452" s="4" t="n">
        <f aca="false">IF(AND(ISNUMBER(C452),ISNUMBER(D452)),D452-C452,"N/A")</f>
        <v>-70.75</v>
      </c>
      <c r="G452" s="6" t="n">
        <f aca="false">IF(ISNUMBER(F452),F452/C452*100,"N/A")</f>
        <v>-6.85064149116437</v>
      </c>
      <c r="H452" s="3" t="str">
        <f aca="false">IF(NOT(ISNUMBER(F452)),"NO CURRENT DATA",IF(F452&gt;0,"RISEN",IF(F452&lt;0,"FALLEN","UNCHANGED")))</f>
        <v>FALLEN</v>
      </c>
      <c r="I452" s="3" t="s">
        <v>1480</v>
      </c>
      <c r="J452" s="3" t="n">
        <v>4</v>
      </c>
    </row>
    <row r="453" customFormat="false" ht="15" hidden="false" customHeight="false" outlineLevel="0" collapsed="false">
      <c r="A453" s="3" t="s">
        <v>929</v>
      </c>
      <c r="B453" s="3" t="s">
        <v>142</v>
      </c>
      <c r="C453" s="4" t="n">
        <v>1055.2</v>
      </c>
      <c r="D453" s="4" t="n">
        <v>960</v>
      </c>
      <c r="E453" s="3" t="s">
        <v>1479</v>
      </c>
      <c r="F453" s="4" t="n">
        <f aca="false">IF(AND(ISNUMBER(C453),ISNUMBER(D453)),D453-C453,"N/A")</f>
        <v>-95.2000000000001</v>
      </c>
      <c r="G453" s="6" t="n">
        <f aca="false">IF(ISNUMBER(F453),F453/C453*100,"N/A")</f>
        <v>-9.02198635329796</v>
      </c>
      <c r="H453" s="3" t="str">
        <f aca="false">IF(NOT(ISNUMBER(F453)),"NO CURRENT DATA",IF(F453&gt;0,"RISEN",IF(F453&lt;0,"FALLEN","UNCHANGED")))</f>
        <v>FALLEN</v>
      </c>
      <c r="I453" s="3" t="s">
        <v>1480</v>
      </c>
      <c r="J453" s="3" t="n">
        <v>3</v>
      </c>
    </row>
    <row r="454" customFormat="false" ht="15" hidden="false" customHeight="false" outlineLevel="0" collapsed="false">
      <c r="A454" s="3" t="s">
        <v>929</v>
      </c>
      <c r="B454" s="3" t="s">
        <v>926</v>
      </c>
      <c r="C454" s="4" t="n">
        <v>4246.1</v>
      </c>
      <c r="D454" s="4" t="n">
        <v>4819.5</v>
      </c>
      <c r="E454" s="3" t="s">
        <v>1479</v>
      </c>
      <c r="F454" s="4" t="n">
        <f aca="false">IF(AND(ISNUMBER(C454),ISNUMBER(D454)),D454-C454,"N/A")</f>
        <v>573.4</v>
      </c>
      <c r="G454" s="6" t="n">
        <f aca="false">IF(ISNUMBER(F454),F454/C454*100,"N/A")</f>
        <v>13.504156755611</v>
      </c>
      <c r="H454" s="3" t="str">
        <f aca="false">IF(NOT(ISNUMBER(F454)),"NO CURRENT DATA",IF(F454&gt;0,"RISEN",IF(F454&lt;0,"FALLEN","UNCHANGED")))</f>
        <v>RISEN</v>
      </c>
      <c r="I454" s="3" t="s">
        <v>1480</v>
      </c>
      <c r="J454" s="3" t="n">
        <v>0</v>
      </c>
    </row>
    <row r="455" customFormat="false" ht="15" hidden="false" customHeight="false" outlineLevel="0" collapsed="false">
      <c r="A455" s="3" t="s">
        <v>939</v>
      </c>
      <c r="B455" s="3" t="s">
        <v>210</v>
      </c>
      <c r="C455" s="4" t="n">
        <v>1684.4</v>
      </c>
      <c r="D455" s="4" t="n">
        <v>1752</v>
      </c>
      <c r="E455" s="3" t="s">
        <v>1479</v>
      </c>
      <c r="F455" s="4" t="n">
        <f aca="false">IF(AND(ISNUMBER(C455),ISNUMBER(D455)),D455-C455,"N/A")</f>
        <v>67.5999999999999</v>
      </c>
      <c r="G455" s="6" t="n">
        <f aca="false">IF(ISNUMBER(F455),F455/C455*100,"N/A")</f>
        <v>4.0132985039183</v>
      </c>
      <c r="H455" s="3" t="str">
        <f aca="false">IF(NOT(ISNUMBER(F455)),"NO CURRENT DATA",IF(F455&gt;0,"RISEN",IF(F455&lt;0,"FALLEN","UNCHANGED")))</f>
        <v>RISEN</v>
      </c>
      <c r="I455" s="3" t="s">
        <v>1480</v>
      </c>
      <c r="J455" s="3" t="n">
        <v>1</v>
      </c>
    </row>
    <row r="456" customFormat="false" ht="15" hidden="false" customHeight="false" outlineLevel="0" collapsed="false">
      <c r="A456" s="3" t="s">
        <v>939</v>
      </c>
      <c r="B456" s="3" t="s">
        <v>245</v>
      </c>
      <c r="C456" s="4" t="n">
        <v>2110.6</v>
      </c>
      <c r="D456" s="4" t="n">
        <v>1896</v>
      </c>
      <c r="E456" s="3" t="s">
        <v>1479</v>
      </c>
      <c r="F456" s="4" t="n">
        <f aca="false">IF(AND(ISNUMBER(C456),ISNUMBER(D456)),D456-C456,"N/A")</f>
        <v>-214.6</v>
      </c>
      <c r="G456" s="6" t="n">
        <f aca="false">IF(ISNUMBER(F456),F456/C456*100,"N/A")</f>
        <v>-10.1677248175874</v>
      </c>
      <c r="H456" s="3" t="str">
        <f aca="false">IF(NOT(ISNUMBER(F456)),"NO CURRENT DATA",IF(F456&gt;0,"RISEN",IF(F456&lt;0,"FALLEN","UNCHANGED")))</f>
        <v>FALLEN</v>
      </c>
      <c r="I456" s="3" t="s">
        <v>1480</v>
      </c>
      <c r="J456" s="3" t="n">
        <v>2</v>
      </c>
    </row>
    <row r="457" customFormat="false" ht="15" hidden="false" customHeight="false" outlineLevel="0" collapsed="false">
      <c r="A457" s="3" t="s">
        <v>939</v>
      </c>
      <c r="B457" s="3" t="s">
        <v>175</v>
      </c>
      <c r="C457" s="4" t="n">
        <v>1151.9</v>
      </c>
      <c r="D457" s="4" t="n">
        <v>1264.1</v>
      </c>
      <c r="E457" s="3" t="s">
        <v>1479</v>
      </c>
      <c r="F457" s="4" t="n">
        <f aca="false">IF(AND(ISNUMBER(C457),ISNUMBER(D457)),D457-C457,"N/A")</f>
        <v>112.2</v>
      </c>
      <c r="G457" s="6" t="n">
        <f aca="false">IF(ISNUMBER(F457),F457/C457*100,"N/A")</f>
        <v>9.74042885667157</v>
      </c>
      <c r="H457" s="3" t="str">
        <f aca="false">IF(NOT(ISNUMBER(F457)),"NO CURRENT DATA",IF(F457&gt;0,"RISEN",IF(F457&lt;0,"FALLEN","UNCHANGED")))</f>
        <v>RISEN</v>
      </c>
      <c r="I457" s="3" t="s">
        <v>1480</v>
      </c>
      <c r="J457" s="3" t="n">
        <v>5</v>
      </c>
    </row>
    <row r="458" customFormat="false" ht="15" hidden="false" customHeight="false" outlineLevel="0" collapsed="false">
      <c r="A458" s="3" t="s">
        <v>943</v>
      </c>
      <c r="B458" s="3" t="s">
        <v>708</v>
      </c>
      <c r="C458" s="4" t="n">
        <v>6565</v>
      </c>
      <c r="D458" s="4" t="n">
        <v>6972.5</v>
      </c>
      <c r="E458" s="3" t="s">
        <v>1479</v>
      </c>
      <c r="F458" s="4" t="n">
        <f aca="false">IF(AND(ISNUMBER(C458),ISNUMBER(D458)),D458-C458,"N/A")</f>
        <v>407.5</v>
      </c>
      <c r="G458" s="6" t="n">
        <f aca="false">IF(ISNUMBER(F458),F458/C458*100,"N/A")</f>
        <v>6.20715917745621</v>
      </c>
      <c r="H458" s="3" t="str">
        <f aca="false">IF(NOT(ISNUMBER(F458)),"NO CURRENT DATA",IF(F458&gt;0,"RISEN",IF(F458&lt;0,"FALLEN","UNCHANGED")))</f>
        <v>RISEN</v>
      </c>
      <c r="I458" s="3" t="s">
        <v>1480</v>
      </c>
      <c r="J458" s="3" t="n">
        <v>1</v>
      </c>
    </row>
    <row r="459" customFormat="false" ht="15" hidden="false" customHeight="false" outlineLevel="0" collapsed="false">
      <c r="A459" s="3" t="s">
        <v>943</v>
      </c>
      <c r="B459" s="3" t="s">
        <v>380</v>
      </c>
      <c r="C459" s="4" t="n">
        <v>1335.7</v>
      </c>
      <c r="D459" s="4" t="n">
        <v>1697.5</v>
      </c>
      <c r="E459" s="3" t="s">
        <v>1479</v>
      </c>
      <c r="F459" s="4" t="n">
        <f aca="false">IF(AND(ISNUMBER(C459),ISNUMBER(D459)),D459-C459,"N/A")</f>
        <v>361.8</v>
      </c>
      <c r="G459" s="6" t="n">
        <f aca="false">IF(ISNUMBER(F459),F459/C459*100,"N/A")</f>
        <v>27.0869207157296</v>
      </c>
      <c r="H459" s="3" t="str">
        <f aca="false">IF(NOT(ISNUMBER(F459)),"NO CURRENT DATA",IF(F459&gt;0,"RISEN",IF(F459&lt;0,"FALLEN","UNCHANGED")))</f>
        <v>RISEN</v>
      </c>
      <c r="I459" s="3" t="s">
        <v>1480</v>
      </c>
      <c r="J459" s="3" t="n">
        <v>3</v>
      </c>
    </row>
    <row r="460" customFormat="false" ht="15" hidden="false" customHeight="false" outlineLevel="0" collapsed="false">
      <c r="A460" s="3" t="s">
        <v>943</v>
      </c>
      <c r="B460" s="3" t="s">
        <v>328</v>
      </c>
      <c r="C460" s="4" t="n">
        <v>5594.5</v>
      </c>
      <c r="D460" s="4" t="n">
        <v>4915</v>
      </c>
      <c r="E460" s="3" t="s">
        <v>1479</v>
      </c>
      <c r="F460" s="4" t="n">
        <f aca="false">IF(AND(ISNUMBER(C460),ISNUMBER(D460)),D460-C460,"N/A")</f>
        <v>-679.5</v>
      </c>
      <c r="G460" s="6" t="n">
        <f aca="false">IF(ISNUMBER(F460),F460/C460*100,"N/A")</f>
        <v>-12.145857538654</v>
      </c>
      <c r="H460" s="3" t="str">
        <f aca="false">IF(NOT(ISNUMBER(F460)),"NO CURRENT DATA",IF(F460&gt;0,"RISEN",IF(F460&lt;0,"FALLEN","UNCHANGED")))</f>
        <v>FALLEN</v>
      </c>
      <c r="I460" s="3" t="s">
        <v>1480</v>
      </c>
      <c r="J460" s="3" t="n">
        <v>4</v>
      </c>
    </row>
    <row r="461" customFormat="false" ht="15" hidden="false" customHeight="false" outlineLevel="0" collapsed="false">
      <c r="A461" s="3" t="s">
        <v>943</v>
      </c>
      <c r="B461" s="3" t="s">
        <v>319</v>
      </c>
      <c r="C461" s="4" t="n">
        <v>1554.3</v>
      </c>
      <c r="D461" s="4" t="n">
        <v>1634.2</v>
      </c>
      <c r="E461" s="3" t="s">
        <v>1479</v>
      </c>
      <c r="F461" s="4" t="n">
        <f aca="false">IF(AND(ISNUMBER(C461),ISNUMBER(D461)),D461-C461,"N/A")</f>
        <v>79.9000000000001</v>
      </c>
      <c r="G461" s="6" t="n">
        <f aca="false">IF(ISNUMBER(F461),F461/C461*100,"N/A")</f>
        <v>5.14057775204273</v>
      </c>
      <c r="H461" s="3" t="str">
        <f aca="false">IF(NOT(ISNUMBER(F461)),"NO CURRENT DATA",IF(F461&gt;0,"RISEN",IF(F461&lt;0,"FALLEN","UNCHANGED")))</f>
        <v>RISEN</v>
      </c>
      <c r="I461" s="3" t="s">
        <v>1480</v>
      </c>
      <c r="J461" s="3" t="n">
        <v>2</v>
      </c>
    </row>
    <row r="462" customFormat="false" ht="15" hidden="false" customHeight="false" outlineLevel="0" collapsed="false">
      <c r="A462" s="3" t="s">
        <v>943</v>
      </c>
      <c r="B462" s="3" t="s">
        <v>216</v>
      </c>
      <c r="C462" s="4" t="n">
        <v>1215.9</v>
      </c>
      <c r="D462" s="4" t="n">
        <v>1383.7</v>
      </c>
      <c r="E462" s="3" t="s">
        <v>1479</v>
      </c>
      <c r="F462" s="4" t="n">
        <f aca="false">IF(AND(ISNUMBER(C462),ISNUMBER(D462)),D462-C462,"N/A")</f>
        <v>167.8</v>
      </c>
      <c r="G462" s="6" t="n">
        <f aca="false">IF(ISNUMBER(F462),F462/C462*100,"N/A")</f>
        <v>13.8004770129122</v>
      </c>
      <c r="H462" s="3" t="str">
        <f aca="false">IF(NOT(ISNUMBER(F462)),"NO CURRENT DATA",IF(F462&gt;0,"RISEN",IF(F462&lt;0,"FALLEN","UNCHANGED")))</f>
        <v>RISEN</v>
      </c>
      <c r="I462" s="3" t="s">
        <v>1480</v>
      </c>
      <c r="J462" s="3" t="n">
        <v>4</v>
      </c>
    </row>
    <row r="463" customFormat="false" ht="15" hidden="false" customHeight="false" outlineLevel="0" collapsed="false">
      <c r="A463" s="3" t="s">
        <v>943</v>
      </c>
      <c r="B463" s="3" t="s">
        <v>522</v>
      </c>
      <c r="C463" s="4" t="n">
        <v>246.05</v>
      </c>
      <c r="D463" s="4" t="n">
        <v>218.8</v>
      </c>
      <c r="E463" s="3" t="s">
        <v>1479</v>
      </c>
      <c r="F463" s="4" t="n">
        <f aca="false">IF(AND(ISNUMBER(C463),ISNUMBER(D463)),D463-C463,"N/A")</f>
        <v>-27.25</v>
      </c>
      <c r="G463" s="6" t="n">
        <f aca="false">IF(ISNUMBER(F463),F463/C463*100,"N/A")</f>
        <v>-11.0749847591953</v>
      </c>
      <c r="H463" s="3" t="str">
        <f aca="false">IF(NOT(ISNUMBER(F463)),"NO CURRENT DATA",IF(F463&gt;0,"RISEN",IF(F463&lt;0,"FALLEN","UNCHANGED")))</f>
        <v>FALLEN</v>
      </c>
      <c r="I463" s="3" t="s">
        <v>1480</v>
      </c>
      <c r="J463" s="3" t="n">
        <v>1</v>
      </c>
    </row>
    <row r="464" customFormat="false" ht="15" hidden="false" customHeight="false" outlineLevel="0" collapsed="false">
      <c r="A464" s="3" t="s">
        <v>943</v>
      </c>
      <c r="B464" s="3" t="s">
        <v>93</v>
      </c>
      <c r="C464" s="4" t="n">
        <v>1922.6</v>
      </c>
      <c r="D464" s="4" t="n">
        <v>1651.6</v>
      </c>
      <c r="E464" s="3" t="s">
        <v>1479</v>
      </c>
      <c r="F464" s="4" t="n">
        <f aca="false">IF(AND(ISNUMBER(C464),ISNUMBER(D464)),D464-C464,"N/A")</f>
        <v>-271</v>
      </c>
      <c r="G464" s="6" t="n">
        <f aca="false">IF(ISNUMBER(F464),F464/C464*100,"N/A")</f>
        <v>-14.0954956829294</v>
      </c>
      <c r="H464" s="3" t="str">
        <f aca="false">IF(NOT(ISNUMBER(F464)),"NO CURRENT DATA",IF(F464&gt;0,"RISEN",IF(F464&lt;0,"FALLEN","UNCHANGED")))</f>
        <v>FALLEN</v>
      </c>
      <c r="I464" s="3" t="s">
        <v>1480</v>
      </c>
      <c r="J464" s="3" t="n">
        <v>3</v>
      </c>
    </row>
    <row r="465" customFormat="false" ht="15" hidden="false" customHeight="false" outlineLevel="0" collapsed="false">
      <c r="A465" s="3" t="s">
        <v>943</v>
      </c>
      <c r="B465" s="3" t="s">
        <v>96</v>
      </c>
      <c r="C465" s="4" t="n">
        <v>459.85</v>
      </c>
      <c r="D465" s="4" t="n">
        <v>407.5</v>
      </c>
      <c r="E465" s="3" t="s">
        <v>1479</v>
      </c>
      <c r="F465" s="4" t="n">
        <f aca="false">IF(AND(ISNUMBER(C465),ISNUMBER(D465)),D465-C465,"N/A")</f>
        <v>-52.35</v>
      </c>
      <c r="G465" s="6" t="n">
        <f aca="false">IF(ISNUMBER(F465),F465/C465*100,"N/A")</f>
        <v>-11.384147004458</v>
      </c>
      <c r="H465" s="3" t="str">
        <f aca="false">IF(NOT(ISNUMBER(F465)),"NO CURRENT DATA",IF(F465&gt;0,"RISEN",IF(F465&lt;0,"FALLEN","UNCHANGED")))</f>
        <v>FALLEN</v>
      </c>
      <c r="I465" s="3" t="s">
        <v>1480</v>
      </c>
      <c r="J465" s="3" t="n">
        <v>8</v>
      </c>
    </row>
    <row r="466" customFormat="false" ht="15" hidden="false" customHeight="false" outlineLevel="0" collapsed="false">
      <c r="A466" s="3" t="s">
        <v>943</v>
      </c>
      <c r="B466" s="3" t="s">
        <v>337</v>
      </c>
      <c r="C466" s="4" t="n">
        <v>7131</v>
      </c>
      <c r="D466" s="4" t="n">
        <v>7213.5</v>
      </c>
      <c r="E466" s="3" t="s">
        <v>1479</v>
      </c>
      <c r="F466" s="4" t="n">
        <f aca="false">IF(AND(ISNUMBER(C466),ISNUMBER(D466)),D466-C466,"N/A")</f>
        <v>82.5</v>
      </c>
      <c r="G466" s="6" t="n">
        <f aca="false">IF(ISNUMBER(F466),F466/C466*100,"N/A")</f>
        <v>1.1569204880101</v>
      </c>
      <c r="H466" s="3" t="str">
        <f aca="false">IF(NOT(ISNUMBER(F466)),"NO CURRENT DATA",IF(F466&gt;0,"RISEN",IF(F466&lt;0,"FALLEN","UNCHANGED")))</f>
        <v>RISEN</v>
      </c>
      <c r="I466" s="3" t="s">
        <v>1480</v>
      </c>
      <c r="J466" s="3" t="n">
        <v>1</v>
      </c>
    </row>
    <row r="467" customFormat="false" ht="15" hidden="false" customHeight="false" outlineLevel="0" collapsed="false">
      <c r="A467" s="3" t="s">
        <v>943</v>
      </c>
      <c r="B467" s="3" t="s">
        <v>257</v>
      </c>
      <c r="C467" s="4" t="n">
        <v>153.3</v>
      </c>
      <c r="D467" s="4" t="n">
        <v>172.45</v>
      </c>
      <c r="E467" s="3" t="s">
        <v>1479</v>
      </c>
      <c r="F467" s="4" t="n">
        <f aca="false">IF(AND(ISNUMBER(C467),ISNUMBER(D467)),D467-C467,"N/A")</f>
        <v>19.15</v>
      </c>
      <c r="G467" s="6" t="n">
        <f aca="false">IF(ISNUMBER(F467),F467/C467*100,"N/A")</f>
        <v>12.4918460534899</v>
      </c>
      <c r="H467" s="3" t="str">
        <f aca="false">IF(NOT(ISNUMBER(F467)),"NO CURRENT DATA",IF(F467&gt;0,"RISEN",IF(F467&lt;0,"FALLEN","UNCHANGED")))</f>
        <v>RISEN</v>
      </c>
      <c r="I467" s="3" t="s">
        <v>1480</v>
      </c>
      <c r="J467" s="3" t="n">
        <v>2</v>
      </c>
    </row>
    <row r="468" customFormat="false" ht="15" hidden="false" customHeight="false" outlineLevel="0" collapsed="false">
      <c r="A468" s="3" t="s">
        <v>943</v>
      </c>
      <c r="B468" s="3" t="s">
        <v>496</v>
      </c>
      <c r="C468" s="4" t="n">
        <v>1075.15</v>
      </c>
      <c r="D468" s="4" t="n">
        <v>868</v>
      </c>
      <c r="E468" s="3" t="s">
        <v>1479</v>
      </c>
      <c r="F468" s="4" t="n">
        <f aca="false">IF(AND(ISNUMBER(C468),ISNUMBER(D468)),D468-C468,"N/A")</f>
        <v>-207.15</v>
      </c>
      <c r="G468" s="6" t="n">
        <f aca="false">IF(ISNUMBER(F468),F468/C468*100,"N/A")</f>
        <v>-19.2670790122309</v>
      </c>
      <c r="H468" s="3" t="str">
        <f aca="false">IF(NOT(ISNUMBER(F468)),"NO CURRENT DATA",IF(F468&gt;0,"RISEN",IF(F468&lt;0,"FALLEN","UNCHANGED")))</f>
        <v>FALLEN</v>
      </c>
      <c r="I468" s="3" t="s">
        <v>1480</v>
      </c>
      <c r="J468" s="3" t="n">
        <v>1</v>
      </c>
    </row>
    <row r="469" customFormat="false" ht="15" hidden="false" customHeight="false" outlineLevel="0" collapsed="false">
      <c r="A469" s="3" t="s">
        <v>943</v>
      </c>
      <c r="B469" s="3" t="s">
        <v>591</v>
      </c>
      <c r="C469" s="4" t="n">
        <v>1461</v>
      </c>
      <c r="D469" s="4" t="n">
        <v>1252.6</v>
      </c>
      <c r="E469" s="3" t="s">
        <v>1479</v>
      </c>
      <c r="F469" s="4" t="n">
        <f aca="false">IF(AND(ISNUMBER(C469),ISNUMBER(D469)),D469-C469,"N/A")</f>
        <v>-208.4</v>
      </c>
      <c r="G469" s="6" t="n">
        <f aca="false">IF(ISNUMBER(F469),F469/C469*100,"N/A")</f>
        <v>-14.2642026009583</v>
      </c>
      <c r="H469" s="3" t="str">
        <f aca="false">IF(NOT(ISNUMBER(F469)),"NO CURRENT DATA",IF(F469&gt;0,"RISEN",IF(F469&lt;0,"FALLEN","UNCHANGED")))</f>
        <v>FALLEN</v>
      </c>
      <c r="I469" s="3" t="s">
        <v>1480</v>
      </c>
      <c r="J469" s="3" t="n">
        <v>3</v>
      </c>
    </row>
    <row r="470" customFormat="false" ht="15" hidden="false" customHeight="false" outlineLevel="0" collapsed="false">
      <c r="A470" s="3" t="s">
        <v>943</v>
      </c>
      <c r="B470" s="3" t="s">
        <v>868</v>
      </c>
      <c r="C470" s="4" t="n">
        <v>5287.5</v>
      </c>
      <c r="D470" s="4" t="n">
        <v>5390</v>
      </c>
      <c r="E470" s="3" t="s">
        <v>1479</v>
      </c>
      <c r="F470" s="4" t="n">
        <f aca="false">IF(AND(ISNUMBER(C470),ISNUMBER(D470)),D470-C470,"N/A")</f>
        <v>102.5</v>
      </c>
      <c r="G470" s="6" t="n">
        <f aca="false">IF(ISNUMBER(F470),F470/C470*100,"N/A")</f>
        <v>1.93853427895981</v>
      </c>
      <c r="H470" s="3" t="str">
        <f aca="false">IF(NOT(ISNUMBER(F470)),"NO CURRENT DATA",IF(F470&gt;0,"RISEN",IF(F470&lt;0,"FALLEN","UNCHANGED")))</f>
        <v>RISEN</v>
      </c>
      <c r="I470" s="3" t="s">
        <v>1480</v>
      </c>
      <c r="J470" s="3" t="n">
        <v>1</v>
      </c>
    </row>
    <row r="471" customFormat="false" ht="15" hidden="false" customHeight="false" outlineLevel="0" collapsed="false">
      <c r="A471" s="3" t="s">
        <v>943</v>
      </c>
      <c r="B471" s="3" t="s">
        <v>245</v>
      </c>
      <c r="C471" s="4" t="n">
        <v>2145.6</v>
      </c>
      <c r="D471" s="4" t="n">
        <v>1896</v>
      </c>
      <c r="E471" s="3" t="s">
        <v>1479</v>
      </c>
      <c r="F471" s="4" t="n">
        <f aca="false">IF(AND(ISNUMBER(C471),ISNUMBER(D471)),D471-C471,"N/A")</f>
        <v>-249.6</v>
      </c>
      <c r="G471" s="6" t="n">
        <f aca="false">IF(ISNUMBER(F471),F471/C471*100,"N/A")</f>
        <v>-11.6331096196868</v>
      </c>
      <c r="H471" s="3" t="str">
        <f aca="false">IF(NOT(ISNUMBER(F471)),"NO CURRENT DATA",IF(F471&gt;0,"RISEN",IF(F471&lt;0,"FALLEN","UNCHANGED")))</f>
        <v>FALLEN</v>
      </c>
      <c r="I471" s="3" t="s">
        <v>1480</v>
      </c>
      <c r="J471" s="3" t="n">
        <v>2</v>
      </c>
    </row>
    <row r="472" customFormat="false" ht="15" hidden="false" customHeight="false" outlineLevel="0" collapsed="false">
      <c r="A472" s="3" t="s">
        <v>943</v>
      </c>
      <c r="B472" s="3" t="s">
        <v>871</v>
      </c>
      <c r="C472" s="4" t="n">
        <v>1346.2</v>
      </c>
      <c r="D472" s="4" t="n">
        <v>1003.2</v>
      </c>
      <c r="E472" s="3" t="s">
        <v>1479</v>
      </c>
      <c r="F472" s="4" t="n">
        <f aca="false">IF(AND(ISNUMBER(C472),ISNUMBER(D472)),D472-C472,"N/A")</f>
        <v>-343</v>
      </c>
      <c r="G472" s="6" t="n">
        <f aca="false">IF(ISNUMBER(F472),F472/C472*100,"N/A")</f>
        <v>-25.479126429951</v>
      </c>
      <c r="H472" s="3" t="str">
        <f aca="false">IF(NOT(ISNUMBER(F472)),"NO CURRENT DATA",IF(F472&gt;0,"RISEN",IF(F472&lt;0,"FALLEN","UNCHANGED")))</f>
        <v>FALLEN</v>
      </c>
      <c r="I472" s="3" t="s">
        <v>1480</v>
      </c>
      <c r="J472" s="3" t="n">
        <v>1</v>
      </c>
    </row>
    <row r="473" customFormat="false" ht="15" hidden="false" customHeight="false" outlineLevel="0" collapsed="false">
      <c r="A473" s="3" t="s">
        <v>943</v>
      </c>
      <c r="B473" s="3" t="s">
        <v>501</v>
      </c>
      <c r="C473" s="4" t="n">
        <v>4507.2</v>
      </c>
      <c r="D473" s="4" t="n">
        <v>4516</v>
      </c>
      <c r="E473" s="3" t="s">
        <v>1479</v>
      </c>
      <c r="F473" s="4" t="n">
        <f aca="false">IF(AND(ISNUMBER(C473),ISNUMBER(D473)),D473-C473,"N/A")</f>
        <v>8.80000000000018</v>
      </c>
      <c r="G473" s="6" t="n">
        <f aca="false">IF(ISNUMBER(F473),F473/C473*100,"N/A")</f>
        <v>0.195243166489177</v>
      </c>
      <c r="H473" s="3" t="str">
        <f aca="false">IF(NOT(ISNUMBER(F473)),"NO CURRENT DATA",IF(F473&gt;0,"RISEN",IF(F473&lt;0,"FALLEN","UNCHANGED")))</f>
        <v>RISEN</v>
      </c>
      <c r="I473" s="3" t="s">
        <v>1480</v>
      </c>
      <c r="J473" s="3" t="n">
        <v>2</v>
      </c>
    </row>
    <row r="474" customFormat="false" ht="15" hidden="false" customHeight="false" outlineLevel="0" collapsed="false">
      <c r="A474" s="3" t="s">
        <v>943</v>
      </c>
      <c r="B474" s="3" t="s">
        <v>272</v>
      </c>
      <c r="C474" s="4" t="n">
        <v>374.15</v>
      </c>
      <c r="D474" s="4" t="n">
        <v>321.1</v>
      </c>
      <c r="E474" s="3" t="s">
        <v>1479</v>
      </c>
      <c r="F474" s="4" t="n">
        <f aca="false">IF(AND(ISNUMBER(C474),ISNUMBER(D474)),D474-C474,"N/A")</f>
        <v>-53.05</v>
      </c>
      <c r="G474" s="6" t="n">
        <f aca="false">IF(ISNUMBER(F474),F474/C474*100,"N/A")</f>
        <v>-14.1788052919952</v>
      </c>
      <c r="H474" s="3" t="str">
        <f aca="false">IF(NOT(ISNUMBER(F474)),"NO CURRENT DATA",IF(F474&gt;0,"RISEN",IF(F474&lt;0,"FALLEN","UNCHANGED")))</f>
        <v>FALLEN</v>
      </c>
      <c r="I474" s="3" t="s">
        <v>1480</v>
      </c>
      <c r="J474" s="3" t="n">
        <v>6</v>
      </c>
    </row>
    <row r="475" customFormat="false" ht="15" hidden="false" customHeight="false" outlineLevel="0" collapsed="false">
      <c r="A475" s="3" t="s">
        <v>943</v>
      </c>
      <c r="B475" s="3" t="s">
        <v>117</v>
      </c>
      <c r="C475" s="4" t="n">
        <v>270.41</v>
      </c>
      <c r="D475" s="4" t="n">
        <v>289.85</v>
      </c>
      <c r="E475" s="3" t="s">
        <v>1479</v>
      </c>
      <c r="F475" s="4" t="n">
        <f aca="false">IF(AND(ISNUMBER(C475),ISNUMBER(D475)),D475-C475,"N/A")</f>
        <v>19.44</v>
      </c>
      <c r="G475" s="6" t="n">
        <f aca="false">IF(ISNUMBER(F475),F475/C475*100,"N/A")</f>
        <v>7.18908324396287</v>
      </c>
      <c r="H475" s="3" t="str">
        <f aca="false">IF(NOT(ISNUMBER(F475)),"NO CURRENT DATA",IF(F475&gt;0,"RISEN",IF(F475&lt;0,"FALLEN","UNCHANGED")))</f>
        <v>RISEN</v>
      </c>
      <c r="I475" s="3" t="s">
        <v>1480</v>
      </c>
      <c r="J475" s="3" t="n">
        <v>3</v>
      </c>
    </row>
    <row r="476" customFormat="false" ht="15" hidden="false" customHeight="false" outlineLevel="0" collapsed="false">
      <c r="A476" s="3" t="s">
        <v>943</v>
      </c>
      <c r="B476" s="3" t="s">
        <v>859</v>
      </c>
      <c r="C476" s="4" t="n">
        <v>7600.5</v>
      </c>
      <c r="D476" s="4" t="n">
        <v>8191</v>
      </c>
      <c r="E476" s="3" t="s">
        <v>1479</v>
      </c>
      <c r="F476" s="4" t="n">
        <f aca="false">IF(AND(ISNUMBER(C476),ISNUMBER(D476)),D476-C476,"N/A")</f>
        <v>590.5</v>
      </c>
      <c r="G476" s="6" t="n">
        <f aca="false">IF(ISNUMBER(F476),F476/C476*100,"N/A")</f>
        <v>7.76922570883495</v>
      </c>
      <c r="H476" s="3" t="str">
        <f aca="false">IF(NOT(ISNUMBER(F476)),"NO CURRENT DATA",IF(F476&gt;0,"RISEN",IF(F476&lt;0,"FALLEN","UNCHANGED")))</f>
        <v>RISEN</v>
      </c>
      <c r="I476" s="3" t="s">
        <v>1480</v>
      </c>
      <c r="J476" s="3" t="n">
        <v>1</v>
      </c>
    </row>
    <row r="477" customFormat="false" ht="15" hidden="false" customHeight="false" outlineLevel="0" collapsed="false">
      <c r="A477" s="3" t="s">
        <v>943</v>
      </c>
      <c r="B477" s="3" t="s">
        <v>406</v>
      </c>
      <c r="C477" s="4" t="n">
        <v>164.41</v>
      </c>
      <c r="D477" s="4" t="n">
        <v>184.2</v>
      </c>
      <c r="E477" s="3" t="s">
        <v>1479</v>
      </c>
      <c r="F477" s="4" t="n">
        <f aca="false">IF(AND(ISNUMBER(C477),ISNUMBER(D477)),D477-C477,"N/A")</f>
        <v>19.79</v>
      </c>
      <c r="G477" s="6" t="n">
        <f aca="false">IF(ISNUMBER(F477),F477/C477*100,"N/A")</f>
        <v>12.0369807189344</v>
      </c>
      <c r="H477" s="3" t="str">
        <f aca="false">IF(NOT(ISNUMBER(F477)),"NO CURRENT DATA",IF(F477&gt;0,"RISEN",IF(F477&lt;0,"FALLEN","UNCHANGED")))</f>
        <v>RISEN</v>
      </c>
      <c r="I477" s="3" t="s">
        <v>1480</v>
      </c>
      <c r="J477" s="3" t="n">
        <v>3</v>
      </c>
    </row>
    <row r="478" customFormat="false" ht="15" hidden="false" customHeight="false" outlineLevel="0" collapsed="false">
      <c r="A478" s="3" t="s">
        <v>943</v>
      </c>
      <c r="B478" s="3" t="s">
        <v>300</v>
      </c>
      <c r="C478" s="4" t="n">
        <v>1061.45</v>
      </c>
      <c r="D478" s="4" t="n">
        <v>962</v>
      </c>
      <c r="E478" s="3" t="s">
        <v>1479</v>
      </c>
      <c r="F478" s="4" t="n">
        <f aca="false">IF(AND(ISNUMBER(C478),ISNUMBER(D478)),D478-C478,"N/A")</f>
        <v>-99.4500000000001</v>
      </c>
      <c r="G478" s="6" t="n">
        <f aca="false">IF(ISNUMBER(F478),F478/C478*100,"N/A")</f>
        <v>-9.36925903245561</v>
      </c>
      <c r="H478" s="3" t="str">
        <f aca="false">IF(NOT(ISNUMBER(F478)),"NO CURRENT DATA",IF(F478&gt;0,"RISEN",IF(F478&lt;0,"FALLEN","UNCHANGED")))</f>
        <v>FALLEN</v>
      </c>
      <c r="I478" s="3" t="s">
        <v>1480</v>
      </c>
      <c r="J478" s="3" t="n">
        <v>5</v>
      </c>
    </row>
    <row r="479" customFormat="false" ht="15" hidden="false" customHeight="false" outlineLevel="0" collapsed="false">
      <c r="A479" s="3" t="s">
        <v>943</v>
      </c>
      <c r="B479" s="3" t="s">
        <v>453</v>
      </c>
      <c r="C479" s="4" t="n">
        <v>533.7</v>
      </c>
      <c r="D479" s="4" t="n">
        <v>807.9</v>
      </c>
      <c r="E479" s="3" t="s">
        <v>1479</v>
      </c>
      <c r="F479" s="4" t="n">
        <f aca="false">IF(AND(ISNUMBER(C479),ISNUMBER(D479)),D479-C479,"N/A")</f>
        <v>274.2</v>
      </c>
      <c r="G479" s="6" t="n">
        <f aca="false">IF(ISNUMBER(F479),F479/C479*100,"N/A")</f>
        <v>51.3771781899944</v>
      </c>
      <c r="H479" s="3" t="str">
        <f aca="false">IF(NOT(ISNUMBER(F479)),"NO CURRENT DATA",IF(F479&gt;0,"RISEN",IF(F479&lt;0,"FALLEN","UNCHANGED")))</f>
        <v>RISEN</v>
      </c>
      <c r="I479" s="3" t="s">
        <v>1480</v>
      </c>
      <c r="J479" s="3" t="n">
        <v>4</v>
      </c>
    </row>
    <row r="480" customFormat="false" ht="15" hidden="false" customHeight="false" outlineLevel="0" collapsed="false">
      <c r="A480" s="3" t="s">
        <v>943</v>
      </c>
      <c r="B480" s="3" t="s">
        <v>83</v>
      </c>
      <c r="C480" s="4" t="n">
        <v>2435.1</v>
      </c>
      <c r="D480" s="4" t="n">
        <v>2491.5</v>
      </c>
      <c r="E480" s="3" t="s">
        <v>1479</v>
      </c>
      <c r="F480" s="4" t="n">
        <f aca="false">IF(AND(ISNUMBER(C480),ISNUMBER(D480)),D480-C480,"N/A")</f>
        <v>56.4000000000001</v>
      </c>
      <c r="G480" s="6" t="n">
        <f aca="false">IF(ISNUMBER(F480),F480/C480*100,"N/A")</f>
        <v>2.31612664777628</v>
      </c>
      <c r="H480" s="3" t="str">
        <f aca="false">IF(NOT(ISNUMBER(F480)),"NO CURRENT DATA",IF(F480&gt;0,"RISEN",IF(F480&lt;0,"FALLEN","UNCHANGED")))</f>
        <v>RISEN</v>
      </c>
      <c r="I480" s="3" t="s">
        <v>1480</v>
      </c>
      <c r="J480" s="3" t="n">
        <v>4</v>
      </c>
    </row>
    <row r="481" customFormat="false" ht="15" hidden="false" customHeight="false" outlineLevel="0" collapsed="false">
      <c r="A481" s="3" t="s">
        <v>943</v>
      </c>
      <c r="B481" s="3" t="s">
        <v>923</v>
      </c>
      <c r="C481" s="4" t="n">
        <v>2559.2</v>
      </c>
      <c r="D481" s="4" t="n">
        <v>2070.7</v>
      </c>
      <c r="E481" s="3" t="s">
        <v>1479</v>
      </c>
      <c r="F481" s="4" t="n">
        <f aca="false">IF(AND(ISNUMBER(C481),ISNUMBER(D481)),D481-C481,"N/A")</f>
        <v>-488.5</v>
      </c>
      <c r="G481" s="6" t="n">
        <f aca="false">IF(ISNUMBER(F481),F481/C481*100,"N/A")</f>
        <v>-19.0879962488278</v>
      </c>
      <c r="H481" s="3" t="str">
        <f aca="false">IF(NOT(ISNUMBER(F481)),"NO CURRENT DATA",IF(F481&gt;0,"RISEN",IF(F481&lt;0,"FALLEN","UNCHANGED")))</f>
        <v>FALLEN</v>
      </c>
      <c r="I481" s="3" t="s">
        <v>1480</v>
      </c>
      <c r="J481" s="3" t="n">
        <v>1</v>
      </c>
    </row>
    <row r="482" customFormat="false" ht="15" hidden="false" customHeight="false" outlineLevel="0" collapsed="false">
      <c r="A482" s="3" t="s">
        <v>943</v>
      </c>
      <c r="B482" s="3" t="s">
        <v>156</v>
      </c>
      <c r="C482" s="4" t="n">
        <v>1090.2</v>
      </c>
      <c r="D482" s="4" t="n">
        <v>1173</v>
      </c>
      <c r="E482" s="3" t="s">
        <v>1479</v>
      </c>
      <c r="F482" s="4" t="n">
        <f aca="false">IF(AND(ISNUMBER(C482),ISNUMBER(D482)),D482-C482,"N/A")</f>
        <v>82.8</v>
      </c>
      <c r="G482" s="6" t="n">
        <f aca="false">IF(ISNUMBER(F482),F482/C482*100,"N/A")</f>
        <v>7.59493670886076</v>
      </c>
      <c r="H482" s="3" t="str">
        <f aca="false">IF(NOT(ISNUMBER(F482)),"NO CURRENT DATA",IF(F482&gt;0,"RISEN",IF(F482&lt;0,"FALLEN","UNCHANGED")))</f>
        <v>RISEN</v>
      </c>
      <c r="I482" s="3" t="s">
        <v>1480</v>
      </c>
      <c r="J482" s="3" t="n">
        <v>4</v>
      </c>
    </row>
    <row r="483" customFormat="false" ht="15" hidden="false" customHeight="false" outlineLevel="0" collapsed="false">
      <c r="A483" s="3" t="s">
        <v>943</v>
      </c>
      <c r="B483" s="3" t="s">
        <v>279</v>
      </c>
      <c r="C483" s="4" t="n">
        <v>640.25</v>
      </c>
      <c r="D483" s="4" t="n">
        <v>549.5</v>
      </c>
      <c r="E483" s="3" t="s">
        <v>1479</v>
      </c>
      <c r="F483" s="4" t="n">
        <f aca="false">IF(AND(ISNUMBER(C483),ISNUMBER(D483)),D483-C483,"N/A")</f>
        <v>-90.75</v>
      </c>
      <c r="G483" s="6" t="n">
        <f aca="false">IF(ISNUMBER(F483),F483/C483*100,"N/A")</f>
        <v>-14.1741507223741</v>
      </c>
      <c r="H483" s="3" t="str">
        <f aca="false">IF(NOT(ISNUMBER(F483)),"NO CURRENT DATA",IF(F483&gt;0,"RISEN",IF(F483&lt;0,"FALLEN","UNCHANGED")))</f>
        <v>FALLEN</v>
      </c>
      <c r="I483" s="3" t="s">
        <v>1480</v>
      </c>
      <c r="J483" s="3" t="n">
        <v>1</v>
      </c>
    </row>
    <row r="484" customFormat="false" ht="15" hidden="false" customHeight="false" outlineLevel="0" collapsed="false">
      <c r="A484" s="3" t="s">
        <v>970</v>
      </c>
      <c r="B484" s="3" t="s">
        <v>207</v>
      </c>
      <c r="C484" s="4" t="n">
        <v>998.1</v>
      </c>
      <c r="D484" s="4" t="n">
        <v>1045</v>
      </c>
      <c r="E484" s="3" t="s">
        <v>1479</v>
      </c>
      <c r="F484" s="4" t="n">
        <f aca="false">IF(AND(ISNUMBER(C484),ISNUMBER(D484)),D484-C484,"N/A")</f>
        <v>46.9</v>
      </c>
      <c r="G484" s="6" t="n">
        <f aca="false">IF(ISNUMBER(F484),F484/C484*100,"N/A")</f>
        <v>4.69892796312994</v>
      </c>
      <c r="H484" s="3" t="str">
        <f aca="false">IF(NOT(ISNUMBER(F484)),"NO CURRENT DATA",IF(F484&gt;0,"RISEN",IF(F484&lt;0,"FALLEN","UNCHANGED")))</f>
        <v>RISEN</v>
      </c>
      <c r="I484" s="3" t="s">
        <v>1480</v>
      </c>
      <c r="J484" s="3" t="n">
        <v>1</v>
      </c>
    </row>
    <row r="485" customFormat="false" ht="15" hidden="false" customHeight="false" outlineLevel="0" collapsed="false">
      <c r="A485" s="3" t="s">
        <v>970</v>
      </c>
      <c r="B485" s="3" t="s">
        <v>708</v>
      </c>
      <c r="C485" s="4" t="n">
        <v>6614</v>
      </c>
      <c r="D485" s="4" t="n">
        <v>6972.5</v>
      </c>
      <c r="E485" s="3" t="s">
        <v>1479</v>
      </c>
      <c r="F485" s="4" t="n">
        <f aca="false">IF(AND(ISNUMBER(C485),ISNUMBER(D485)),D485-C485,"N/A")</f>
        <v>358.5</v>
      </c>
      <c r="G485" s="6" t="n">
        <f aca="false">IF(ISNUMBER(F485),F485/C485*100,"N/A")</f>
        <v>5.42032053220441</v>
      </c>
      <c r="H485" s="3" t="str">
        <f aca="false">IF(NOT(ISNUMBER(F485)),"NO CURRENT DATA",IF(F485&gt;0,"RISEN",IF(F485&lt;0,"FALLEN","UNCHANGED")))</f>
        <v>RISEN</v>
      </c>
      <c r="I485" s="3" t="s">
        <v>1480</v>
      </c>
      <c r="J485" s="3" t="n">
        <v>1</v>
      </c>
    </row>
    <row r="486" customFormat="false" ht="15" hidden="false" customHeight="false" outlineLevel="0" collapsed="false">
      <c r="A486" s="3" t="s">
        <v>970</v>
      </c>
      <c r="B486" s="3" t="s">
        <v>272</v>
      </c>
      <c r="C486" s="4" t="n">
        <v>378.65</v>
      </c>
      <c r="D486" s="4" t="n">
        <v>321.1</v>
      </c>
      <c r="E486" s="3" t="s">
        <v>1479</v>
      </c>
      <c r="F486" s="4" t="n">
        <f aca="false">IF(AND(ISNUMBER(C486),ISNUMBER(D486)),D486-C486,"N/A")</f>
        <v>-57.55</v>
      </c>
      <c r="G486" s="6" t="n">
        <f aca="false">IF(ISNUMBER(F486),F486/C486*100,"N/A")</f>
        <v>-15.1987323385712</v>
      </c>
      <c r="H486" s="3" t="str">
        <f aca="false">IF(NOT(ISNUMBER(F486)),"NO CURRENT DATA",IF(F486&gt;0,"RISEN",IF(F486&lt;0,"FALLEN","UNCHANGED")))</f>
        <v>FALLEN</v>
      </c>
      <c r="I486" s="3" t="s">
        <v>1480</v>
      </c>
      <c r="J486" s="3" t="n">
        <v>6</v>
      </c>
    </row>
    <row r="487" customFormat="false" ht="15" hidden="false" customHeight="false" outlineLevel="0" collapsed="false">
      <c r="A487" s="3" t="s">
        <v>970</v>
      </c>
      <c r="B487" s="3" t="s">
        <v>117</v>
      </c>
      <c r="C487" s="4" t="n">
        <v>271.37</v>
      </c>
      <c r="D487" s="4" t="n">
        <v>289.85</v>
      </c>
      <c r="E487" s="3" t="s">
        <v>1479</v>
      </c>
      <c r="F487" s="4" t="n">
        <f aca="false">IF(AND(ISNUMBER(C487),ISNUMBER(D487)),D487-C487,"N/A")</f>
        <v>18.48</v>
      </c>
      <c r="G487" s="6" t="n">
        <f aca="false">IF(ISNUMBER(F487),F487/C487*100,"N/A")</f>
        <v>6.80989055533037</v>
      </c>
      <c r="H487" s="3" t="str">
        <f aca="false">IF(NOT(ISNUMBER(F487)),"NO CURRENT DATA",IF(F487&gt;0,"RISEN",IF(F487&lt;0,"FALLEN","UNCHANGED")))</f>
        <v>RISEN</v>
      </c>
      <c r="I487" s="3" t="s">
        <v>1480</v>
      </c>
      <c r="J487" s="3" t="n">
        <v>3</v>
      </c>
    </row>
    <row r="488" customFormat="false" ht="15" hidden="false" customHeight="false" outlineLevel="0" collapsed="false">
      <c r="A488" s="3" t="s">
        <v>970</v>
      </c>
      <c r="B488" s="3" t="s">
        <v>142</v>
      </c>
      <c r="C488" s="4" t="n">
        <v>1078</v>
      </c>
      <c r="D488" s="4" t="n">
        <v>960</v>
      </c>
      <c r="E488" s="3" t="s">
        <v>1479</v>
      </c>
      <c r="F488" s="4" t="n">
        <f aca="false">IF(AND(ISNUMBER(C488),ISNUMBER(D488)),D488-C488,"N/A")</f>
        <v>-118</v>
      </c>
      <c r="G488" s="6" t="n">
        <f aca="false">IF(ISNUMBER(F488),F488/C488*100,"N/A")</f>
        <v>-10.9461966604824</v>
      </c>
      <c r="H488" s="3" t="str">
        <f aca="false">IF(NOT(ISNUMBER(F488)),"NO CURRENT DATA",IF(F488&gt;0,"RISEN",IF(F488&lt;0,"FALLEN","UNCHANGED")))</f>
        <v>FALLEN</v>
      </c>
      <c r="I488" s="3" t="s">
        <v>1480</v>
      </c>
      <c r="J488" s="3" t="n">
        <v>4</v>
      </c>
    </row>
    <row r="489" customFormat="false" ht="15" hidden="false" customHeight="false" outlineLevel="0" collapsed="false">
      <c r="A489" s="3" t="s">
        <v>976</v>
      </c>
      <c r="B489" s="3" t="s">
        <v>708</v>
      </c>
      <c r="C489" s="4" t="n">
        <v>6859.5</v>
      </c>
      <c r="D489" s="4" t="n">
        <v>6972.5</v>
      </c>
      <c r="E489" s="3" t="s">
        <v>1479</v>
      </c>
      <c r="F489" s="4" t="n">
        <f aca="false">IF(AND(ISNUMBER(C489),ISNUMBER(D489)),D489-C489,"N/A")</f>
        <v>113</v>
      </c>
      <c r="G489" s="6" t="n">
        <f aca="false">IF(ISNUMBER(F489),F489/C489*100,"N/A")</f>
        <v>1.64735038997011</v>
      </c>
      <c r="H489" s="3" t="str">
        <f aca="false">IF(NOT(ISNUMBER(F489)),"NO CURRENT DATA",IF(F489&gt;0,"RISEN",IF(F489&lt;0,"FALLEN","UNCHANGED")))</f>
        <v>RISEN</v>
      </c>
      <c r="I489" s="3" t="s">
        <v>1480</v>
      </c>
      <c r="J489" s="3" t="n">
        <v>1</v>
      </c>
    </row>
    <row r="490" customFormat="false" ht="15" hidden="false" customHeight="false" outlineLevel="0" collapsed="false">
      <c r="A490" s="3" t="s">
        <v>976</v>
      </c>
      <c r="B490" s="3" t="s">
        <v>182</v>
      </c>
      <c r="C490" s="4" t="n">
        <v>1630</v>
      </c>
      <c r="D490" s="4" t="n">
        <v>1370.5</v>
      </c>
      <c r="E490" s="3" t="s">
        <v>1479</v>
      </c>
      <c r="F490" s="4" t="n">
        <f aca="false">IF(AND(ISNUMBER(C490),ISNUMBER(D490)),D490-C490,"N/A")</f>
        <v>-259.5</v>
      </c>
      <c r="G490" s="6" t="n">
        <f aca="false">IF(ISNUMBER(F490),F490/C490*100,"N/A")</f>
        <v>-15.920245398773</v>
      </c>
      <c r="H490" s="3" t="str">
        <f aca="false">IF(NOT(ISNUMBER(F490)),"NO CURRENT DATA",IF(F490&gt;0,"RISEN",IF(F490&lt;0,"FALLEN","UNCHANGED")))</f>
        <v>FALLEN</v>
      </c>
      <c r="I490" s="3" t="s">
        <v>1480</v>
      </c>
      <c r="J490" s="3" t="n">
        <v>4</v>
      </c>
    </row>
    <row r="491" customFormat="false" ht="15" hidden="false" customHeight="false" outlineLevel="0" collapsed="false">
      <c r="A491" s="3" t="s">
        <v>976</v>
      </c>
      <c r="B491" s="3" t="s">
        <v>309</v>
      </c>
      <c r="C491" s="4" t="n">
        <v>5138.7</v>
      </c>
      <c r="D491" s="4" t="n">
        <v>4855</v>
      </c>
      <c r="E491" s="3" t="s">
        <v>1479</v>
      </c>
      <c r="F491" s="4" t="n">
        <f aca="false">IF(AND(ISNUMBER(C491),ISNUMBER(D491)),D491-C491,"N/A")</f>
        <v>-283.7</v>
      </c>
      <c r="G491" s="6" t="n">
        <f aca="false">IF(ISNUMBER(F491),F491/C491*100,"N/A")</f>
        <v>-5.52085157724716</v>
      </c>
      <c r="H491" s="3" t="str">
        <f aca="false">IF(NOT(ISNUMBER(F491)),"NO CURRENT DATA",IF(F491&gt;0,"RISEN",IF(F491&lt;0,"FALLEN","UNCHANGED")))</f>
        <v>FALLEN</v>
      </c>
      <c r="I491" s="3" t="s">
        <v>1480</v>
      </c>
      <c r="J491" s="3" t="n">
        <v>2</v>
      </c>
    </row>
    <row r="492" customFormat="false" ht="15" hidden="false" customHeight="false" outlineLevel="0" collapsed="false">
      <c r="A492" s="3" t="s">
        <v>976</v>
      </c>
      <c r="B492" s="3" t="s">
        <v>868</v>
      </c>
      <c r="C492" s="4" t="n">
        <v>5466.5</v>
      </c>
      <c r="D492" s="4" t="n">
        <v>5390</v>
      </c>
      <c r="E492" s="3" t="s">
        <v>1479</v>
      </c>
      <c r="F492" s="4" t="n">
        <f aca="false">IF(AND(ISNUMBER(C492),ISNUMBER(D492)),D492-C492,"N/A")</f>
        <v>-76.5</v>
      </c>
      <c r="G492" s="6" t="n">
        <f aca="false">IF(ISNUMBER(F492),F492/C492*100,"N/A")</f>
        <v>-1.39943290953993</v>
      </c>
      <c r="H492" s="3" t="str">
        <f aca="false">IF(NOT(ISNUMBER(F492)),"NO CURRENT DATA",IF(F492&gt;0,"RISEN",IF(F492&lt;0,"FALLEN","UNCHANGED")))</f>
        <v>FALLEN</v>
      </c>
      <c r="I492" s="3" t="s">
        <v>1480</v>
      </c>
      <c r="J492" s="3" t="n">
        <v>2</v>
      </c>
    </row>
    <row r="493" customFormat="false" ht="15" hidden="false" customHeight="false" outlineLevel="0" collapsed="false">
      <c r="A493" s="3" t="s">
        <v>976</v>
      </c>
      <c r="B493" s="3" t="s">
        <v>901</v>
      </c>
      <c r="C493" s="4" t="n">
        <v>955.25</v>
      </c>
      <c r="D493" s="4" t="n">
        <v>1093.9</v>
      </c>
      <c r="E493" s="3" t="s">
        <v>1479</v>
      </c>
      <c r="F493" s="4" t="n">
        <f aca="false">IF(AND(ISNUMBER(C493),ISNUMBER(D493)),D493-C493,"N/A")</f>
        <v>138.65</v>
      </c>
      <c r="G493" s="6" t="n">
        <f aca="false">IF(ISNUMBER(F493),F493/C493*100,"N/A")</f>
        <v>14.5145249934572</v>
      </c>
      <c r="H493" s="3" t="str">
        <f aca="false">IF(NOT(ISNUMBER(F493)),"NO CURRENT DATA",IF(F493&gt;0,"RISEN",IF(F493&lt;0,"FALLEN","UNCHANGED")))</f>
        <v>RISEN</v>
      </c>
      <c r="I493" s="3" t="s">
        <v>1480</v>
      </c>
      <c r="J493" s="3" t="n">
        <v>2</v>
      </c>
    </row>
    <row r="494" customFormat="false" ht="15" hidden="false" customHeight="false" outlineLevel="0" collapsed="false">
      <c r="A494" s="3" t="s">
        <v>976</v>
      </c>
      <c r="B494" s="3" t="s">
        <v>237</v>
      </c>
      <c r="C494" s="4" t="n">
        <v>1763.5</v>
      </c>
      <c r="D494" s="4" t="n">
        <v>1952.2</v>
      </c>
      <c r="E494" s="3" t="s">
        <v>1479</v>
      </c>
      <c r="F494" s="4" t="n">
        <f aca="false">IF(AND(ISNUMBER(C494),ISNUMBER(D494)),D494-C494,"N/A")</f>
        <v>188.7</v>
      </c>
      <c r="G494" s="6" t="n">
        <f aca="false">IF(ISNUMBER(F494),F494/C494*100,"N/A")</f>
        <v>10.7003118797845</v>
      </c>
      <c r="H494" s="3" t="str">
        <f aca="false">IF(NOT(ISNUMBER(F494)),"NO CURRENT DATA",IF(F494&gt;0,"RISEN",IF(F494&lt;0,"FALLEN","UNCHANGED")))</f>
        <v>RISEN</v>
      </c>
      <c r="I494" s="3" t="s">
        <v>1480</v>
      </c>
      <c r="J494" s="3" t="n">
        <v>4</v>
      </c>
    </row>
    <row r="495" customFormat="false" ht="15" hidden="false" customHeight="false" outlineLevel="0" collapsed="false">
      <c r="A495" s="3" t="s">
        <v>976</v>
      </c>
      <c r="B495" s="3" t="s">
        <v>164</v>
      </c>
      <c r="C495" s="4" t="n">
        <v>1357.1</v>
      </c>
      <c r="D495" s="4" t="n">
        <v>1503</v>
      </c>
      <c r="E495" s="3" t="s">
        <v>1479</v>
      </c>
      <c r="F495" s="4" t="n">
        <f aca="false">IF(AND(ISNUMBER(C495),ISNUMBER(D495)),D495-C495,"N/A")</f>
        <v>145.9</v>
      </c>
      <c r="G495" s="6" t="n">
        <f aca="false">IF(ISNUMBER(F495),F495/C495*100,"N/A")</f>
        <v>10.7508658168153</v>
      </c>
      <c r="H495" s="3" t="str">
        <f aca="false">IF(NOT(ISNUMBER(F495)),"NO CURRENT DATA",IF(F495&gt;0,"RISEN",IF(F495&lt;0,"FALLEN","UNCHANGED")))</f>
        <v>RISEN</v>
      </c>
      <c r="I495" s="3" t="s">
        <v>1480</v>
      </c>
      <c r="J495" s="3" t="n">
        <v>4</v>
      </c>
    </row>
    <row r="496" customFormat="false" ht="15" hidden="false" customHeight="false" outlineLevel="0" collapsed="false">
      <c r="A496" s="3" t="s">
        <v>976</v>
      </c>
      <c r="B496" s="3" t="s">
        <v>984</v>
      </c>
      <c r="C496" s="4" t="n">
        <v>1268.2</v>
      </c>
      <c r="D496" s="4" t="n">
        <v>1415.4</v>
      </c>
      <c r="E496" s="3" t="s">
        <v>1479</v>
      </c>
      <c r="F496" s="4" t="n">
        <f aca="false">IF(AND(ISNUMBER(C496),ISNUMBER(D496)),D496-C496,"N/A")</f>
        <v>147.2</v>
      </c>
      <c r="G496" s="6" t="n">
        <f aca="false">IF(ISNUMBER(F496),F496/C496*100,"N/A")</f>
        <v>11.6070020501498</v>
      </c>
      <c r="H496" s="3" t="str">
        <f aca="false">IF(NOT(ISNUMBER(F496)),"NO CURRENT DATA",IF(F496&gt;0,"RISEN",IF(F496&lt;0,"FALLEN","UNCHANGED")))</f>
        <v>RISEN</v>
      </c>
      <c r="I496" s="3" t="s">
        <v>1480</v>
      </c>
      <c r="J496" s="3" t="n">
        <v>0</v>
      </c>
    </row>
    <row r="497" customFormat="false" ht="15" hidden="false" customHeight="false" outlineLevel="0" collapsed="false">
      <c r="A497" s="3" t="s">
        <v>987</v>
      </c>
      <c r="B497" s="3" t="s">
        <v>207</v>
      </c>
      <c r="C497" s="4" t="n">
        <v>1056</v>
      </c>
      <c r="D497" s="4" t="n">
        <v>1045</v>
      </c>
      <c r="E497" s="3" t="s">
        <v>1479</v>
      </c>
      <c r="F497" s="4" t="n">
        <f aca="false">IF(AND(ISNUMBER(C497),ISNUMBER(D497)),D497-C497,"N/A")</f>
        <v>-11</v>
      </c>
      <c r="G497" s="6" t="n">
        <f aca="false">IF(ISNUMBER(F497),F497/C497*100,"N/A")</f>
        <v>-1.04166666666667</v>
      </c>
      <c r="H497" s="3" t="str">
        <f aca="false">IF(NOT(ISNUMBER(F497)),"NO CURRENT DATA",IF(F497&gt;0,"RISEN",IF(F497&lt;0,"FALLEN","UNCHANGED")))</f>
        <v>FALLEN</v>
      </c>
      <c r="I497" s="3" t="s">
        <v>1480</v>
      </c>
      <c r="J497" s="3" t="n">
        <v>2</v>
      </c>
    </row>
    <row r="498" customFormat="false" ht="15" hidden="false" customHeight="false" outlineLevel="0" collapsed="false">
      <c r="A498" s="3" t="s">
        <v>987</v>
      </c>
      <c r="B498" s="3" t="s">
        <v>708</v>
      </c>
      <c r="C498" s="4" t="n">
        <v>6873</v>
      </c>
      <c r="D498" s="4" t="n">
        <v>6972.5</v>
      </c>
      <c r="E498" s="3" t="s">
        <v>1479</v>
      </c>
      <c r="F498" s="4" t="n">
        <f aca="false">IF(AND(ISNUMBER(C498),ISNUMBER(D498)),D498-C498,"N/A")</f>
        <v>99.5</v>
      </c>
      <c r="G498" s="6" t="n">
        <f aca="false">IF(ISNUMBER(F498),F498/C498*100,"N/A")</f>
        <v>1.4476938745817</v>
      </c>
      <c r="H498" s="3" t="str">
        <f aca="false">IF(NOT(ISNUMBER(F498)),"NO CURRENT DATA",IF(F498&gt;0,"RISEN",IF(F498&lt;0,"FALLEN","UNCHANGED")))</f>
        <v>RISEN</v>
      </c>
      <c r="I498" s="3" t="s">
        <v>1480</v>
      </c>
      <c r="J498" s="3" t="n">
        <v>2</v>
      </c>
    </row>
    <row r="499" customFormat="false" ht="15" hidden="false" customHeight="false" outlineLevel="0" collapsed="false">
      <c r="A499" s="3" t="s">
        <v>987</v>
      </c>
      <c r="B499" s="3" t="s">
        <v>333</v>
      </c>
      <c r="C499" s="4" t="n">
        <v>5575.5</v>
      </c>
      <c r="D499" s="4" t="n">
        <v>5175</v>
      </c>
      <c r="E499" s="3" t="s">
        <v>1479</v>
      </c>
      <c r="F499" s="4" t="n">
        <f aca="false">IF(AND(ISNUMBER(C499),ISNUMBER(D499)),D499-C499,"N/A")</f>
        <v>-400.5</v>
      </c>
      <c r="G499" s="6" t="n">
        <f aca="false">IF(ISNUMBER(F499),F499/C499*100,"N/A")</f>
        <v>-7.18321226795803</v>
      </c>
      <c r="H499" s="3" t="str">
        <f aca="false">IF(NOT(ISNUMBER(F499)),"NO CURRENT DATA",IF(F499&gt;0,"RISEN",IF(F499&lt;0,"FALLEN","UNCHANGED")))</f>
        <v>FALLEN</v>
      </c>
      <c r="I499" s="3" t="s">
        <v>1480</v>
      </c>
      <c r="J499" s="3" t="n">
        <v>4</v>
      </c>
    </row>
    <row r="500" customFormat="false" ht="15" hidden="false" customHeight="false" outlineLevel="0" collapsed="false">
      <c r="A500" s="3" t="s">
        <v>987</v>
      </c>
      <c r="B500" s="3" t="s">
        <v>490</v>
      </c>
      <c r="C500" s="4" t="n">
        <v>310.45</v>
      </c>
      <c r="D500" s="4" t="n">
        <v>302.25</v>
      </c>
      <c r="E500" s="3" t="s">
        <v>1479</v>
      </c>
      <c r="F500" s="4" t="n">
        <f aca="false">IF(AND(ISNUMBER(C500),ISNUMBER(D500)),D500-C500,"N/A")</f>
        <v>-8.19999999999999</v>
      </c>
      <c r="G500" s="6" t="n">
        <f aca="false">IF(ISNUMBER(F500),F500/C500*100,"N/A")</f>
        <v>-2.64132710581414</v>
      </c>
      <c r="H500" s="3" t="str">
        <f aca="false">IF(NOT(ISNUMBER(F500)),"NO CURRENT DATA",IF(F500&gt;0,"RISEN",IF(F500&lt;0,"FALLEN","UNCHANGED")))</f>
        <v>FALLEN</v>
      </c>
      <c r="I500" s="3" t="s">
        <v>1480</v>
      </c>
      <c r="J500" s="3" t="n">
        <v>3</v>
      </c>
    </row>
    <row r="501" customFormat="false" ht="15" hidden="false" customHeight="false" outlineLevel="0" collapsed="false">
      <c r="A501" s="3" t="s">
        <v>987</v>
      </c>
      <c r="B501" s="3" t="s">
        <v>130</v>
      </c>
      <c r="C501" s="4" t="n">
        <v>728.05</v>
      </c>
      <c r="D501" s="4" t="n">
        <v>691.55</v>
      </c>
      <c r="E501" s="3" t="s">
        <v>1479</v>
      </c>
      <c r="F501" s="4" t="n">
        <f aca="false">IF(AND(ISNUMBER(C501),ISNUMBER(D501)),D501-C501,"N/A")</f>
        <v>-36.5</v>
      </c>
      <c r="G501" s="6" t="n">
        <f aca="false">IF(ISNUMBER(F501),F501/C501*100,"N/A")</f>
        <v>-5.01339193736694</v>
      </c>
      <c r="H501" s="3" t="str">
        <f aca="false">IF(NOT(ISNUMBER(F501)),"NO CURRENT DATA",IF(F501&gt;0,"RISEN",IF(F501&lt;0,"FALLEN","UNCHANGED")))</f>
        <v>FALLEN</v>
      </c>
      <c r="I501" s="3" t="s">
        <v>1480</v>
      </c>
      <c r="J501" s="3" t="n">
        <v>2</v>
      </c>
    </row>
    <row r="502" customFormat="false" ht="15" hidden="false" customHeight="false" outlineLevel="0" collapsed="false">
      <c r="A502" s="3" t="s">
        <v>987</v>
      </c>
      <c r="B502" s="3" t="s">
        <v>809</v>
      </c>
      <c r="C502" s="4" t="n">
        <v>748</v>
      </c>
      <c r="D502" s="4" t="n">
        <v>865</v>
      </c>
      <c r="E502" s="3" t="s">
        <v>1479</v>
      </c>
      <c r="F502" s="4" t="n">
        <f aca="false">IF(AND(ISNUMBER(C502),ISNUMBER(D502)),D502-C502,"N/A")</f>
        <v>117</v>
      </c>
      <c r="G502" s="6" t="n">
        <f aca="false">IF(ISNUMBER(F502),F502/C502*100,"N/A")</f>
        <v>15.6417112299465</v>
      </c>
      <c r="H502" s="3" t="str">
        <f aca="false">IF(NOT(ISNUMBER(F502)),"NO CURRENT DATA",IF(F502&gt;0,"RISEN",IF(F502&lt;0,"FALLEN","UNCHANGED")))</f>
        <v>RISEN</v>
      </c>
      <c r="I502" s="3" t="s">
        <v>1480</v>
      </c>
      <c r="J502" s="3" t="n">
        <v>1</v>
      </c>
    </row>
    <row r="503" customFormat="false" ht="15" hidden="false" customHeight="false" outlineLevel="0" collapsed="false">
      <c r="A503" s="3" t="s">
        <v>987</v>
      </c>
      <c r="B503" s="3" t="s">
        <v>93</v>
      </c>
      <c r="C503" s="4" t="n">
        <v>1974.6</v>
      </c>
      <c r="D503" s="4" t="n">
        <v>1651.6</v>
      </c>
      <c r="E503" s="3" t="s">
        <v>1479</v>
      </c>
      <c r="F503" s="4" t="n">
        <f aca="false">IF(AND(ISNUMBER(C503),ISNUMBER(D503)),D503-C503,"N/A")</f>
        <v>-323</v>
      </c>
      <c r="G503" s="6" t="n">
        <f aca="false">IF(ISNUMBER(F503),F503/C503*100,"N/A")</f>
        <v>-16.3577433404234</v>
      </c>
      <c r="H503" s="3" t="str">
        <f aca="false">IF(NOT(ISNUMBER(F503)),"NO CURRENT DATA",IF(F503&gt;0,"RISEN",IF(F503&lt;0,"FALLEN","UNCHANGED")))</f>
        <v>FALLEN</v>
      </c>
      <c r="I503" s="3" t="s">
        <v>1480</v>
      </c>
      <c r="J503" s="3" t="n">
        <v>4</v>
      </c>
    </row>
    <row r="504" customFormat="false" ht="15" hidden="false" customHeight="false" outlineLevel="0" collapsed="false">
      <c r="A504" s="3" t="s">
        <v>987</v>
      </c>
      <c r="B504" s="3" t="s">
        <v>74</v>
      </c>
      <c r="C504" s="4" t="n">
        <v>1858</v>
      </c>
      <c r="D504" s="4" t="n">
        <v>1540</v>
      </c>
      <c r="E504" s="3" t="s">
        <v>1479</v>
      </c>
      <c r="F504" s="4" t="n">
        <f aca="false">IF(AND(ISNUMBER(C504),ISNUMBER(D504)),D504-C504,"N/A")</f>
        <v>-318</v>
      </c>
      <c r="G504" s="6" t="n">
        <f aca="false">IF(ISNUMBER(F504),F504/C504*100,"N/A")</f>
        <v>-17.1151776103337</v>
      </c>
      <c r="H504" s="3" t="str">
        <f aca="false">IF(NOT(ISNUMBER(F504)),"NO CURRENT DATA",IF(F504&gt;0,"RISEN",IF(F504&lt;0,"FALLEN","UNCHANGED")))</f>
        <v>FALLEN</v>
      </c>
      <c r="I504" s="3" t="s">
        <v>1480</v>
      </c>
      <c r="J504" s="3" t="n">
        <v>2</v>
      </c>
    </row>
    <row r="505" customFormat="false" ht="15" hidden="false" customHeight="false" outlineLevel="0" collapsed="false">
      <c r="A505" s="3" t="s">
        <v>987</v>
      </c>
      <c r="B505" s="3" t="s">
        <v>917</v>
      </c>
      <c r="C505" s="4" t="n">
        <v>4628.7</v>
      </c>
      <c r="D505" s="4" t="n">
        <v>4091.4</v>
      </c>
      <c r="E505" s="3" t="s">
        <v>1479</v>
      </c>
      <c r="F505" s="4" t="n">
        <f aca="false">IF(AND(ISNUMBER(C505),ISNUMBER(D505)),D505-C505,"N/A")</f>
        <v>-537.3</v>
      </c>
      <c r="G505" s="6" t="n">
        <f aca="false">IF(ISNUMBER(F505),F505/C505*100,"N/A")</f>
        <v>-11.6080108885864</v>
      </c>
      <c r="H505" s="3" t="str">
        <f aca="false">IF(NOT(ISNUMBER(F505)),"NO CURRENT DATA",IF(F505&gt;0,"RISEN",IF(F505&lt;0,"FALLEN","UNCHANGED")))</f>
        <v>FALLEN</v>
      </c>
      <c r="I505" s="3" t="s">
        <v>1480</v>
      </c>
      <c r="J505" s="3" t="n">
        <v>1</v>
      </c>
    </row>
    <row r="506" customFormat="false" ht="15" hidden="false" customHeight="false" outlineLevel="0" collapsed="false">
      <c r="A506" s="3" t="s">
        <v>987</v>
      </c>
      <c r="B506" s="3" t="s">
        <v>633</v>
      </c>
      <c r="C506" s="4" t="n">
        <v>36530</v>
      </c>
      <c r="D506" s="4" t="n">
        <v>37500</v>
      </c>
      <c r="E506" s="3" t="s">
        <v>1479</v>
      </c>
      <c r="F506" s="4" t="n">
        <f aca="false">IF(AND(ISNUMBER(C506),ISNUMBER(D506)),D506-C506,"N/A")</f>
        <v>970</v>
      </c>
      <c r="G506" s="6" t="n">
        <f aca="false">IF(ISNUMBER(F506),F506/C506*100,"N/A")</f>
        <v>2.65535176567205</v>
      </c>
      <c r="H506" s="3" t="str">
        <f aca="false">IF(NOT(ISNUMBER(F506)),"NO CURRENT DATA",IF(F506&gt;0,"RISEN",IF(F506&lt;0,"FALLEN","UNCHANGED")))</f>
        <v>RISEN</v>
      </c>
      <c r="I506" s="3" t="s">
        <v>1480</v>
      </c>
      <c r="J506" s="3" t="n">
        <v>2</v>
      </c>
    </row>
    <row r="507" customFormat="false" ht="15" hidden="false" customHeight="false" outlineLevel="0" collapsed="false">
      <c r="A507" s="3" t="s">
        <v>987</v>
      </c>
      <c r="B507" s="3" t="s">
        <v>275</v>
      </c>
      <c r="C507" s="4" t="n">
        <v>464.7</v>
      </c>
      <c r="D507" s="4" t="n">
        <v>390.8</v>
      </c>
      <c r="E507" s="3" t="s">
        <v>1479</v>
      </c>
      <c r="F507" s="4" t="n">
        <f aca="false">IF(AND(ISNUMBER(C507),ISNUMBER(D507)),D507-C507,"N/A")</f>
        <v>-73.9</v>
      </c>
      <c r="G507" s="6" t="n">
        <f aca="false">IF(ISNUMBER(F507),F507/C507*100,"N/A")</f>
        <v>-15.9027329459867</v>
      </c>
      <c r="H507" s="3" t="str">
        <f aca="false">IF(NOT(ISNUMBER(F507)),"NO CURRENT DATA",IF(F507&gt;0,"RISEN",IF(F507&lt;0,"FALLEN","UNCHANGED")))</f>
        <v>FALLEN</v>
      </c>
      <c r="I507" s="3" t="s">
        <v>1480</v>
      </c>
      <c r="J507" s="3" t="n">
        <v>2</v>
      </c>
    </row>
    <row r="508" customFormat="false" ht="15" hidden="false" customHeight="false" outlineLevel="0" collapsed="false">
      <c r="A508" s="3" t="s">
        <v>987</v>
      </c>
      <c r="B508" s="3" t="s">
        <v>876</v>
      </c>
      <c r="C508" s="4" t="n">
        <v>3042.1</v>
      </c>
      <c r="D508" s="4" t="n">
        <v>2349</v>
      </c>
      <c r="E508" s="3" t="s">
        <v>1479</v>
      </c>
      <c r="F508" s="4" t="n">
        <f aca="false">IF(AND(ISNUMBER(C508),ISNUMBER(D508)),D508-C508,"N/A")</f>
        <v>-693.1</v>
      </c>
      <c r="G508" s="6" t="n">
        <f aca="false">IF(ISNUMBER(F508),F508/C508*100,"N/A")</f>
        <v>-22.7836034318398</v>
      </c>
      <c r="H508" s="3" t="str">
        <f aca="false">IF(NOT(ISNUMBER(F508)),"NO CURRENT DATA",IF(F508&gt;0,"RISEN",IF(F508&lt;0,"FALLEN","UNCHANGED")))</f>
        <v>FALLEN</v>
      </c>
      <c r="I508" s="3" t="s">
        <v>1480</v>
      </c>
      <c r="J508" s="3" t="n">
        <v>1</v>
      </c>
    </row>
    <row r="509" customFormat="false" ht="15" hidden="false" customHeight="false" outlineLevel="0" collapsed="false">
      <c r="A509" s="3" t="s">
        <v>987</v>
      </c>
      <c r="B509" s="3" t="s">
        <v>441</v>
      </c>
      <c r="C509" s="4" t="n">
        <v>866.55</v>
      </c>
      <c r="D509" s="4" t="n">
        <v>1085</v>
      </c>
      <c r="E509" s="3" t="s">
        <v>1479</v>
      </c>
      <c r="F509" s="4" t="n">
        <f aca="false">IF(AND(ISNUMBER(C509),ISNUMBER(D509)),D509-C509,"N/A")</f>
        <v>218.45</v>
      </c>
      <c r="G509" s="6" t="n">
        <f aca="false">IF(ISNUMBER(F509),F509/C509*100,"N/A")</f>
        <v>25.2091627719116</v>
      </c>
      <c r="H509" s="3" t="str">
        <f aca="false">IF(NOT(ISNUMBER(F509)),"NO CURRENT DATA",IF(F509&gt;0,"RISEN",IF(F509&lt;0,"FALLEN","UNCHANGED")))</f>
        <v>RISEN</v>
      </c>
      <c r="I509" s="3" t="s">
        <v>1480</v>
      </c>
      <c r="J509" s="3" t="n">
        <v>3</v>
      </c>
    </row>
    <row r="510" customFormat="false" ht="15" hidden="false" customHeight="false" outlineLevel="0" collapsed="false">
      <c r="A510" s="3" t="s">
        <v>987</v>
      </c>
      <c r="B510" s="3" t="s">
        <v>550</v>
      </c>
      <c r="C510" s="4" t="n">
        <v>1342.4</v>
      </c>
      <c r="D510" s="4" t="n">
        <v>1470.8</v>
      </c>
      <c r="E510" s="3" t="s">
        <v>1479</v>
      </c>
      <c r="F510" s="4" t="n">
        <f aca="false">IF(AND(ISNUMBER(C510),ISNUMBER(D510)),D510-C510,"N/A")</f>
        <v>128.4</v>
      </c>
      <c r="G510" s="6" t="n">
        <f aca="false">IF(ISNUMBER(F510),F510/C510*100,"N/A")</f>
        <v>9.56495828367103</v>
      </c>
      <c r="H510" s="3" t="str">
        <f aca="false">IF(NOT(ISNUMBER(F510)),"NO CURRENT DATA",IF(F510&gt;0,"RISEN",IF(F510&lt;0,"FALLEN","UNCHANGED")))</f>
        <v>RISEN</v>
      </c>
      <c r="I510" s="3" t="s">
        <v>1480</v>
      </c>
      <c r="J510" s="3" t="n">
        <v>2</v>
      </c>
    </row>
    <row r="511" customFormat="false" ht="15" hidden="false" customHeight="false" outlineLevel="0" collapsed="false">
      <c r="A511" s="3" t="s">
        <v>987</v>
      </c>
      <c r="B511" s="3" t="s">
        <v>422</v>
      </c>
      <c r="C511" s="4" t="n">
        <v>24965</v>
      </c>
      <c r="D511" s="4" t="n">
        <v>22170</v>
      </c>
      <c r="E511" s="3" t="s">
        <v>1479</v>
      </c>
      <c r="F511" s="4" t="n">
        <f aca="false">IF(AND(ISNUMBER(C511),ISNUMBER(D511)),D511-C511,"N/A")</f>
        <v>-2795</v>
      </c>
      <c r="G511" s="6" t="n">
        <f aca="false">IF(ISNUMBER(F511),F511/C511*100,"N/A")</f>
        <v>-11.1956739435209</v>
      </c>
      <c r="H511" s="3" t="str">
        <f aca="false">IF(NOT(ISNUMBER(F511)),"NO CURRENT DATA",IF(F511&gt;0,"RISEN",IF(F511&lt;0,"FALLEN","UNCHANGED")))</f>
        <v>FALLEN</v>
      </c>
      <c r="I511" s="3" t="s">
        <v>1480</v>
      </c>
      <c r="J511" s="3" t="n">
        <v>1</v>
      </c>
    </row>
    <row r="512" customFormat="false" ht="15" hidden="false" customHeight="false" outlineLevel="0" collapsed="false">
      <c r="A512" s="3" t="s">
        <v>987</v>
      </c>
      <c r="B512" s="3" t="s">
        <v>156</v>
      </c>
      <c r="C512" s="4" t="n">
        <v>1100.1</v>
      </c>
      <c r="D512" s="4" t="n">
        <v>1173</v>
      </c>
      <c r="E512" s="3" t="s">
        <v>1479</v>
      </c>
      <c r="F512" s="4" t="n">
        <f aca="false">IF(AND(ISNUMBER(C512),ISNUMBER(D512)),D512-C512,"N/A")</f>
        <v>72.9000000000001</v>
      </c>
      <c r="G512" s="6" t="n">
        <f aca="false">IF(ISNUMBER(F512),F512/C512*100,"N/A")</f>
        <v>6.62667030269976</v>
      </c>
      <c r="H512" s="3" t="str">
        <f aca="false">IF(NOT(ISNUMBER(F512)),"NO CURRENT DATA",IF(F512&gt;0,"RISEN",IF(F512&lt;0,"FALLEN","UNCHANGED")))</f>
        <v>RISEN</v>
      </c>
      <c r="I512" s="3" t="s">
        <v>1480</v>
      </c>
      <c r="J512" s="3" t="n">
        <v>5</v>
      </c>
    </row>
    <row r="513" customFormat="false" ht="15" hidden="false" customHeight="false" outlineLevel="0" collapsed="false">
      <c r="A513" s="3" t="s">
        <v>987</v>
      </c>
      <c r="B513" s="3" t="s">
        <v>223</v>
      </c>
      <c r="C513" s="4" t="n">
        <v>209.75</v>
      </c>
      <c r="D513" s="4" t="n">
        <v>161.56</v>
      </c>
      <c r="E513" s="3" t="s">
        <v>1479</v>
      </c>
      <c r="F513" s="4" t="n">
        <f aca="false">IF(AND(ISNUMBER(C513),ISNUMBER(D513)),D513-C513,"N/A")</f>
        <v>-48.19</v>
      </c>
      <c r="G513" s="6" t="n">
        <f aca="false">IF(ISNUMBER(F513),F513/C513*100,"N/A")</f>
        <v>-22.9749702026222</v>
      </c>
      <c r="H513" s="3" t="str">
        <f aca="false">IF(NOT(ISNUMBER(F513)),"NO CURRENT DATA",IF(F513&gt;0,"RISEN",IF(F513&lt;0,"FALLEN","UNCHANGED")))</f>
        <v>FALLEN</v>
      </c>
      <c r="I513" s="3" t="s">
        <v>1480</v>
      </c>
      <c r="J513" s="3" t="n">
        <v>3</v>
      </c>
    </row>
    <row r="514" customFormat="false" ht="15" hidden="false" customHeight="false" outlineLevel="0" collapsed="false">
      <c r="A514" s="3" t="s">
        <v>1005</v>
      </c>
      <c r="B514" s="3" t="s">
        <v>487</v>
      </c>
      <c r="C514" s="4" t="n">
        <v>10205</v>
      </c>
      <c r="D514" s="4" t="n">
        <v>10800</v>
      </c>
      <c r="E514" s="3" t="s">
        <v>1479</v>
      </c>
      <c r="F514" s="4" t="n">
        <f aca="false">IF(AND(ISNUMBER(C514),ISNUMBER(D514)),D514-C514,"N/A")</f>
        <v>595</v>
      </c>
      <c r="G514" s="6" t="n">
        <f aca="false">IF(ISNUMBER(F514),F514/C514*100,"N/A")</f>
        <v>5.83047525722685</v>
      </c>
      <c r="H514" s="3" t="str">
        <f aca="false">IF(NOT(ISNUMBER(F514)),"NO CURRENT DATA",IF(F514&gt;0,"RISEN",IF(F514&lt;0,"FALLEN","UNCHANGED")))</f>
        <v>RISEN</v>
      </c>
      <c r="I514" s="3" t="s">
        <v>1480</v>
      </c>
      <c r="J514" s="3" t="n">
        <v>1</v>
      </c>
    </row>
    <row r="515" customFormat="false" ht="15" hidden="false" customHeight="false" outlineLevel="0" collapsed="false">
      <c r="A515" s="3" t="s">
        <v>1005</v>
      </c>
      <c r="B515" s="3" t="s">
        <v>1007</v>
      </c>
      <c r="C515" s="4" t="n">
        <v>309.26</v>
      </c>
      <c r="D515" s="4" t="n">
        <v>411.9</v>
      </c>
      <c r="E515" s="3" t="s">
        <v>1479</v>
      </c>
      <c r="F515" s="4" t="n">
        <f aca="false">IF(AND(ISNUMBER(C515),ISNUMBER(D515)),D515-C515,"N/A")</f>
        <v>102.64</v>
      </c>
      <c r="G515" s="6" t="n">
        <f aca="false">IF(ISNUMBER(F515),F515/C515*100,"N/A")</f>
        <v>33.1889025415508</v>
      </c>
      <c r="H515" s="3" t="str">
        <f aca="false">IF(NOT(ISNUMBER(F515)),"NO CURRENT DATA",IF(F515&gt;0,"RISEN",IF(F515&lt;0,"FALLEN","UNCHANGED")))</f>
        <v>RISEN</v>
      </c>
      <c r="I515" s="3" t="s">
        <v>1480</v>
      </c>
      <c r="J515" s="3" t="n">
        <v>0</v>
      </c>
    </row>
    <row r="516" customFormat="false" ht="15" hidden="false" customHeight="false" outlineLevel="0" collapsed="false">
      <c r="A516" s="3" t="s">
        <v>1005</v>
      </c>
      <c r="B516" s="3" t="s">
        <v>917</v>
      </c>
      <c r="C516" s="4" t="n">
        <v>4730</v>
      </c>
      <c r="D516" s="4" t="n">
        <v>4091.4</v>
      </c>
      <c r="E516" s="3" t="s">
        <v>1479</v>
      </c>
      <c r="F516" s="4" t="n">
        <f aca="false">IF(AND(ISNUMBER(C516),ISNUMBER(D516)),D516-C516,"N/A")</f>
        <v>-638.6</v>
      </c>
      <c r="G516" s="6" t="n">
        <f aca="false">IF(ISNUMBER(F516),F516/C516*100,"N/A")</f>
        <v>-13.5010570824524</v>
      </c>
      <c r="H516" s="3" t="str">
        <f aca="false">IF(NOT(ISNUMBER(F516)),"NO CURRENT DATA",IF(F516&gt;0,"RISEN",IF(F516&lt;0,"FALLEN","UNCHANGED")))</f>
        <v>FALLEN</v>
      </c>
      <c r="I516" s="3" t="s">
        <v>1480</v>
      </c>
      <c r="J516" s="3" t="n">
        <v>1</v>
      </c>
    </row>
    <row r="517" customFormat="false" ht="15" hidden="false" customHeight="false" outlineLevel="0" collapsed="false">
      <c r="A517" s="3" t="s">
        <v>1005</v>
      </c>
      <c r="B517" s="3" t="s">
        <v>388</v>
      </c>
      <c r="C517" s="4" t="n">
        <v>1550.5</v>
      </c>
      <c r="D517" s="4" t="n">
        <v>1151.3</v>
      </c>
      <c r="E517" s="3" t="s">
        <v>1479</v>
      </c>
      <c r="F517" s="4" t="n">
        <f aca="false">IF(AND(ISNUMBER(C517),ISNUMBER(D517)),D517-C517,"N/A")</f>
        <v>-399.2</v>
      </c>
      <c r="G517" s="6" t="n">
        <f aca="false">IF(ISNUMBER(F517),F517/C517*100,"N/A")</f>
        <v>-25.7465333763302</v>
      </c>
      <c r="H517" s="3" t="str">
        <f aca="false">IF(NOT(ISNUMBER(F517)),"NO CURRENT DATA",IF(F517&gt;0,"RISEN",IF(F517&lt;0,"FALLEN","UNCHANGED")))</f>
        <v>FALLEN</v>
      </c>
      <c r="I517" s="3" t="s">
        <v>1487</v>
      </c>
      <c r="J517" s="3" t="n">
        <v>1</v>
      </c>
    </row>
    <row r="518" customFormat="false" ht="15" hidden="false" customHeight="false" outlineLevel="0" collapsed="false">
      <c r="A518" s="3" t="s">
        <v>1012</v>
      </c>
      <c r="B518" s="3" t="s">
        <v>207</v>
      </c>
      <c r="C518" s="4" t="n">
        <v>1113.3</v>
      </c>
      <c r="D518" s="4" t="n">
        <v>1045</v>
      </c>
      <c r="E518" s="3" t="s">
        <v>1479</v>
      </c>
      <c r="F518" s="4" t="n">
        <f aca="false">IF(AND(ISNUMBER(C518),ISNUMBER(D518)),D518-C518,"N/A")</f>
        <v>-68.3</v>
      </c>
      <c r="G518" s="6" t="n">
        <f aca="false">IF(ISNUMBER(F518),F518/C518*100,"N/A")</f>
        <v>-6.13491421898859</v>
      </c>
      <c r="H518" s="3" t="str">
        <f aca="false">IF(NOT(ISNUMBER(F518)),"NO CURRENT DATA",IF(F518&gt;0,"RISEN",IF(F518&lt;0,"FALLEN","UNCHANGED")))</f>
        <v>FALLEN</v>
      </c>
      <c r="I518" s="3" t="s">
        <v>1480</v>
      </c>
      <c r="J518" s="3" t="n">
        <v>3</v>
      </c>
    </row>
    <row r="519" customFormat="false" ht="15" hidden="false" customHeight="false" outlineLevel="0" collapsed="false">
      <c r="A519" s="3" t="s">
        <v>1012</v>
      </c>
      <c r="B519" s="3" t="s">
        <v>1014</v>
      </c>
      <c r="C519" s="4" t="n">
        <v>1259.8</v>
      </c>
      <c r="D519" s="4" t="n">
        <v>1287.9</v>
      </c>
      <c r="E519" s="3" t="s">
        <v>1479</v>
      </c>
      <c r="F519" s="4" t="n">
        <f aca="false">IF(AND(ISNUMBER(C519),ISNUMBER(D519)),D519-C519,"N/A")</f>
        <v>28.1000000000001</v>
      </c>
      <c r="G519" s="6" t="n">
        <f aca="false">IF(ISNUMBER(F519),F519/C519*100,"N/A")</f>
        <v>2.23051277980633</v>
      </c>
      <c r="H519" s="3" t="str">
        <f aca="false">IF(NOT(ISNUMBER(F519)),"NO CURRENT DATA",IF(F519&gt;0,"RISEN",IF(F519&lt;0,"FALLEN","UNCHANGED")))</f>
        <v>RISEN</v>
      </c>
      <c r="I519" s="3" t="s">
        <v>1480</v>
      </c>
      <c r="J519" s="3" t="n">
        <v>0</v>
      </c>
    </row>
    <row r="520" customFormat="false" ht="15" hidden="false" customHeight="false" outlineLevel="0" collapsed="false">
      <c r="A520" s="3" t="s">
        <v>1012</v>
      </c>
      <c r="B520" s="3" t="s">
        <v>182</v>
      </c>
      <c r="C520" s="4" t="n">
        <v>1605</v>
      </c>
      <c r="D520" s="4" t="n">
        <v>1370.5</v>
      </c>
      <c r="E520" s="3" t="s">
        <v>1479</v>
      </c>
      <c r="F520" s="4" t="n">
        <f aca="false">IF(AND(ISNUMBER(C520),ISNUMBER(D520)),D520-C520,"N/A")</f>
        <v>-234.5</v>
      </c>
      <c r="G520" s="6" t="n">
        <f aca="false">IF(ISNUMBER(F520),F520/C520*100,"N/A")</f>
        <v>-14.6105919003115</v>
      </c>
      <c r="H520" s="3" t="str">
        <f aca="false">IF(NOT(ISNUMBER(F520)),"NO CURRENT DATA",IF(F520&gt;0,"RISEN",IF(F520&lt;0,"FALLEN","UNCHANGED")))</f>
        <v>FALLEN</v>
      </c>
      <c r="I520" s="3" t="s">
        <v>1480</v>
      </c>
      <c r="J520" s="3" t="n">
        <v>5</v>
      </c>
    </row>
    <row r="521" customFormat="false" ht="15" hidden="false" customHeight="false" outlineLevel="0" collapsed="false">
      <c r="A521" s="3" t="s">
        <v>1012</v>
      </c>
      <c r="B521" s="3" t="s">
        <v>216</v>
      </c>
      <c r="C521" s="4" t="n">
        <v>1240.8</v>
      </c>
      <c r="D521" s="4" t="n">
        <v>1383.7</v>
      </c>
      <c r="E521" s="3" t="s">
        <v>1479</v>
      </c>
      <c r="F521" s="4" t="n">
        <f aca="false">IF(AND(ISNUMBER(C521),ISNUMBER(D521)),D521-C521,"N/A")</f>
        <v>142.9</v>
      </c>
      <c r="G521" s="6" t="n">
        <f aca="false">IF(ISNUMBER(F521),F521/C521*100,"N/A")</f>
        <v>11.5167633784655</v>
      </c>
      <c r="H521" s="3" t="str">
        <f aca="false">IF(NOT(ISNUMBER(F521)),"NO CURRENT DATA",IF(F521&gt;0,"RISEN",IF(F521&lt;0,"FALLEN","UNCHANGED")))</f>
        <v>RISEN</v>
      </c>
      <c r="I521" s="3" t="s">
        <v>1480</v>
      </c>
      <c r="J521" s="3" t="n">
        <v>5</v>
      </c>
    </row>
    <row r="522" customFormat="false" ht="15" hidden="false" customHeight="false" outlineLevel="0" collapsed="false">
      <c r="A522" s="3" t="s">
        <v>1012</v>
      </c>
      <c r="B522" s="3" t="s">
        <v>168</v>
      </c>
      <c r="C522" s="4" t="n">
        <v>1235.7</v>
      </c>
      <c r="D522" s="4" t="n">
        <v>1221</v>
      </c>
      <c r="E522" s="3" t="s">
        <v>1479</v>
      </c>
      <c r="F522" s="4" t="n">
        <f aca="false">IF(AND(ISNUMBER(C522),ISNUMBER(D522)),D522-C522,"N/A")</f>
        <v>-14.7</v>
      </c>
      <c r="G522" s="6" t="n">
        <f aca="false">IF(ISNUMBER(F522),F522/C522*100,"N/A")</f>
        <v>-1.18960912842923</v>
      </c>
      <c r="H522" s="3" t="str">
        <f aca="false">IF(NOT(ISNUMBER(F522)),"NO CURRENT DATA",IF(F522&gt;0,"RISEN",IF(F522&lt;0,"FALLEN","UNCHANGED")))</f>
        <v>FALLEN</v>
      </c>
      <c r="I522" s="3" t="s">
        <v>1480</v>
      </c>
      <c r="J522" s="3" t="n">
        <v>1</v>
      </c>
    </row>
    <row r="523" customFormat="false" ht="15" hidden="false" customHeight="false" outlineLevel="0" collapsed="false">
      <c r="A523" s="3" t="s">
        <v>1012</v>
      </c>
      <c r="B523" s="3" t="s">
        <v>101</v>
      </c>
      <c r="C523" s="4" t="n">
        <v>2792.4</v>
      </c>
      <c r="D523" s="4" t="n">
        <v>2302.3</v>
      </c>
      <c r="E523" s="3" t="s">
        <v>1479</v>
      </c>
      <c r="F523" s="4" t="n">
        <f aca="false">IF(AND(ISNUMBER(C523),ISNUMBER(D523)),D523-C523,"N/A")</f>
        <v>-490.1</v>
      </c>
      <c r="G523" s="6" t="n">
        <f aca="false">IF(ISNUMBER(F523),F523/C523*100,"N/A")</f>
        <v>-17.5512104283054</v>
      </c>
      <c r="H523" s="3" t="str">
        <f aca="false">IF(NOT(ISNUMBER(F523)),"NO CURRENT DATA",IF(F523&gt;0,"RISEN",IF(F523&lt;0,"FALLEN","UNCHANGED")))</f>
        <v>FALLEN</v>
      </c>
      <c r="I523" s="3" t="s">
        <v>1480</v>
      </c>
      <c r="J523" s="3" t="n">
        <v>4</v>
      </c>
    </row>
    <row r="524" customFormat="false" ht="15" hidden="false" customHeight="false" outlineLevel="0" collapsed="false">
      <c r="A524" s="3" t="s">
        <v>1012</v>
      </c>
      <c r="B524" s="3" t="s">
        <v>1021</v>
      </c>
      <c r="C524" s="4" t="n">
        <v>1902.8</v>
      </c>
      <c r="D524" s="4" t="n">
        <v>2050.7</v>
      </c>
      <c r="E524" s="3" t="s">
        <v>1479</v>
      </c>
      <c r="F524" s="4" t="n">
        <f aca="false">IF(AND(ISNUMBER(C524),ISNUMBER(D524)),D524-C524,"N/A")</f>
        <v>147.9</v>
      </c>
      <c r="G524" s="6" t="n">
        <f aca="false">IF(ISNUMBER(F524),F524/C524*100,"N/A")</f>
        <v>7.77275593861677</v>
      </c>
      <c r="H524" s="3" t="str">
        <f aca="false">IF(NOT(ISNUMBER(F524)),"NO CURRENT DATA",IF(F524&gt;0,"RISEN",IF(F524&lt;0,"FALLEN","UNCHANGED")))</f>
        <v>RISEN</v>
      </c>
      <c r="I524" s="3" t="s">
        <v>1480</v>
      </c>
      <c r="J524" s="3" t="n">
        <v>0</v>
      </c>
    </row>
    <row r="525" customFormat="false" ht="15" hidden="false" customHeight="false" outlineLevel="0" collapsed="false">
      <c r="A525" s="3" t="s">
        <v>1012</v>
      </c>
      <c r="B525" s="3" t="s">
        <v>364</v>
      </c>
      <c r="C525" s="4" t="n">
        <v>562</v>
      </c>
      <c r="D525" s="4" t="n">
        <v>458.7</v>
      </c>
      <c r="E525" s="3" t="s">
        <v>1479</v>
      </c>
      <c r="F525" s="4" t="n">
        <f aca="false">IF(AND(ISNUMBER(C525),ISNUMBER(D525)),D525-C525,"N/A")</f>
        <v>-103.3</v>
      </c>
      <c r="G525" s="6" t="n">
        <f aca="false">IF(ISNUMBER(F525),F525/C525*100,"N/A")</f>
        <v>-18.3807829181495</v>
      </c>
      <c r="H525" s="3" t="str">
        <f aca="false">IF(NOT(ISNUMBER(F525)),"NO CURRENT DATA",IF(F525&gt;0,"RISEN",IF(F525&lt;0,"FALLEN","UNCHANGED")))</f>
        <v>FALLEN</v>
      </c>
      <c r="I525" s="3" t="s">
        <v>1480</v>
      </c>
      <c r="J525" s="3" t="n">
        <v>6</v>
      </c>
    </row>
    <row r="526" customFormat="false" ht="15" hidden="false" customHeight="false" outlineLevel="0" collapsed="false">
      <c r="A526" s="3" t="s">
        <v>1012</v>
      </c>
      <c r="B526" s="3" t="s">
        <v>525</v>
      </c>
      <c r="C526" s="4" t="n">
        <v>243.86</v>
      </c>
      <c r="D526" s="4" t="n">
        <v>220.5</v>
      </c>
      <c r="E526" s="3" t="s">
        <v>1479</v>
      </c>
      <c r="F526" s="4" t="n">
        <f aca="false">IF(AND(ISNUMBER(C526),ISNUMBER(D526)),D526-C526,"N/A")</f>
        <v>-23.36</v>
      </c>
      <c r="G526" s="6" t="n">
        <f aca="false">IF(ISNUMBER(F526),F526/C526*100,"N/A")</f>
        <v>-9.57926679242189</v>
      </c>
      <c r="H526" s="3" t="str">
        <f aca="false">IF(NOT(ISNUMBER(F526)),"NO CURRENT DATA",IF(F526&gt;0,"RISEN",IF(F526&lt;0,"FALLEN","UNCHANGED")))</f>
        <v>FALLEN</v>
      </c>
      <c r="I526" s="3" t="s">
        <v>1480</v>
      </c>
      <c r="J526" s="3" t="n">
        <v>2</v>
      </c>
    </row>
    <row r="527" customFormat="false" ht="15" hidden="false" customHeight="false" outlineLevel="0" collapsed="false">
      <c r="A527" s="3" t="s">
        <v>1012</v>
      </c>
      <c r="B527" s="3" t="s">
        <v>901</v>
      </c>
      <c r="C527" s="4" t="n">
        <v>1015.05</v>
      </c>
      <c r="D527" s="4" t="n">
        <v>1093.9</v>
      </c>
      <c r="E527" s="3" t="s">
        <v>1479</v>
      </c>
      <c r="F527" s="4" t="n">
        <f aca="false">IF(AND(ISNUMBER(C527),ISNUMBER(D527)),D527-C527,"N/A")</f>
        <v>78.8500000000001</v>
      </c>
      <c r="G527" s="6" t="n">
        <f aca="false">IF(ISNUMBER(F527),F527/C527*100,"N/A")</f>
        <v>7.76809024186002</v>
      </c>
      <c r="H527" s="3" t="str">
        <f aca="false">IF(NOT(ISNUMBER(F527)),"NO CURRENT DATA",IF(F527&gt;0,"RISEN",IF(F527&lt;0,"FALLEN","UNCHANGED")))</f>
        <v>RISEN</v>
      </c>
      <c r="I527" s="3" t="s">
        <v>1480</v>
      </c>
      <c r="J527" s="3" t="n">
        <v>3</v>
      </c>
    </row>
    <row r="528" customFormat="false" ht="15" hidden="false" customHeight="false" outlineLevel="0" collapsed="false">
      <c r="A528" s="3" t="s">
        <v>1012</v>
      </c>
      <c r="B528" s="3" t="s">
        <v>845</v>
      </c>
      <c r="C528" s="4" t="n">
        <v>83.56</v>
      </c>
      <c r="D528" s="4" t="n">
        <v>74.5</v>
      </c>
      <c r="E528" s="3" t="s">
        <v>1479</v>
      </c>
      <c r="F528" s="4" t="n">
        <f aca="false">IF(AND(ISNUMBER(C528),ISNUMBER(D528)),D528-C528,"N/A")</f>
        <v>-9.06</v>
      </c>
      <c r="G528" s="6" t="n">
        <f aca="false">IF(ISNUMBER(F528),F528/C528*100,"N/A")</f>
        <v>-10.842508377214</v>
      </c>
      <c r="H528" s="3" t="str">
        <f aca="false">IF(NOT(ISNUMBER(F528)),"NO CURRENT DATA",IF(F528&gt;0,"RISEN",IF(F528&lt;0,"FALLEN","UNCHANGED")))</f>
        <v>FALLEN</v>
      </c>
      <c r="I528" s="3" t="s">
        <v>1480</v>
      </c>
      <c r="J528" s="3" t="n">
        <v>1</v>
      </c>
    </row>
    <row r="529" customFormat="false" ht="15" hidden="false" customHeight="false" outlineLevel="0" collapsed="false">
      <c r="A529" s="3" t="s">
        <v>1012</v>
      </c>
      <c r="B529" s="3" t="s">
        <v>275</v>
      </c>
      <c r="C529" s="4" t="n">
        <v>468.3</v>
      </c>
      <c r="D529" s="4" t="n">
        <v>390.8</v>
      </c>
      <c r="E529" s="3" t="s">
        <v>1479</v>
      </c>
      <c r="F529" s="4" t="n">
        <f aca="false">IF(AND(ISNUMBER(C529),ISNUMBER(D529)),D529-C529,"N/A")</f>
        <v>-77.5</v>
      </c>
      <c r="G529" s="6" t="n">
        <f aca="false">IF(ISNUMBER(F529),F529/C529*100,"N/A")</f>
        <v>-16.549220585095</v>
      </c>
      <c r="H529" s="3" t="str">
        <f aca="false">IF(NOT(ISNUMBER(F529)),"NO CURRENT DATA",IF(F529&gt;0,"RISEN",IF(F529&lt;0,"FALLEN","UNCHANGED")))</f>
        <v>FALLEN</v>
      </c>
      <c r="I529" s="3" t="s">
        <v>1480</v>
      </c>
      <c r="J529" s="3" t="n">
        <v>3</v>
      </c>
    </row>
    <row r="530" customFormat="false" ht="15" hidden="false" customHeight="false" outlineLevel="0" collapsed="false">
      <c r="A530" s="3" t="s">
        <v>1012</v>
      </c>
      <c r="B530" s="3" t="s">
        <v>876</v>
      </c>
      <c r="C530" s="4" t="n">
        <v>3139.7</v>
      </c>
      <c r="D530" s="4" t="n">
        <v>2349</v>
      </c>
      <c r="E530" s="3" t="s">
        <v>1479</v>
      </c>
      <c r="F530" s="4" t="n">
        <f aca="false">IF(AND(ISNUMBER(C530),ISNUMBER(D530)),D530-C530,"N/A")</f>
        <v>-790.7</v>
      </c>
      <c r="G530" s="6" t="n">
        <f aca="false">IF(ISNUMBER(F530),F530/C530*100,"N/A")</f>
        <v>-25.183934770838</v>
      </c>
      <c r="H530" s="3" t="str">
        <f aca="false">IF(NOT(ISNUMBER(F530)),"NO CURRENT DATA",IF(F530&gt;0,"RISEN",IF(F530&lt;0,"FALLEN","UNCHANGED")))</f>
        <v>FALLEN</v>
      </c>
      <c r="I530" s="3" t="s">
        <v>1480</v>
      </c>
      <c r="J530" s="3" t="n">
        <v>2</v>
      </c>
    </row>
    <row r="531" customFormat="false" ht="15" hidden="false" customHeight="false" outlineLevel="0" collapsed="false">
      <c r="A531" s="3" t="s">
        <v>1012</v>
      </c>
      <c r="B531" s="3" t="s">
        <v>907</v>
      </c>
      <c r="C531" s="4" t="n">
        <v>1034.6</v>
      </c>
      <c r="D531" s="4" t="n">
        <v>906</v>
      </c>
      <c r="E531" s="3" t="s">
        <v>1479</v>
      </c>
      <c r="F531" s="4" t="n">
        <f aca="false">IF(AND(ISNUMBER(C531),ISNUMBER(D531)),D531-C531,"N/A")</f>
        <v>-128.6</v>
      </c>
      <c r="G531" s="6" t="n">
        <f aca="false">IF(ISNUMBER(F531),F531/C531*100,"N/A")</f>
        <v>-12.4299246085444</v>
      </c>
      <c r="H531" s="3" t="str">
        <f aca="false">IF(NOT(ISNUMBER(F531)),"NO CURRENT DATA",IF(F531&gt;0,"RISEN",IF(F531&lt;0,"FALLEN","UNCHANGED")))</f>
        <v>FALLEN</v>
      </c>
      <c r="I531" s="3" t="s">
        <v>1480</v>
      </c>
      <c r="J531" s="3" t="n">
        <v>1</v>
      </c>
    </row>
    <row r="532" customFormat="false" ht="15" hidden="false" customHeight="false" outlineLevel="0" collapsed="false">
      <c r="A532" s="3" t="s">
        <v>1012</v>
      </c>
      <c r="B532" s="3" t="s">
        <v>740</v>
      </c>
      <c r="C532" s="4" t="n">
        <v>3709</v>
      </c>
      <c r="D532" s="4" t="n">
        <v>3499.8</v>
      </c>
      <c r="E532" s="3" t="s">
        <v>1479</v>
      </c>
      <c r="F532" s="4" t="n">
        <f aca="false">IF(AND(ISNUMBER(C532),ISNUMBER(D532)),D532-C532,"N/A")</f>
        <v>-209.2</v>
      </c>
      <c r="G532" s="6" t="n">
        <f aca="false">IF(ISNUMBER(F532),F532/C532*100,"N/A")</f>
        <v>-5.64033432191965</v>
      </c>
      <c r="H532" s="3" t="str">
        <f aca="false">IF(NOT(ISNUMBER(F532)),"NO CURRENT DATA",IF(F532&gt;0,"RISEN",IF(F532&lt;0,"FALLEN","UNCHANGED")))</f>
        <v>FALLEN</v>
      </c>
      <c r="I532" s="3" t="s">
        <v>1480</v>
      </c>
      <c r="J532" s="3" t="n">
        <v>3</v>
      </c>
    </row>
    <row r="533" customFormat="false" ht="15" hidden="false" customHeight="false" outlineLevel="0" collapsed="false">
      <c r="A533" s="3" t="s">
        <v>1012</v>
      </c>
      <c r="B533" s="3" t="s">
        <v>1032</v>
      </c>
      <c r="C533" s="4" t="n">
        <v>118.95</v>
      </c>
      <c r="D533" s="4" t="n">
        <v>100.81</v>
      </c>
      <c r="E533" s="3" t="s">
        <v>1479</v>
      </c>
      <c r="F533" s="4" t="n">
        <f aca="false">IF(AND(ISNUMBER(C533),ISNUMBER(D533)),D533-C533,"N/A")</f>
        <v>-18.14</v>
      </c>
      <c r="G533" s="6" t="n">
        <f aca="false">IF(ISNUMBER(F533),F533/C533*100,"N/A")</f>
        <v>-15.2501050861707</v>
      </c>
      <c r="H533" s="3" t="str">
        <f aca="false">IF(NOT(ISNUMBER(F533)),"NO CURRENT DATA",IF(F533&gt;0,"RISEN",IF(F533&lt;0,"FALLEN","UNCHANGED")))</f>
        <v>FALLEN</v>
      </c>
      <c r="I533" s="3" t="s">
        <v>1480</v>
      </c>
      <c r="J533" s="3" t="n">
        <v>0</v>
      </c>
    </row>
    <row r="534" customFormat="false" ht="15" hidden="false" customHeight="false" outlineLevel="0" collapsed="false">
      <c r="A534" s="3" t="s">
        <v>1035</v>
      </c>
      <c r="B534" s="3" t="s">
        <v>1036</v>
      </c>
      <c r="C534" s="4" t="n">
        <v>8082.5</v>
      </c>
      <c r="D534" s="4" t="n">
        <v>10800</v>
      </c>
      <c r="E534" s="3" t="s">
        <v>1479</v>
      </c>
      <c r="F534" s="4" t="n">
        <f aca="false">IF(AND(ISNUMBER(C534),ISNUMBER(D534)),D534-C534,"N/A")</f>
        <v>2717.5</v>
      </c>
      <c r="G534" s="6" t="n">
        <f aca="false">IF(ISNUMBER(F534),F534/C534*100,"N/A")</f>
        <v>33.6220228889576</v>
      </c>
      <c r="H534" s="3" t="str">
        <f aca="false">IF(NOT(ISNUMBER(F534)),"NO CURRENT DATA",IF(F534&gt;0,"RISEN",IF(F534&lt;0,"FALLEN","UNCHANGED")))</f>
        <v>RISEN</v>
      </c>
      <c r="I534" s="3" t="s">
        <v>1480</v>
      </c>
      <c r="J534" s="3" t="n">
        <v>0</v>
      </c>
    </row>
    <row r="535" customFormat="false" ht="15" hidden="false" customHeight="false" outlineLevel="0" collapsed="false">
      <c r="A535" s="3" t="s">
        <v>1039</v>
      </c>
      <c r="B535" s="3" t="s">
        <v>245</v>
      </c>
      <c r="C535" s="4" t="n">
        <v>2310.7</v>
      </c>
      <c r="D535" s="4" t="n">
        <v>1896</v>
      </c>
      <c r="E535" s="3" t="s">
        <v>1479</v>
      </c>
      <c r="F535" s="4" t="n">
        <f aca="false">IF(AND(ISNUMBER(C535),ISNUMBER(D535)),D535-C535,"N/A")</f>
        <v>-414.7</v>
      </c>
      <c r="G535" s="6" t="n">
        <f aca="false">IF(ISNUMBER(F535),F535/C535*100,"N/A")</f>
        <v>-17.9469424849613</v>
      </c>
      <c r="H535" s="3" t="str">
        <f aca="false">IF(NOT(ISNUMBER(F535)),"NO CURRENT DATA",IF(F535&gt;0,"RISEN",IF(F535&lt;0,"FALLEN","UNCHANGED")))</f>
        <v>FALLEN</v>
      </c>
      <c r="I535" s="3" t="s">
        <v>1480</v>
      </c>
      <c r="J535" s="3" t="n">
        <v>3</v>
      </c>
    </row>
    <row r="536" customFormat="false" ht="15" hidden="false" customHeight="false" outlineLevel="0" collapsed="false">
      <c r="A536" s="3" t="s">
        <v>1039</v>
      </c>
      <c r="B536" s="3" t="s">
        <v>901</v>
      </c>
      <c r="C536" s="4" t="n">
        <v>1055.35</v>
      </c>
      <c r="D536" s="4" t="n">
        <v>1093.9</v>
      </c>
      <c r="E536" s="3" t="s">
        <v>1479</v>
      </c>
      <c r="F536" s="4" t="n">
        <f aca="false">IF(AND(ISNUMBER(C536),ISNUMBER(D536)),D536-C536,"N/A")</f>
        <v>38.5500000000002</v>
      </c>
      <c r="G536" s="6" t="n">
        <f aca="false">IF(ISNUMBER(F536),F536/C536*100,"N/A")</f>
        <v>3.65281660112761</v>
      </c>
      <c r="H536" s="3" t="str">
        <f aca="false">IF(NOT(ISNUMBER(F536)),"NO CURRENT DATA",IF(F536&gt;0,"RISEN",IF(F536&lt;0,"FALLEN","UNCHANGED")))</f>
        <v>RISEN</v>
      </c>
      <c r="I536" s="3" t="s">
        <v>1480</v>
      </c>
      <c r="J536" s="3" t="n">
        <v>4</v>
      </c>
    </row>
    <row r="537" customFormat="false" ht="15" hidden="false" customHeight="false" outlineLevel="0" collapsed="false">
      <c r="A537" s="3" t="s">
        <v>1039</v>
      </c>
      <c r="B537" s="3" t="s">
        <v>237</v>
      </c>
      <c r="C537" s="4" t="n">
        <v>1807</v>
      </c>
      <c r="D537" s="4" t="n">
        <v>1952.2</v>
      </c>
      <c r="E537" s="3" t="s">
        <v>1479</v>
      </c>
      <c r="F537" s="4" t="n">
        <f aca="false">IF(AND(ISNUMBER(C537),ISNUMBER(D537)),D537-C537,"N/A")</f>
        <v>145.2</v>
      </c>
      <c r="G537" s="6" t="n">
        <f aca="false">IF(ISNUMBER(F537),F537/C537*100,"N/A")</f>
        <v>8.03541781959049</v>
      </c>
      <c r="H537" s="3" t="str">
        <f aca="false">IF(NOT(ISNUMBER(F537)),"NO CURRENT DATA",IF(F537&gt;0,"RISEN",IF(F537&lt;0,"FALLEN","UNCHANGED")))</f>
        <v>RISEN</v>
      </c>
      <c r="I537" s="3" t="s">
        <v>1480</v>
      </c>
      <c r="J537" s="3" t="n">
        <v>5</v>
      </c>
    </row>
    <row r="538" customFormat="false" ht="15" hidden="false" customHeight="false" outlineLevel="0" collapsed="false">
      <c r="A538" s="3" t="s">
        <v>1043</v>
      </c>
      <c r="B538" s="3" t="s">
        <v>403</v>
      </c>
      <c r="C538" s="4" t="n">
        <v>562.15</v>
      </c>
      <c r="D538" s="4" t="n">
        <v>564.15</v>
      </c>
      <c r="E538" s="3" t="s">
        <v>1479</v>
      </c>
      <c r="F538" s="4" t="n">
        <f aca="false">IF(AND(ISNUMBER(C538),ISNUMBER(D538)),D538-C538,"N/A")</f>
        <v>2</v>
      </c>
      <c r="G538" s="6" t="n">
        <f aca="false">IF(ISNUMBER(F538),F538/C538*100,"N/A")</f>
        <v>0.355776927866228</v>
      </c>
      <c r="H538" s="3" t="str">
        <f aca="false">IF(NOT(ISNUMBER(F538)),"NO CURRENT DATA",IF(F538&gt;0,"RISEN",IF(F538&lt;0,"FALLEN","UNCHANGED")))</f>
        <v>RISEN</v>
      </c>
      <c r="I538" s="3" t="s">
        <v>1480</v>
      </c>
      <c r="J538" s="3" t="n">
        <v>2</v>
      </c>
    </row>
    <row r="539" customFormat="false" ht="15" hidden="false" customHeight="false" outlineLevel="0" collapsed="false">
      <c r="A539" s="3" t="s">
        <v>1043</v>
      </c>
      <c r="B539" s="3" t="s">
        <v>623</v>
      </c>
      <c r="C539" s="4" t="n">
        <v>1778.7</v>
      </c>
      <c r="D539" s="4" t="n">
        <v>1838</v>
      </c>
      <c r="E539" s="3" t="s">
        <v>1479</v>
      </c>
      <c r="F539" s="4" t="n">
        <f aca="false">IF(AND(ISNUMBER(C539),ISNUMBER(D539)),D539-C539,"N/A")</f>
        <v>59.3</v>
      </c>
      <c r="G539" s="6" t="n">
        <f aca="false">IF(ISNUMBER(F539),F539/C539*100,"N/A")</f>
        <v>3.33389554168775</v>
      </c>
      <c r="H539" s="3" t="str">
        <f aca="false">IF(NOT(ISNUMBER(F539)),"NO CURRENT DATA",IF(F539&gt;0,"RISEN",IF(F539&lt;0,"FALLEN","UNCHANGED")))</f>
        <v>RISEN</v>
      </c>
      <c r="I539" s="3" t="s">
        <v>1480</v>
      </c>
      <c r="J539" s="3" t="n">
        <v>5</v>
      </c>
    </row>
    <row r="540" customFormat="false" ht="15" hidden="false" customHeight="false" outlineLevel="0" collapsed="false">
      <c r="A540" s="3" t="s">
        <v>1046</v>
      </c>
      <c r="B540" s="3" t="s">
        <v>319</v>
      </c>
      <c r="C540" s="4" t="n">
        <v>1562.9</v>
      </c>
      <c r="D540" s="4" t="n">
        <v>1634.2</v>
      </c>
      <c r="E540" s="3" t="s">
        <v>1479</v>
      </c>
      <c r="F540" s="4" t="n">
        <f aca="false">IF(AND(ISNUMBER(C540),ISNUMBER(D540)),D540-C540,"N/A")</f>
        <v>71.3</v>
      </c>
      <c r="G540" s="6" t="n">
        <f aca="false">IF(ISNUMBER(F540),F540/C540*100,"N/A")</f>
        <v>4.56203211977733</v>
      </c>
      <c r="H540" s="3" t="str">
        <f aca="false">IF(NOT(ISNUMBER(F540)),"NO CURRENT DATA",IF(F540&gt;0,"RISEN",IF(F540&lt;0,"FALLEN","UNCHANGED")))</f>
        <v>RISEN</v>
      </c>
      <c r="I540" s="3" t="s">
        <v>1480</v>
      </c>
      <c r="J540" s="3" t="n">
        <v>3</v>
      </c>
    </row>
    <row r="541" customFormat="false" ht="15" hidden="false" customHeight="false" outlineLevel="0" collapsed="false">
      <c r="A541" s="3" t="s">
        <v>1046</v>
      </c>
      <c r="B541" s="3" t="s">
        <v>234</v>
      </c>
      <c r="C541" s="4" t="n">
        <v>383.3</v>
      </c>
      <c r="D541" s="4" t="n">
        <v>401.55</v>
      </c>
      <c r="E541" s="3" t="s">
        <v>1479</v>
      </c>
      <c r="F541" s="4" t="n">
        <f aca="false">IF(AND(ISNUMBER(C541),ISNUMBER(D541)),D541-C541,"N/A")</f>
        <v>18.25</v>
      </c>
      <c r="G541" s="6" t="n">
        <f aca="false">IF(ISNUMBER(F541),F541/C541*100,"N/A")</f>
        <v>4.76128358987738</v>
      </c>
      <c r="H541" s="3" t="str">
        <f aca="false">IF(NOT(ISNUMBER(F541)),"NO CURRENT DATA",IF(F541&gt;0,"RISEN",IF(F541&lt;0,"FALLEN","UNCHANGED")))</f>
        <v>RISEN</v>
      </c>
      <c r="I541" s="3" t="s">
        <v>1480</v>
      </c>
      <c r="J541" s="3" t="n">
        <v>1</v>
      </c>
    </row>
    <row r="542" customFormat="false" ht="15" hidden="false" customHeight="false" outlineLevel="0" collapsed="false">
      <c r="A542" s="3" t="s">
        <v>1049</v>
      </c>
      <c r="B542" s="3" t="s">
        <v>207</v>
      </c>
      <c r="C542" s="4" t="n">
        <v>1066.5</v>
      </c>
      <c r="D542" s="4" t="n">
        <v>1045</v>
      </c>
      <c r="E542" s="3" t="s">
        <v>1479</v>
      </c>
      <c r="F542" s="4" t="n">
        <f aca="false">IF(AND(ISNUMBER(C542),ISNUMBER(D542)),D542-C542,"N/A")</f>
        <v>-21.5</v>
      </c>
      <c r="G542" s="6" t="n">
        <f aca="false">IF(ISNUMBER(F542),F542/C542*100,"N/A")</f>
        <v>-2.01593999062353</v>
      </c>
      <c r="H542" s="3" t="str">
        <f aca="false">IF(NOT(ISNUMBER(F542)),"NO CURRENT DATA",IF(F542&gt;0,"RISEN",IF(F542&lt;0,"FALLEN","UNCHANGED")))</f>
        <v>FALLEN</v>
      </c>
      <c r="I542" s="3" t="s">
        <v>1480</v>
      </c>
      <c r="J542" s="3" t="n">
        <v>4</v>
      </c>
    </row>
    <row r="543" customFormat="false" ht="15" hidden="false" customHeight="false" outlineLevel="0" collapsed="false">
      <c r="A543" s="3" t="s">
        <v>1049</v>
      </c>
      <c r="B543" s="3" t="s">
        <v>210</v>
      </c>
      <c r="C543" s="4" t="n">
        <v>1770.4</v>
      </c>
      <c r="D543" s="4" t="n">
        <v>1752</v>
      </c>
      <c r="E543" s="3" t="s">
        <v>1479</v>
      </c>
      <c r="F543" s="4" t="n">
        <f aca="false">IF(AND(ISNUMBER(C543),ISNUMBER(D543)),D543-C543,"N/A")</f>
        <v>-18.4000000000001</v>
      </c>
      <c r="G543" s="6" t="n">
        <f aca="false">IF(ISNUMBER(F543),F543/C543*100,"N/A")</f>
        <v>-1.03931314957072</v>
      </c>
      <c r="H543" s="3" t="str">
        <f aca="false">IF(NOT(ISNUMBER(F543)),"NO CURRENT DATA",IF(F543&gt;0,"RISEN",IF(F543&lt;0,"FALLEN","UNCHANGED")))</f>
        <v>FALLEN</v>
      </c>
      <c r="I543" s="3" t="s">
        <v>1480</v>
      </c>
      <c r="J543" s="3" t="n">
        <v>2</v>
      </c>
    </row>
    <row r="544" customFormat="false" ht="15" hidden="false" customHeight="false" outlineLevel="0" collapsed="false">
      <c r="A544" s="3" t="s">
        <v>1049</v>
      </c>
      <c r="B544" s="3" t="s">
        <v>260</v>
      </c>
      <c r="C544" s="4" t="n">
        <v>98.9</v>
      </c>
      <c r="D544" s="4" t="n">
        <v>94.75</v>
      </c>
      <c r="E544" s="3" t="s">
        <v>1479</v>
      </c>
      <c r="F544" s="4" t="n">
        <f aca="false">IF(AND(ISNUMBER(C544),ISNUMBER(D544)),D544-C544,"N/A")</f>
        <v>-4.15000000000001</v>
      </c>
      <c r="G544" s="6" t="n">
        <f aca="false">IF(ISNUMBER(F544),F544/C544*100,"N/A")</f>
        <v>-4.19615773508595</v>
      </c>
      <c r="H544" s="3" t="str">
        <f aca="false">IF(NOT(ISNUMBER(F544)),"NO CURRENT DATA",IF(F544&gt;0,"RISEN",IF(F544&lt;0,"FALLEN","UNCHANGED")))</f>
        <v>FALLEN</v>
      </c>
      <c r="I544" s="3" t="s">
        <v>1480</v>
      </c>
      <c r="J544" s="3" t="n">
        <v>5</v>
      </c>
    </row>
    <row r="545" customFormat="false" ht="15" hidden="false" customHeight="false" outlineLevel="0" collapsed="false">
      <c r="A545" s="3" t="s">
        <v>1049</v>
      </c>
      <c r="B545" s="3" t="s">
        <v>501</v>
      </c>
      <c r="C545" s="4" t="n">
        <v>5058.3</v>
      </c>
      <c r="D545" s="4" t="n">
        <v>4516</v>
      </c>
      <c r="E545" s="3" t="s">
        <v>1479</v>
      </c>
      <c r="F545" s="4" t="n">
        <f aca="false">IF(AND(ISNUMBER(C545),ISNUMBER(D545)),D545-C545,"N/A")</f>
        <v>-542.3</v>
      </c>
      <c r="G545" s="6" t="n">
        <f aca="false">IF(ISNUMBER(F545),F545/C545*100,"N/A")</f>
        <v>-10.7209932190657</v>
      </c>
      <c r="H545" s="3" t="str">
        <f aca="false">IF(NOT(ISNUMBER(F545)),"NO CURRENT DATA",IF(F545&gt;0,"RISEN",IF(F545&lt;0,"FALLEN","UNCHANGED")))</f>
        <v>FALLEN</v>
      </c>
      <c r="I545" s="3" t="s">
        <v>1480</v>
      </c>
      <c r="J545" s="3" t="n">
        <v>3</v>
      </c>
    </row>
    <row r="546" customFormat="false" ht="15" hidden="false" customHeight="false" outlineLevel="0" collapsed="false">
      <c r="A546" s="3" t="s">
        <v>1049</v>
      </c>
      <c r="B546" s="3" t="s">
        <v>203</v>
      </c>
      <c r="C546" s="4" t="n">
        <v>1166.4</v>
      </c>
      <c r="D546" s="4" t="n">
        <v>2010.7</v>
      </c>
      <c r="E546" s="3" t="s">
        <v>1479</v>
      </c>
      <c r="F546" s="4" t="n">
        <f aca="false">IF(AND(ISNUMBER(C546),ISNUMBER(D546)),D546-C546,"N/A")</f>
        <v>844.3</v>
      </c>
      <c r="G546" s="6" t="n">
        <f aca="false">IF(ISNUMBER(F546),F546/C546*100,"N/A")</f>
        <v>72.3851165980796</v>
      </c>
      <c r="H546" s="3" t="str">
        <f aca="false">IF(NOT(ISNUMBER(F546)),"NO CURRENT DATA",IF(F546&gt;0,"RISEN",IF(F546&lt;0,"FALLEN","UNCHANGED")))</f>
        <v>RISEN</v>
      </c>
      <c r="I546" s="3" t="s">
        <v>1480</v>
      </c>
      <c r="J546" s="3" t="n">
        <v>2</v>
      </c>
    </row>
    <row r="547" customFormat="false" ht="15" hidden="false" customHeight="false" outlineLevel="0" collapsed="false">
      <c r="A547" s="3" t="s">
        <v>1055</v>
      </c>
      <c r="B547" s="3" t="s">
        <v>284</v>
      </c>
      <c r="C547" s="4" t="n">
        <v>2417.9</v>
      </c>
      <c r="D547" s="4" t="n">
        <v>2325.7</v>
      </c>
      <c r="E547" s="3" t="s">
        <v>1479</v>
      </c>
      <c r="F547" s="4" t="n">
        <f aca="false">IF(AND(ISNUMBER(C547),ISNUMBER(D547)),D547-C547,"N/A")</f>
        <v>-92.2000000000003</v>
      </c>
      <c r="G547" s="6" t="n">
        <f aca="false">IF(ISNUMBER(F547),F547/C547*100,"N/A")</f>
        <v>-3.81322635344722</v>
      </c>
      <c r="H547" s="3" t="str">
        <f aca="false">IF(NOT(ISNUMBER(F547)),"NO CURRENT DATA",IF(F547&gt;0,"RISEN",IF(F547&lt;0,"FALLEN","UNCHANGED")))</f>
        <v>FALLEN</v>
      </c>
      <c r="I547" s="3" t="s">
        <v>1480</v>
      </c>
      <c r="J547" s="3" t="n">
        <v>3</v>
      </c>
    </row>
    <row r="548" customFormat="false" ht="15" hidden="false" customHeight="false" outlineLevel="0" collapsed="false">
      <c r="A548" s="3" t="s">
        <v>1055</v>
      </c>
      <c r="B548" s="3" t="s">
        <v>414</v>
      </c>
      <c r="C548" s="4" t="n">
        <v>1351.1</v>
      </c>
      <c r="D548" s="4" t="n">
        <v>1640.6</v>
      </c>
      <c r="E548" s="3" t="s">
        <v>1479</v>
      </c>
      <c r="F548" s="4" t="n">
        <f aca="false">IF(AND(ISNUMBER(C548),ISNUMBER(D548)),D548-C548,"N/A")</f>
        <v>289.5</v>
      </c>
      <c r="G548" s="6" t="n">
        <f aca="false">IF(ISNUMBER(F548),F548/C548*100,"N/A")</f>
        <v>21.426985419288</v>
      </c>
      <c r="H548" s="3" t="str">
        <f aca="false">IF(NOT(ISNUMBER(F548)),"NO CURRENT DATA",IF(F548&gt;0,"RISEN",IF(F548&lt;0,"FALLEN","UNCHANGED")))</f>
        <v>RISEN</v>
      </c>
      <c r="I548" s="3" t="s">
        <v>1480</v>
      </c>
      <c r="J548" s="3" t="n">
        <v>2</v>
      </c>
    </row>
    <row r="549" customFormat="false" ht="15" hidden="false" customHeight="false" outlineLevel="0" collapsed="false">
      <c r="A549" s="3" t="s">
        <v>1058</v>
      </c>
      <c r="B549" s="3" t="s">
        <v>207</v>
      </c>
      <c r="C549" s="4" t="n">
        <v>1084.1</v>
      </c>
      <c r="D549" s="4" t="n">
        <v>1045</v>
      </c>
      <c r="E549" s="3" t="s">
        <v>1479</v>
      </c>
      <c r="F549" s="4" t="n">
        <f aca="false">IF(AND(ISNUMBER(C549),ISNUMBER(D549)),D549-C549,"N/A")</f>
        <v>-39.0999999999999</v>
      </c>
      <c r="G549" s="6" t="n">
        <f aca="false">IF(ISNUMBER(F549),F549/C549*100,"N/A")</f>
        <v>-3.60667835070565</v>
      </c>
      <c r="H549" s="3" t="str">
        <f aca="false">IF(NOT(ISNUMBER(F549)),"NO CURRENT DATA",IF(F549&gt;0,"RISEN",IF(F549&lt;0,"FALLEN","UNCHANGED")))</f>
        <v>FALLEN</v>
      </c>
      <c r="I549" s="3" t="s">
        <v>1480</v>
      </c>
      <c r="J549" s="3" t="n">
        <v>5</v>
      </c>
    </row>
    <row r="550" customFormat="false" ht="15" hidden="false" customHeight="false" outlineLevel="0" collapsed="false">
      <c r="A550" s="3" t="s">
        <v>1058</v>
      </c>
      <c r="B550" s="3" t="s">
        <v>513</v>
      </c>
      <c r="C550" s="4" t="n">
        <v>270.3</v>
      </c>
      <c r="D550" s="4" t="n">
        <v>227.5</v>
      </c>
      <c r="E550" s="3" t="s">
        <v>1479</v>
      </c>
      <c r="F550" s="4" t="n">
        <f aca="false">IF(AND(ISNUMBER(C550),ISNUMBER(D550)),D550-C550,"N/A")</f>
        <v>-42.8</v>
      </c>
      <c r="G550" s="6" t="n">
        <f aca="false">IF(ISNUMBER(F550),F550/C550*100,"N/A")</f>
        <v>-15.8342582315945</v>
      </c>
      <c r="H550" s="3" t="str">
        <f aca="false">IF(NOT(ISNUMBER(F550)),"NO CURRENT DATA",IF(F550&gt;0,"RISEN",IF(F550&lt;0,"FALLEN","UNCHANGED")))</f>
        <v>FALLEN</v>
      </c>
      <c r="I550" s="3" t="s">
        <v>1480</v>
      </c>
      <c r="J550" s="3" t="n">
        <v>2</v>
      </c>
    </row>
    <row r="551" customFormat="false" ht="15" hidden="false" customHeight="false" outlineLevel="0" collapsed="false">
      <c r="A551" s="3" t="s">
        <v>1058</v>
      </c>
      <c r="B551" s="3" t="s">
        <v>399</v>
      </c>
      <c r="C551" s="4" t="n">
        <v>606.35</v>
      </c>
      <c r="D551" s="4" t="n">
        <v>531.6</v>
      </c>
      <c r="E551" s="3" t="s">
        <v>1479</v>
      </c>
      <c r="F551" s="4" t="n">
        <f aca="false">IF(AND(ISNUMBER(C551),ISNUMBER(D551)),D551-C551,"N/A")</f>
        <v>-74.75</v>
      </c>
      <c r="G551" s="6" t="n">
        <f aca="false">IF(ISNUMBER(F551),F551/C551*100,"N/A")</f>
        <v>-12.3278634452049</v>
      </c>
      <c r="H551" s="3" t="str">
        <f aca="false">IF(NOT(ISNUMBER(F551)),"NO CURRENT DATA",IF(F551&gt;0,"RISEN",IF(F551&lt;0,"FALLEN","UNCHANGED")))</f>
        <v>FALLEN</v>
      </c>
      <c r="I551" s="3" t="s">
        <v>1480</v>
      </c>
      <c r="J551" s="3" t="n">
        <v>4</v>
      </c>
    </row>
    <row r="552" customFormat="false" ht="15" hidden="false" customHeight="false" outlineLevel="0" collapsed="false">
      <c r="A552" s="3" t="s">
        <v>1058</v>
      </c>
      <c r="B552" s="3" t="s">
        <v>104</v>
      </c>
      <c r="C552" s="4" t="n">
        <v>399.2</v>
      </c>
      <c r="D552" s="4" t="n">
        <v>342.45</v>
      </c>
      <c r="E552" s="3" t="s">
        <v>1479</v>
      </c>
      <c r="F552" s="4" t="n">
        <f aca="false">IF(AND(ISNUMBER(C552),ISNUMBER(D552)),D552-C552,"N/A")</f>
        <v>-56.75</v>
      </c>
      <c r="G552" s="6" t="n">
        <f aca="false">IF(ISNUMBER(F552),F552/C552*100,"N/A")</f>
        <v>-14.2159318637275</v>
      </c>
      <c r="H552" s="3" t="str">
        <f aca="false">IF(NOT(ISNUMBER(F552)),"NO CURRENT DATA",IF(F552&gt;0,"RISEN",IF(F552&lt;0,"FALLEN","UNCHANGED")))</f>
        <v>FALLEN</v>
      </c>
      <c r="I552" s="3" t="s">
        <v>1480</v>
      </c>
      <c r="J552" s="3" t="n">
        <v>3</v>
      </c>
    </row>
    <row r="553" customFormat="false" ht="15" hidden="false" customHeight="false" outlineLevel="0" collapsed="false">
      <c r="A553" s="3" t="s">
        <v>1058</v>
      </c>
      <c r="B553" s="3" t="s">
        <v>1063</v>
      </c>
      <c r="C553" s="4" t="n">
        <v>634.6</v>
      </c>
      <c r="D553" s="4" t="n">
        <v>573</v>
      </c>
      <c r="E553" s="3" t="s">
        <v>1479</v>
      </c>
      <c r="F553" s="4" t="n">
        <f aca="false">IF(AND(ISNUMBER(C553),ISNUMBER(D553)),D553-C553,"N/A")</f>
        <v>-61.6</v>
      </c>
      <c r="G553" s="6" t="n">
        <f aca="false">IF(ISNUMBER(F553),F553/C553*100,"N/A")</f>
        <v>-9.70690198550268</v>
      </c>
      <c r="H553" s="3" t="str">
        <f aca="false">IF(NOT(ISNUMBER(F553)),"NO CURRENT DATA",IF(F553&gt;0,"RISEN",IF(F553&lt;0,"FALLEN","UNCHANGED")))</f>
        <v>FALLEN</v>
      </c>
      <c r="I553" s="3" t="s">
        <v>1480</v>
      </c>
      <c r="J553" s="3" t="n">
        <v>0</v>
      </c>
    </row>
    <row r="554" customFormat="false" ht="15" hidden="false" customHeight="false" outlineLevel="0" collapsed="false">
      <c r="A554" s="3" t="s">
        <v>1058</v>
      </c>
      <c r="B554" s="3" t="s">
        <v>187</v>
      </c>
      <c r="C554" s="4" t="n">
        <v>69.59</v>
      </c>
      <c r="D554" s="4" t="n">
        <v>80.55</v>
      </c>
      <c r="E554" s="3" t="s">
        <v>1479</v>
      </c>
      <c r="F554" s="4" t="n">
        <f aca="false">IF(AND(ISNUMBER(C554),ISNUMBER(D554)),D554-C554,"N/A")</f>
        <v>10.96</v>
      </c>
      <c r="G554" s="6" t="n">
        <f aca="false">IF(ISNUMBER(F554),F554/C554*100,"N/A")</f>
        <v>15.749389280069</v>
      </c>
      <c r="H554" s="3" t="str">
        <f aca="false">IF(NOT(ISNUMBER(F554)),"NO CURRENT DATA",IF(F554&gt;0,"RISEN",IF(F554&lt;0,"FALLEN","UNCHANGED")))</f>
        <v>RISEN</v>
      </c>
      <c r="I554" s="3" t="s">
        <v>1480</v>
      </c>
      <c r="J554" s="3" t="n">
        <v>1</v>
      </c>
    </row>
    <row r="555" customFormat="false" ht="15" hidden="false" customHeight="false" outlineLevel="0" collapsed="false">
      <c r="A555" s="3" t="s">
        <v>1058</v>
      </c>
      <c r="B555" s="3" t="s">
        <v>203</v>
      </c>
      <c r="C555" s="4" t="n">
        <v>1177.6</v>
      </c>
      <c r="D555" s="4" t="n">
        <v>2010.7</v>
      </c>
      <c r="E555" s="3" t="s">
        <v>1479</v>
      </c>
      <c r="F555" s="4" t="n">
        <f aca="false">IF(AND(ISNUMBER(C555),ISNUMBER(D555)),D555-C555,"N/A")</f>
        <v>833.1</v>
      </c>
      <c r="G555" s="6" t="n">
        <f aca="false">IF(ISNUMBER(F555),F555/C555*100,"N/A")</f>
        <v>70.7455842391305</v>
      </c>
      <c r="H555" s="3" t="str">
        <f aca="false">IF(NOT(ISNUMBER(F555)),"NO CURRENT DATA",IF(F555&gt;0,"RISEN",IF(F555&lt;0,"FALLEN","UNCHANGED")))</f>
        <v>RISEN</v>
      </c>
      <c r="I555" s="3" t="s">
        <v>1480</v>
      </c>
      <c r="J555" s="3" t="n">
        <v>3</v>
      </c>
    </row>
    <row r="556" customFormat="false" ht="15" hidden="false" customHeight="false" outlineLevel="0" collapsed="false">
      <c r="A556" s="3" t="s">
        <v>1058</v>
      </c>
      <c r="B556" s="3" t="s">
        <v>296</v>
      </c>
      <c r="C556" s="4" t="n">
        <v>2442.9</v>
      </c>
      <c r="D556" s="4" t="n">
        <v>2062</v>
      </c>
      <c r="E556" s="3" t="s">
        <v>1479</v>
      </c>
      <c r="F556" s="4" t="n">
        <f aca="false">IF(AND(ISNUMBER(C556),ISNUMBER(D556)),D556-C556,"N/A")</f>
        <v>-380.9</v>
      </c>
      <c r="G556" s="6" t="n">
        <f aca="false">IF(ISNUMBER(F556),F556/C556*100,"N/A")</f>
        <v>-15.5921241147816</v>
      </c>
      <c r="H556" s="3" t="str">
        <f aca="false">IF(NOT(ISNUMBER(F556)),"NO CURRENT DATA",IF(F556&gt;0,"RISEN",IF(F556&lt;0,"FALLEN","UNCHANGED")))</f>
        <v>FALLEN</v>
      </c>
      <c r="I556" s="3" t="s">
        <v>1480</v>
      </c>
      <c r="J556" s="3" t="n">
        <v>4</v>
      </c>
    </row>
    <row r="557" customFormat="false" ht="15" hidden="false" customHeight="false" outlineLevel="0" collapsed="false">
      <c r="A557" s="3" t="s">
        <v>1058</v>
      </c>
      <c r="B557" s="3" t="s">
        <v>859</v>
      </c>
      <c r="C557" s="4" t="n">
        <v>8415.5</v>
      </c>
      <c r="D557" s="4" t="n">
        <v>8191</v>
      </c>
      <c r="E557" s="3" t="s">
        <v>1479</v>
      </c>
      <c r="F557" s="4" t="n">
        <f aca="false">IF(AND(ISNUMBER(C557),ISNUMBER(D557)),D557-C557,"N/A")</f>
        <v>-224.5</v>
      </c>
      <c r="G557" s="6" t="n">
        <f aca="false">IF(ISNUMBER(F557),F557/C557*100,"N/A")</f>
        <v>-2.66769651238786</v>
      </c>
      <c r="H557" s="3" t="str">
        <f aca="false">IF(NOT(ISNUMBER(F557)),"NO CURRENT DATA",IF(F557&gt;0,"RISEN",IF(F557&lt;0,"FALLEN","UNCHANGED")))</f>
        <v>FALLEN</v>
      </c>
      <c r="I557" s="3" t="s">
        <v>1480</v>
      </c>
      <c r="J557" s="3" t="n">
        <v>2</v>
      </c>
    </row>
    <row r="558" customFormat="false" ht="15" hidden="false" customHeight="false" outlineLevel="0" collapsed="false">
      <c r="A558" s="3" t="s">
        <v>1058</v>
      </c>
      <c r="B558" s="3" t="s">
        <v>1070</v>
      </c>
      <c r="C558" s="4" t="n">
        <v>649.65</v>
      </c>
      <c r="D558" s="4" t="n">
        <v>591</v>
      </c>
      <c r="E558" s="3" t="s">
        <v>1479</v>
      </c>
      <c r="F558" s="4" t="n">
        <f aca="false">IF(AND(ISNUMBER(C558),ISNUMBER(D558)),D558-C558,"N/A")</f>
        <v>-58.65</v>
      </c>
      <c r="G558" s="6" t="n">
        <f aca="false">IF(ISNUMBER(F558),F558/C558*100,"N/A")</f>
        <v>-9.02793812052643</v>
      </c>
      <c r="H558" s="3" t="str">
        <f aca="false">IF(NOT(ISNUMBER(F558)),"NO CURRENT DATA",IF(F558&gt;0,"RISEN",IF(F558&lt;0,"FALLEN","UNCHANGED")))</f>
        <v>FALLEN</v>
      </c>
      <c r="I558" s="3" t="s">
        <v>1480</v>
      </c>
      <c r="J558" s="3" t="n">
        <v>0</v>
      </c>
    </row>
    <row r="559" customFormat="false" ht="15" hidden="false" customHeight="false" outlineLevel="0" collapsed="false">
      <c r="A559" s="3" t="s">
        <v>1058</v>
      </c>
      <c r="B559" s="3" t="s">
        <v>422</v>
      </c>
      <c r="C559" s="4" t="n">
        <v>24975</v>
      </c>
      <c r="D559" s="4" t="n">
        <v>22170</v>
      </c>
      <c r="E559" s="3" t="s">
        <v>1479</v>
      </c>
      <c r="F559" s="4" t="n">
        <f aca="false">IF(AND(ISNUMBER(C559),ISNUMBER(D559)),D559-C559,"N/A")</f>
        <v>-2805</v>
      </c>
      <c r="G559" s="6" t="n">
        <f aca="false">IF(ISNUMBER(F559),F559/C559*100,"N/A")</f>
        <v>-11.2312312312312</v>
      </c>
      <c r="H559" s="3" t="str">
        <f aca="false">IF(NOT(ISNUMBER(F559)),"NO CURRENT DATA",IF(F559&gt;0,"RISEN",IF(F559&lt;0,"FALLEN","UNCHANGED")))</f>
        <v>FALLEN</v>
      </c>
      <c r="I559" s="3" t="s">
        <v>1480</v>
      </c>
      <c r="J559" s="3" t="n">
        <v>2</v>
      </c>
    </row>
    <row r="560" customFormat="false" ht="15" hidden="false" customHeight="false" outlineLevel="0" collapsed="false">
      <c r="A560" s="3" t="s">
        <v>1074</v>
      </c>
      <c r="B560" s="3" t="s">
        <v>260</v>
      </c>
      <c r="C560" s="4" t="n">
        <v>100.66</v>
      </c>
      <c r="D560" s="4" t="n">
        <v>94.75</v>
      </c>
      <c r="E560" s="3" t="s">
        <v>1479</v>
      </c>
      <c r="F560" s="4" t="n">
        <f aca="false">IF(AND(ISNUMBER(C560),ISNUMBER(D560)),D560-C560,"N/A")</f>
        <v>-5.91</v>
      </c>
      <c r="G560" s="6" t="n">
        <f aca="false">IF(ISNUMBER(F560),F560/C560*100,"N/A")</f>
        <v>-5.87124975163918</v>
      </c>
      <c r="H560" s="3" t="str">
        <f aca="false">IF(NOT(ISNUMBER(F560)),"NO CURRENT DATA",IF(F560&gt;0,"RISEN",IF(F560&lt;0,"FALLEN","UNCHANGED")))</f>
        <v>FALLEN</v>
      </c>
      <c r="I560" s="3" t="s">
        <v>1480</v>
      </c>
      <c r="J560" s="3" t="n">
        <v>6</v>
      </c>
    </row>
    <row r="561" customFormat="false" ht="15" hidden="false" customHeight="false" outlineLevel="0" collapsed="false">
      <c r="A561" s="3" t="s">
        <v>1074</v>
      </c>
      <c r="B561" s="3" t="s">
        <v>399</v>
      </c>
      <c r="C561" s="4" t="n">
        <v>625.4</v>
      </c>
      <c r="D561" s="4" t="n">
        <v>531.6</v>
      </c>
      <c r="E561" s="3" t="s">
        <v>1479</v>
      </c>
      <c r="F561" s="4" t="n">
        <f aca="false">IF(AND(ISNUMBER(C561),ISNUMBER(D561)),D561-C561,"N/A")</f>
        <v>-93.8</v>
      </c>
      <c r="G561" s="6" t="n">
        <f aca="false">IF(ISNUMBER(F561),F561/C561*100,"N/A")</f>
        <v>-14.9984010233451</v>
      </c>
      <c r="H561" s="3" t="str">
        <f aca="false">IF(NOT(ISNUMBER(F561)),"NO CURRENT DATA",IF(F561&gt;0,"RISEN",IF(F561&lt;0,"FALLEN","UNCHANGED")))</f>
        <v>FALLEN</v>
      </c>
      <c r="I561" s="3" t="s">
        <v>1480</v>
      </c>
      <c r="J561" s="3" t="n">
        <v>4</v>
      </c>
    </row>
    <row r="562" customFormat="false" ht="15" hidden="false" customHeight="false" outlineLevel="0" collapsed="false">
      <c r="A562" s="3" t="s">
        <v>1074</v>
      </c>
      <c r="B562" s="3" t="s">
        <v>203</v>
      </c>
      <c r="C562" s="4" t="n">
        <v>1206.5</v>
      </c>
      <c r="D562" s="4" t="n">
        <v>2010.7</v>
      </c>
      <c r="E562" s="3" t="s">
        <v>1479</v>
      </c>
      <c r="F562" s="4" t="n">
        <f aca="false">IF(AND(ISNUMBER(C562),ISNUMBER(D562)),D562-C562,"N/A")</f>
        <v>804.2</v>
      </c>
      <c r="G562" s="6" t="n">
        <f aca="false">IF(ISNUMBER(F562),F562/C562*100,"N/A")</f>
        <v>66.655615416494</v>
      </c>
      <c r="H562" s="3" t="str">
        <f aca="false">IF(NOT(ISNUMBER(F562)),"NO CURRENT DATA",IF(F562&gt;0,"RISEN",IF(F562&lt;0,"FALLEN","UNCHANGED")))</f>
        <v>RISEN</v>
      </c>
      <c r="I562" s="3" t="s">
        <v>1480</v>
      </c>
      <c r="J562" s="3" t="n">
        <v>3</v>
      </c>
    </row>
    <row r="563" customFormat="false" ht="15" hidden="false" customHeight="false" outlineLevel="0" collapsed="false">
      <c r="A563" s="3" t="s">
        <v>1074</v>
      </c>
      <c r="B563" s="3" t="s">
        <v>480</v>
      </c>
      <c r="C563" s="4" t="n">
        <v>13770</v>
      </c>
      <c r="D563" s="4" t="n">
        <v>12008</v>
      </c>
      <c r="E563" s="3" t="s">
        <v>1479</v>
      </c>
      <c r="F563" s="4" t="n">
        <f aca="false">IF(AND(ISNUMBER(C563),ISNUMBER(D563)),D563-C563,"N/A")</f>
        <v>-1762</v>
      </c>
      <c r="G563" s="6" t="n">
        <f aca="false">IF(ISNUMBER(F563),F563/C563*100,"N/A")</f>
        <v>-12.7959331880901</v>
      </c>
      <c r="H563" s="3" t="str">
        <f aca="false">IF(NOT(ISNUMBER(F563)),"NO CURRENT DATA",IF(F563&gt;0,"RISEN",IF(F563&lt;0,"FALLEN","UNCHANGED")))</f>
        <v>FALLEN</v>
      </c>
      <c r="I563" s="3" t="s">
        <v>1480</v>
      </c>
      <c r="J563" s="3" t="n">
        <v>1</v>
      </c>
    </row>
    <row r="564" customFormat="false" ht="15" hidden="false" customHeight="false" outlineLevel="0" collapsed="false">
      <c r="A564" s="3" t="s">
        <v>1074</v>
      </c>
      <c r="B564" s="3" t="s">
        <v>414</v>
      </c>
      <c r="C564" s="4" t="n">
        <v>1474.5</v>
      </c>
      <c r="D564" s="4" t="n">
        <v>1640.6</v>
      </c>
      <c r="E564" s="3" t="s">
        <v>1479</v>
      </c>
      <c r="F564" s="4" t="n">
        <f aca="false">IF(AND(ISNUMBER(C564),ISNUMBER(D564)),D564-C564,"N/A")</f>
        <v>166.1</v>
      </c>
      <c r="G564" s="6" t="n">
        <f aca="false">IF(ISNUMBER(F564),F564/C564*100,"N/A")</f>
        <v>11.2648355374703</v>
      </c>
      <c r="H564" s="3" t="str">
        <f aca="false">IF(NOT(ISNUMBER(F564)),"NO CURRENT DATA",IF(F564&gt;0,"RISEN",IF(F564&lt;0,"FALLEN","UNCHANGED")))</f>
        <v>RISEN</v>
      </c>
      <c r="I564" s="3" t="s">
        <v>1480</v>
      </c>
      <c r="J564" s="3" t="n">
        <v>3</v>
      </c>
    </row>
    <row r="565" customFormat="false" ht="15" hidden="false" customHeight="false" outlineLevel="0" collapsed="false">
      <c r="A565" s="3" t="s">
        <v>1074</v>
      </c>
      <c r="B565" s="3" t="s">
        <v>164</v>
      </c>
      <c r="C565" s="4" t="n">
        <v>1450.4</v>
      </c>
      <c r="D565" s="4" t="n">
        <v>1503</v>
      </c>
      <c r="E565" s="3" t="s">
        <v>1479</v>
      </c>
      <c r="F565" s="4" t="n">
        <f aca="false">IF(AND(ISNUMBER(C565),ISNUMBER(D565)),D565-C565,"N/A")</f>
        <v>52.5999999999999</v>
      </c>
      <c r="G565" s="6" t="n">
        <f aca="false">IF(ISNUMBER(F565),F565/C565*100,"N/A")</f>
        <v>3.62658576944291</v>
      </c>
      <c r="H565" s="3" t="str">
        <f aca="false">IF(NOT(ISNUMBER(F565)),"NO CURRENT DATA",IF(F565&gt;0,"RISEN",IF(F565&lt;0,"FALLEN","UNCHANGED")))</f>
        <v>RISEN</v>
      </c>
      <c r="I565" s="3" t="s">
        <v>1480</v>
      </c>
      <c r="J565" s="3" t="n">
        <v>5</v>
      </c>
    </row>
    <row r="566" customFormat="false" ht="15" hidden="false" customHeight="false" outlineLevel="0" collapsed="false">
      <c r="A566" s="3" t="s">
        <v>1081</v>
      </c>
      <c r="B566" s="3" t="s">
        <v>71</v>
      </c>
      <c r="C566" s="4" t="n">
        <v>952.35</v>
      </c>
      <c r="D566" s="4" t="n">
        <v>830.75</v>
      </c>
      <c r="E566" s="3" t="s">
        <v>1479</v>
      </c>
      <c r="F566" s="4" t="n">
        <f aca="false">IF(AND(ISNUMBER(C566),ISNUMBER(D566)),D566-C566,"N/A")</f>
        <v>-121.6</v>
      </c>
      <c r="G566" s="6" t="n">
        <f aca="false">IF(ISNUMBER(F566),F566/C566*100,"N/A")</f>
        <v>-12.7684149734866</v>
      </c>
      <c r="H566" s="3" t="str">
        <f aca="false">IF(NOT(ISNUMBER(F566)),"NO CURRENT DATA",IF(F566&gt;0,"RISEN",IF(F566&lt;0,"FALLEN","UNCHANGED")))</f>
        <v>FALLEN</v>
      </c>
      <c r="I566" s="3" t="s">
        <v>1480</v>
      </c>
      <c r="J566" s="3" t="n">
        <v>1</v>
      </c>
    </row>
    <row r="567" customFormat="false" ht="15" hidden="false" customHeight="false" outlineLevel="0" collapsed="false">
      <c r="A567" s="3" t="s">
        <v>1081</v>
      </c>
      <c r="B567" s="3" t="s">
        <v>142</v>
      </c>
      <c r="C567" s="4" t="n">
        <v>1176.2</v>
      </c>
      <c r="D567" s="4" t="n">
        <v>960</v>
      </c>
      <c r="E567" s="3" t="s">
        <v>1479</v>
      </c>
      <c r="F567" s="4" t="n">
        <f aca="false">IF(AND(ISNUMBER(C567),ISNUMBER(D567)),D567-C567,"N/A")</f>
        <v>-216.2</v>
      </c>
      <c r="G567" s="6" t="n">
        <f aca="false">IF(ISNUMBER(F567),F567/C567*100,"N/A")</f>
        <v>-18.3812276823669</v>
      </c>
      <c r="H567" s="3" t="str">
        <f aca="false">IF(NOT(ISNUMBER(F567)),"NO CURRENT DATA",IF(F567&gt;0,"RISEN",IF(F567&lt;0,"FALLEN","UNCHANGED")))</f>
        <v>FALLEN</v>
      </c>
      <c r="I567" s="3" t="s">
        <v>1480</v>
      </c>
      <c r="J567" s="3" t="n">
        <v>5</v>
      </c>
    </row>
    <row r="568" customFormat="false" ht="15" hidden="false" customHeight="false" outlineLevel="0" collapsed="false">
      <c r="A568" s="3" t="s">
        <v>1084</v>
      </c>
      <c r="B568" s="3" t="s">
        <v>199</v>
      </c>
      <c r="C568" s="4" t="n">
        <v>390.45</v>
      </c>
      <c r="D568" s="4" t="n">
        <v>374.9</v>
      </c>
      <c r="E568" s="3" t="s">
        <v>1479</v>
      </c>
      <c r="F568" s="4" t="n">
        <f aca="false">IF(AND(ISNUMBER(C568),ISNUMBER(D568)),D568-C568,"N/A")</f>
        <v>-15.55</v>
      </c>
      <c r="G568" s="6" t="n">
        <f aca="false">IF(ISNUMBER(F568),F568/C568*100,"N/A")</f>
        <v>-3.98258419772058</v>
      </c>
      <c r="H568" s="3" t="str">
        <f aca="false">IF(NOT(ISNUMBER(F568)),"NO CURRENT DATA",IF(F568&gt;0,"RISEN",IF(F568&lt;0,"FALLEN","UNCHANGED")))</f>
        <v>FALLEN</v>
      </c>
      <c r="I568" s="3" t="s">
        <v>1480</v>
      </c>
      <c r="J568" s="3" t="n">
        <v>7</v>
      </c>
    </row>
    <row r="569" customFormat="false" ht="15" hidden="false" customHeight="false" outlineLevel="0" collapsed="false">
      <c r="A569" s="3" t="s">
        <v>1084</v>
      </c>
      <c r="B569" s="3" t="s">
        <v>139</v>
      </c>
      <c r="C569" s="4" t="n">
        <v>2468.8</v>
      </c>
      <c r="D569" s="4" t="n">
        <v>2435.6</v>
      </c>
      <c r="E569" s="3" t="s">
        <v>1479</v>
      </c>
      <c r="F569" s="4" t="n">
        <f aca="false">IF(AND(ISNUMBER(C569),ISNUMBER(D569)),D569-C569,"N/A")</f>
        <v>-33.2000000000003</v>
      </c>
      <c r="G569" s="6" t="n">
        <f aca="false">IF(ISNUMBER(F569),F569/C569*100,"N/A")</f>
        <v>-1.34478289047312</v>
      </c>
      <c r="H569" s="3" t="str">
        <f aca="false">IF(NOT(ISNUMBER(F569)),"NO CURRENT DATA",IF(F569&gt;0,"RISEN",IF(F569&lt;0,"FALLEN","UNCHANGED")))</f>
        <v>FALLEN</v>
      </c>
      <c r="I569" s="3" t="s">
        <v>1480</v>
      </c>
      <c r="J569" s="3" t="n">
        <v>5</v>
      </c>
    </row>
    <row r="570" customFormat="false" ht="15" hidden="false" customHeight="false" outlineLevel="0" collapsed="false">
      <c r="A570" s="3" t="s">
        <v>1084</v>
      </c>
      <c r="B570" s="3" t="s">
        <v>453</v>
      </c>
      <c r="C570" s="4" t="n">
        <v>593.55</v>
      </c>
      <c r="D570" s="4" t="n">
        <v>807.9</v>
      </c>
      <c r="E570" s="3" t="s">
        <v>1479</v>
      </c>
      <c r="F570" s="4" t="n">
        <f aca="false">IF(AND(ISNUMBER(C570),ISNUMBER(D570)),D570-C570,"N/A")</f>
        <v>214.35</v>
      </c>
      <c r="G570" s="6" t="n">
        <f aca="false">IF(ISNUMBER(F570),F570/C570*100,"N/A")</f>
        <v>36.1132170836492</v>
      </c>
      <c r="H570" s="3" t="str">
        <f aca="false">IF(NOT(ISNUMBER(F570)),"NO CURRENT DATA",IF(F570&gt;0,"RISEN",IF(F570&lt;0,"FALLEN","UNCHANGED")))</f>
        <v>RISEN</v>
      </c>
      <c r="I570" s="3" t="s">
        <v>1480</v>
      </c>
      <c r="J570" s="3" t="n">
        <v>5</v>
      </c>
    </row>
    <row r="571" customFormat="false" ht="15" hidden="false" customHeight="false" outlineLevel="0" collapsed="false">
      <c r="A571" s="3" t="s">
        <v>1088</v>
      </c>
      <c r="B571" s="3" t="s">
        <v>126</v>
      </c>
      <c r="C571" s="4" t="n">
        <v>305.05</v>
      </c>
      <c r="D571" s="4" t="n">
        <v>259</v>
      </c>
      <c r="E571" s="3" t="s">
        <v>1479</v>
      </c>
      <c r="F571" s="4" t="n">
        <f aca="false">IF(AND(ISNUMBER(C571),ISNUMBER(D571)),D571-C571,"N/A")</f>
        <v>-46.05</v>
      </c>
      <c r="G571" s="6" t="n">
        <f aca="false">IF(ISNUMBER(F571),F571/C571*100,"N/A")</f>
        <v>-15.0958859203409</v>
      </c>
      <c r="H571" s="3" t="str">
        <f aca="false">IF(NOT(ISNUMBER(F571)),"NO CURRENT DATA",IF(F571&gt;0,"RISEN",IF(F571&lt;0,"FALLEN","UNCHANGED")))</f>
        <v>FALLEN</v>
      </c>
      <c r="I571" s="3" t="s">
        <v>1480</v>
      </c>
      <c r="J571" s="3" t="n">
        <v>2</v>
      </c>
    </row>
    <row r="572" customFormat="false" ht="15" hidden="false" customHeight="false" outlineLevel="0" collapsed="false">
      <c r="A572" s="3" t="s">
        <v>1090</v>
      </c>
      <c r="B572" s="3" t="s">
        <v>380</v>
      </c>
      <c r="C572" s="4" t="n">
        <v>1497.5</v>
      </c>
      <c r="D572" s="4" t="n">
        <v>1697.5</v>
      </c>
      <c r="E572" s="3" t="s">
        <v>1479</v>
      </c>
      <c r="F572" s="4" t="n">
        <f aca="false">IF(AND(ISNUMBER(C572),ISNUMBER(D572)),D572-C572,"N/A")</f>
        <v>200</v>
      </c>
      <c r="G572" s="6" t="n">
        <f aca="false">IF(ISNUMBER(F572),F572/C572*100,"N/A")</f>
        <v>13.355592654424</v>
      </c>
      <c r="H572" s="3" t="str">
        <f aca="false">IF(NOT(ISNUMBER(F572)),"NO CURRENT DATA",IF(F572&gt;0,"RISEN",IF(F572&lt;0,"FALLEN","UNCHANGED")))</f>
        <v>RISEN</v>
      </c>
      <c r="I572" s="3" t="s">
        <v>1480</v>
      </c>
      <c r="J572" s="3" t="n">
        <v>4</v>
      </c>
    </row>
    <row r="573" customFormat="false" ht="15" hidden="false" customHeight="false" outlineLevel="0" collapsed="false">
      <c r="A573" s="3" t="s">
        <v>1090</v>
      </c>
      <c r="B573" s="3" t="s">
        <v>66</v>
      </c>
      <c r="C573" s="4" t="n">
        <v>6796</v>
      </c>
      <c r="D573" s="4" t="n">
        <v>9550</v>
      </c>
      <c r="E573" s="3" t="s">
        <v>1479</v>
      </c>
      <c r="F573" s="4" t="n">
        <f aca="false">IF(AND(ISNUMBER(C573),ISNUMBER(D573)),D573-C573,"N/A")</f>
        <v>2754</v>
      </c>
      <c r="G573" s="6" t="n">
        <f aca="false">IF(ISNUMBER(F573),F573/C573*100,"N/A")</f>
        <v>40.5238375515009</v>
      </c>
      <c r="H573" s="3" t="str">
        <f aca="false">IF(NOT(ISNUMBER(F573)),"NO CURRENT DATA",IF(F573&gt;0,"RISEN",IF(F573&lt;0,"FALLEN","UNCHANGED")))</f>
        <v>RISEN</v>
      </c>
      <c r="I573" s="3" t="s">
        <v>1480</v>
      </c>
      <c r="J573" s="3" t="n">
        <v>3</v>
      </c>
    </row>
    <row r="574" customFormat="false" ht="15" hidden="false" customHeight="false" outlineLevel="0" collapsed="false">
      <c r="A574" s="3" t="s">
        <v>1090</v>
      </c>
      <c r="B574" s="3" t="s">
        <v>562</v>
      </c>
      <c r="C574" s="4" t="n">
        <v>2945.6</v>
      </c>
      <c r="D574" s="4" t="n">
        <v>3150</v>
      </c>
      <c r="E574" s="3" t="s">
        <v>1479</v>
      </c>
      <c r="F574" s="4" t="n">
        <f aca="false">IF(AND(ISNUMBER(C574),ISNUMBER(D574)),D574-C574,"N/A")</f>
        <v>204.4</v>
      </c>
      <c r="G574" s="6" t="n">
        <f aca="false">IF(ISNUMBER(F574),F574/C574*100,"N/A")</f>
        <v>6.93916349809886</v>
      </c>
      <c r="H574" s="3" t="str">
        <f aca="false">IF(NOT(ISNUMBER(F574)),"NO CURRENT DATA",IF(F574&gt;0,"RISEN",IF(F574&lt;0,"FALLEN","UNCHANGED")))</f>
        <v>RISEN</v>
      </c>
      <c r="I574" s="3" t="s">
        <v>1480</v>
      </c>
      <c r="J574" s="3" t="n">
        <v>3</v>
      </c>
    </row>
    <row r="575" customFormat="false" ht="15" hidden="false" customHeight="false" outlineLevel="0" collapsed="false">
      <c r="A575" s="3" t="s">
        <v>1090</v>
      </c>
      <c r="B575" s="3" t="s">
        <v>403</v>
      </c>
      <c r="C575" s="4" t="n">
        <v>585.65</v>
      </c>
      <c r="D575" s="4" t="n">
        <v>564.15</v>
      </c>
      <c r="E575" s="3" t="s">
        <v>1479</v>
      </c>
      <c r="F575" s="4" t="n">
        <f aca="false">IF(AND(ISNUMBER(C575),ISNUMBER(D575)),D575-C575,"N/A")</f>
        <v>-21.5</v>
      </c>
      <c r="G575" s="6" t="n">
        <f aca="false">IF(ISNUMBER(F575),F575/C575*100,"N/A")</f>
        <v>-3.67113463672842</v>
      </c>
      <c r="H575" s="3" t="str">
        <f aca="false">IF(NOT(ISNUMBER(F575)),"NO CURRENT DATA",IF(F575&gt;0,"RISEN",IF(F575&lt;0,"FALLEN","UNCHANGED")))</f>
        <v>FALLEN</v>
      </c>
      <c r="I575" s="3" t="s">
        <v>1480</v>
      </c>
      <c r="J575" s="3" t="n">
        <v>3</v>
      </c>
    </row>
    <row r="576" customFormat="false" ht="15" hidden="false" customHeight="false" outlineLevel="0" collapsed="false">
      <c r="A576" s="3" t="s">
        <v>1090</v>
      </c>
      <c r="B576" s="3" t="s">
        <v>541</v>
      </c>
      <c r="C576" s="4" t="n">
        <v>3506.4</v>
      </c>
      <c r="D576" s="4" t="n">
        <v>2760</v>
      </c>
      <c r="E576" s="3" t="s">
        <v>1479</v>
      </c>
      <c r="F576" s="4" t="n">
        <f aca="false">IF(AND(ISNUMBER(C576),ISNUMBER(D576)),D576-C576,"N/A")</f>
        <v>-746.4</v>
      </c>
      <c r="G576" s="6" t="n">
        <f aca="false">IF(ISNUMBER(F576),F576/C576*100,"N/A")</f>
        <v>-21.2867898699521</v>
      </c>
      <c r="H576" s="3" t="str">
        <f aca="false">IF(NOT(ISNUMBER(F576)),"NO CURRENT DATA",IF(F576&gt;0,"RISEN",IF(F576&lt;0,"FALLEN","UNCHANGED")))</f>
        <v>FALLEN</v>
      </c>
      <c r="I576" s="3" t="s">
        <v>1480</v>
      </c>
      <c r="J576" s="3" t="n">
        <v>2</v>
      </c>
    </row>
    <row r="577" customFormat="false" ht="15" hidden="false" customHeight="false" outlineLevel="0" collapsed="false">
      <c r="A577" s="3" t="s">
        <v>1090</v>
      </c>
      <c r="B577" s="3" t="s">
        <v>114</v>
      </c>
      <c r="C577" s="4" t="n">
        <v>91.11</v>
      </c>
      <c r="D577" s="4" t="n">
        <v>77.43</v>
      </c>
      <c r="E577" s="3" t="s">
        <v>1479</v>
      </c>
      <c r="F577" s="4" t="n">
        <f aca="false">IF(AND(ISNUMBER(C577),ISNUMBER(D577)),D577-C577,"N/A")</f>
        <v>-13.68</v>
      </c>
      <c r="G577" s="6" t="n">
        <f aca="false">IF(ISNUMBER(F577),F577/C577*100,"N/A")</f>
        <v>-15.0148172538689</v>
      </c>
      <c r="H577" s="3" t="str">
        <f aca="false">IF(NOT(ISNUMBER(F577)),"NO CURRENT DATA",IF(F577&gt;0,"RISEN",IF(F577&lt;0,"FALLEN","UNCHANGED")))</f>
        <v>FALLEN</v>
      </c>
      <c r="I577" s="3" t="s">
        <v>1480</v>
      </c>
      <c r="J577" s="3" t="n">
        <v>5</v>
      </c>
    </row>
    <row r="578" customFormat="false" ht="15" hidden="false" customHeight="false" outlineLevel="0" collapsed="false">
      <c r="A578" s="3" t="s">
        <v>1090</v>
      </c>
      <c r="B578" s="3" t="s">
        <v>275</v>
      </c>
      <c r="C578" s="4" t="n">
        <v>446.65</v>
      </c>
      <c r="D578" s="4" t="n">
        <v>390.8</v>
      </c>
      <c r="E578" s="3" t="s">
        <v>1479</v>
      </c>
      <c r="F578" s="4" t="n">
        <f aca="false">IF(AND(ISNUMBER(C578),ISNUMBER(D578)),D578-C578,"N/A")</f>
        <v>-55.85</v>
      </c>
      <c r="G578" s="6" t="n">
        <f aca="false">IF(ISNUMBER(F578),F578/C578*100,"N/A")</f>
        <v>-12.5041979178327</v>
      </c>
      <c r="H578" s="3" t="str">
        <f aca="false">IF(NOT(ISNUMBER(F578)),"NO CURRENT DATA",IF(F578&gt;0,"RISEN",IF(F578&lt;0,"FALLEN","UNCHANGED")))</f>
        <v>FALLEN</v>
      </c>
      <c r="I578" s="3" t="s">
        <v>1480</v>
      </c>
      <c r="J578" s="3" t="n">
        <v>4</v>
      </c>
    </row>
    <row r="579" customFormat="false" ht="15" hidden="false" customHeight="false" outlineLevel="0" collapsed="false">
      <c r="A579" s="3" t="s">
        <v>1098</v>
      </c>
      <c r="B579" s="3" t="s">
        <v>199</v>
      </c>
      <c r="C579" s="4" t="n">
        <v>419</v>
      </c>
      <c r="D579" s="4" t="n">
        <v>374.9</v>
      </c>
      <c r="E579" s="3" t="s">
        <v>1479</v>
      </c>
      <c r="F579" s="4" t="n">
        <f aca="false">IF(AND(ISNUMBER(C579),ISNUMBER(D579)),D579-C579,"N/A")</f>
        <v>-44.1</v>
      </c>
      <c r="G579" s="6" t="n">
        <f aca="false">IF(ISNUMBER(F579),F579/C579*100,"N/A")</f>
        <v>-10.5250596658711</v>
      </c>
      <c r="H579" s="3" t="str">
        <f aca="false">IF(NOT(ISNUMBER(F579)),"NO CURRENT DATA",IF(F579&gt;0,"RISEN",IF(F579&lt;0,"FALLEN","UNCHANGED")))</f>
        <v>FALLEN</v>
      </c>
      <c r="I579" s="3" t="s">
        <v>1480</v>
      </c>
      <c r="J579" s="3" t="n">
        <v>8</v>
      </c>
    </row>
    <row r="580" customFormat="false" ht="15" hidden="false" customHeight="false" outlineLevel="0" collapsed="false">
      <c r="A580" s="3" t="s">
        <v>1098</v>
      </c>
      <c r="B580" s="3" t="s">
        <v>187</v>
      </c>
      <c r="C580" s="4" t="n">
        <v>68.54</v>
      </c>
      <c r="D580" s="4" t="n">
        <v>80.55</v>
      </c>
      <c r="E580" s="3" t="s">
        <v>1479</v>
      </c>
      <c r="F580" s="4" t="n">
        <f aca="false">IF(AND(ISNUMBER(C580),ISNUMBER(D580)),D580-C580,"N/A")</f>
        <v>12.01</v>
      </c>
      <c r="G580" s="6" t="n">
        <f aca="false">IF(ISNUMBER(F580),F580/C580*100,"N/A")</f>
        <v>17.5226145316603</v>
      </c>
      <c r="H580" s="3" t="str">
        <f aca="false">IF(NOT(ISNUMBER(F580)),"NO CURRENT DATA",IF(F580&gt;0,"RISEN",IF(F580&lt;0,"FALLEN","UNCHANGED")))</f>
        <v>RISEN</v>
      </c>
      <c r="I580" s="3" t="s">
        <v>1480</v>
      </c>
      <c r="J580" s="3" t="n">
        <v>2</v>
      </c>
    </row>
    <row r="581" customFormat="false" ht="15" hidden="false" customHeight="false" outlineLevel="0" collapsed="false">
      <c r="A581" s="3" t="s">
        <v>1098</v>
      </c>
      <c r="B581" s="3" t="s">
        <v>765</v>
      </c>
      <c r="C581" s="4" t="n">
        <v>273</v>
      </c>
      <c r="D581" s="4" t="n">
        <v>325.5</v>
      </c>
      <c r="E581" s="3" t="s">
        <v>1479</v>
      </c>
      <c r="F581" s="4" t="n">
        <f aca="false">IF(AND(ISNUMBER(C581),ISNUMBER(D581)),D581-C581,"N/A")</f>
        <v>52.5</v>
      </c>
      <c r="G581" s="6" t="n">
        <f aca="false">IF(ISNUMBER(F581),F581/C581*100,"N/A")</f>
        <v>19.2307692307692</v>
      </c>
      <c r="H581" s="3" t="str">
        <f aca="false">IF(NOT(ISNUMBER(F581)),"NO CURRENT DATA",IF(F581&gt;0,"RISEN",IF(F581&lt;0,"FALLEN","UNCHANGED")))</f>
        <v>RISEN</v>
      </c>
      <c r="I581" s="3" t="s">
        <v>1480</v>
      </c>
      <c r="J581" s="3" t="n">
        <v>2</v>
      </c>
    </row>
    <row r="582" customFormat="false" ht="15" hidden="false" customHeight="false" outlineLevel="0" collapsed="false">
      <c r="A582" s="3" t="s">
        <v>1102</v>
      </c>
      <c r="B582" s="3" t="s">
        <v>96</v>
      </c>
      <c r="C582" s="4" t="n">
        <v>475.75</v>
      </c>
      <c r="D582" s="4" t="n">
        <v>407.5</v>
      </c>
      <c r="E582" s="3" t="s">
        <v>1479</v>
      </c>
      <c r="F582" s="4" t="n">
        <f aca="false">IF(AND(ISNUMBER(C582),ISNUMBER(D582)),D582-C582,"N/A")</f>
        <v>-68.25</v>
      </c>
      <c r="G582" s="6" t="n">
        <f aca="false">IF(ISNUMBER(F582),F582/C582*100,"N/A")</f>
        <v>-14.3457698370993</v>
      </c>
      <c r="H582" s="3" t="str">
        <f aca="false">IF(NOT(ISNUMBER(F582)),"NO CURRENT DATA",IF(F582&gt;0,"RISEN",IF(F582&lt;0,"FALLEN","UNCHANGED")))</f>
        <v>FALLEN</v>
      </c>
      <c r="I582" s="3" t="s">
        <v>1480</v>
      </c>
      <c r="J582" s="3" t="n">
        <v>9</v>
      </c>
    </row>
    <row r="583" customFormat="false" ht="15" hidden="false" customHeight="false" outlineLevel="0" collapsed="false">
      <c r="A583" s="3" t="s">
        <v>1102</v>
      </c>
      <c r="B583" s="3" t="s">
        <v>139</v>
      </c>
      <c r="C583" s="4" t="n">
        <v>2503</v>
      </c>
      <c r="D583" s="4" t="n">
        <v>2435.6</v>
      </c>
      <c r="E583" s="3" t="s">
        <v>1479</v>
      </c>
      <c r="F583" s="4" t="n">
        <f aca="false">IF(AND(ISNUMBER(C583),ISNUMBER(D583)),D583-C583,"N/A")</f>
        <v>-67.4000000000001</v>
      </c>
      <c r="G583" s="6" t="n">
        <f aca="false">IF(ISNUMBER(F583),F583/C583*100,"N/A")</f>
        <v>-2.6927686775869</v>
      </c>
      <c r="H583" s="3" t="str">
        <f aca="false">IF(NOT(ISNUMBER(F583)),"NO CURRENT DATA",IF(F583&gt;0,"RISEN",IF(F583&lt;0,"FALLEN","UNCHANGED")))</f>
        <v>FALLEN</v>
      </c>
      <c r="I583" s="3" t="s">
        <v>1480</v>
      </c>
      <c r="J583" s="3" t="n">
        <v>6</v>
      </c>
    </row>
    <row r="584" customFormat="false" ht="15" hidden="false" customHeight="false" outlineLevel="0" collapsed="false">
      <c r="A584" s="3" t="s">
        <v>1105</v>
      </c>
      <c r="B584" s="3" t="s">
        <v>388</v>
      </c>
      <c r="C584" s="4" t="n">
        <v>1748.3</v>
      </c>
      <c r="D584" s="4" t="n">
        <v>1151.3</v>
      </c>
      <c r="E584" s="3" t="s">
        <v>1479</v>
      </c>
      <c r="F584" s="4" t="n">
        <f aca="false">IF(AND(ISNUMBER(C584),ISNUMBER(D584)),D584-C584,"N/A")</f>
        <v>-597</v>
      </c>
      <c r="G584" s="6" t="n">
        <f aca="false">IF(ISNUMBER(F584),F584/C584*100,"N/A")</f>
        <v>-34.1474575301722</v>
      </c>
      <c r="H584" s="3" t="str">
        <f aca="false">IF(NOT(ISNUMBER(F584)),"NO CURRENT DATA",IF(F584&gt;0,"RISEN",IF(F584&lt;0,"FALLEN","UNCHANGED")))</f>
        <v>FALLEN</v>
      </c>
      <c r="I584" s="3" t="s">
        <v>1487</v>
      </c>
      <c r="J584" s="3" t="n">
        <v>2</v>
      </c>
    </row>
    <row r="585" customFormat="false" ht="15" hidden="false" customHeight="false" outlineLevel="0" collapsed="false">
      <c r="A585" s="3" t="s">
        <v>1107</v>
      </c>
      <c r="B585" s="3" t="s">
        <v>871</v>
      </c>
      <c r="C585" s="4" t="n">
        <v>1196.9</v>
      </c>
      <c r="D585" s="4" t="n">
        <v>1003.2</v>
      </c>
      <c r="E585" s="3" t="s">
        <v>1479</v>
      </c>
      <c r="F585" s="4" t="n">
        <f aca="false">IF(AND(ISNUMBER(C585),ISNUMBER(D585)),D585-C585,"N/A")</f>
        <v>-193.7</v>
      </c>
      <c r="G585" s="6" t="n">
        <f aca="false">IF(ISNUMBER(F585),F585/C585*100,"N/A")</f>
        <v>-16.183473974434</v>
      </c>
      <c r="H585" s="3" t="str">
        <f aca="false">IF(NOT(ISNUMBER(F585)),"NO CURRENT DATA",IF(F585&gt;0,"RISEN",IF(F585&lt;0,"FALLEN","UNCHANGED")))</f>
        <v>FALLEN</v>
      </c>
      <c r="I585" s="3" t="s">
        <v>1480</v>
      </c>
      <c r="J585" s="3" t="n">
        <v>2</v>
      </c>
    </row>
    <row r="586" customFormat="false" ht="15" hidden="false" customHeight="false" outlineLevel="0" collapsed="false">
      <c r="A586" s="3" t="s">
        <v>1107</v>
      </c>
      <c r="B586" s="3" t="s">
        <v>368</v>
      </c>
      <c r="C586" s="4" t="n">
        <v>131.49</v>
      </c>
      <c r="D586" s="4" t="n">
        <v>162.37</v>
      </c>
      <c r="E586" s="3" t="s">
        <v>1479</v>
      </c>
      <c r="F586" s="4" t="n">
        <f aca="false">IF(AND(ISNUMBER(C586),ISNUMBER(D586)),D586-C586,"N/A")</f>
        <v>30.88</v>
      </c>
      <c r="G586" s="6" t="n">
        <f aca="false">IF(ISNUMBER(F586),F586/C586*100,"N/A")</f>
        <v>23.4846756407331</v>
      </c>
      <c r="H586" s="3" t="str">
        <f aca="false">IF(NOT(ISNUMBER(F586)),"NO CURRENT DATA",IF(F586&gt;0,"RISEN",IF(F586&lt;0,"FALLEN","UNCHANGED")))</f>
        <v>RISEN</v>
      </c>
      <c r="I586" s="3" t="s">
        <v>1480</v>
      </c>
      <c r="J586" s="3" t="n">
        <v>4</v>
      </c>
    </row>
    <row r="587" customFormat="false" ht="15" hidden="false" customHeight="false" outlineLevel="0" collapsed="false">
      <c r="A587" s="3" t="s">
        <v>1107</v>
      </c>
      <c r="B587" s="3" t="s">
        <v>388</v>
      </c>
      <c r="C587" s="4" t="n">
        <v>1804.8</v>
      </c>
      <c r="D587" s="4" t="n">
        <v>1151.3</v>
      </c>
      <c r="E587" s="3" t="s">
        <v>1479</v>
      </c>
      <c r="F587" s="4" t="n">
        <f aca="false">IF(AND(ISNUMBER(C587),ISNUMBER(D587)),D587-C587,"N/A")</f>
        <v>-653.5</v>
      </c>
      <c r="G587" s="6" t="n">
        <f aca="false">IF(ISNUMBER(F587),F587/C587*100,"N/A")</f>
        <v>-36.2089982269504</v>
      </c>
      <c r="H587" s="3" t="str">
        <f aca="false">IF(NOT(ISNUMBER(F587)),"NO CURRENT DATA",IF(F587&gt;0,"RISEN",IF(F587&lt;0,"FALLEN","UNCHANGED")))</f>
        <v>FALLEN</v>
      </c>
      <c r="I587" s="3" t="s">
        <v>1487</v>
      </c>
      <c r="J587" s="3" t="n">
        <v>2</v>
      </c>
    </row>
    <row r="588" customFormat="false" ht="15" hidden="false" customHeight="false" outlineLevel="0" collapsed="false">
      <c r="A588" s="3" t="s">
        <v>1107</v>
      </c>
      <c r="B588" s="3" t="s">
        <v>923</v>
      </c>
      <c r="C588" s="4" t="n">
        <v>2327.1</v>
      </c>
      <c r="D588" s="4" t="n">
        <v>2070.7</v>
      </c>
      <c r="E588" s="3" t="s">
        <v>1479</v>
      </c>
      <c r="F588" s="4" t="n">
        <f aca="false">IF(AND(ISNUMBER(C588),ISNUMBER(D588)),D588-C588,"N/A")</f>
        <v>-256.4</v>
      </c>
      <c r="G588" s="6" t="n">
        <f aca="false">IF(ISNUMBER(F588),F588/C588*100,"N/A")</f>
        <v>-11.0180052425766</v>
      </c>
      <c r="H588" s="3" t="str">
        <f aca="false">IF(NOT(ISNUMBER(F588)),"NO CURRENT DATA",IF(F588&gt;0,"RISEN",IF(F588&lt;0,"FALLEN","UNCHANGED")))</f>
        <v>FALLEN</v>
      </c>
      <c r="I588" s="3" t="s">
        <v>1480</v>
      </c>
      <c r="J588" s="3" t="n">
        <v>2</v>
      </c>
    </row>
    <row r="589" customFormat="false" ht="15" hidden="false" customHeight="false" outlineLevel="0" collapsed="false">
      <c r="A589" s="3" t="s">
        <v>1107</v>
      </c>
      <c r="B589" s="3" t="s">
        <v>145</v>
      </c>
      <c r="C589" s="4" t="n">
        <v>1467.1</v>
      </c>
      <c r="D589" s="4" t="n">
        <v>1542.2</v>
      </c>
      <c r="E589" s="3" t="s">
        <v>1479</v>
      </c>
      <c r="F589" s="4" t="n">
        <f aca="false">IF(AND(ISNUMBER(C589),ISNUMBER(D589)),D589-C589,"N/A")</f>
        <v>75.1000000000001</v>
      </c>
      <c r="G589" s="6" t="n">
        <f aca="false">IF(ISNUMBER(F589),F589/C589*100,"N/A")</f>
        <v>5.11894213073411</v>
      </c>
      <c r="H589" s="3" t="str">
        <f aca="false">IF(NOT(ISNUMBER(F589)),"NO CURRENT DATA",IF(F589&gt;0,"RISEN",IF(F589&lt;0,"FALLEN","UNCHANGED")))</f>
        <v>RISEN</v>
      </c>
      <c r="I589" s="3" t="s">
        <v>1480</v>
      </c>
      <c r="J589" s="3" t="n">
        <v>6</v>
      </c>
    </row>
    <row r="590" customFormat="false" ht="15" hidden="false" customHeight="false" outlineLevel="0" collapsed="false">
      <c r="A590" s="3" t="s">
        <v>1113</v>
      </c>
      <c r="B590" s="3" t="s">
        <v>484</v>
      </c>
      <c r="C590" s="4" t="n">
        <v>353.1</v>
      </c>
      <c r="D590" s="4" t="n">
        <v>382.7</v>
      </c>
      <c r="E590" s="3" t="s">
        <v>1479</v>
      </c>
      <c r="F590" s="4" t="n">
        <f aca="false">IF(AND(ISNUMBER(C590),ISNUMBER(D590)),D590-C590,"N/A")</f>
        <v>29.6</v>
      </c>
      <c r="G590" s="6" t="n">
        <f aca="false">IF(ISNUMBER(F590),F590/C590*100,"N/A")</f>
        <v>8.38289436420277</v>
      </c>
      <c r="H590" s="3" t="str">
        <f aca="false">IF(NOT(ISNUMBER(F590)),"NO CURRENT DATA",IF(F590&gt;0,"RISEN",IF(F590&lt;0,"FALLEN","UNCHANGED")))</f>
        <v>RISEN</v>
      </c>
      <c r="I590" s="3" t="s">
        <v>1480</v>
      </c>
      <c r="J590" s="3" t="n">
        <v>1</v>
      </c>
    </row>
    <row r="591" customFormat="false" ht="15" hidden="false" customHeight="false" outlineLevel="0" collapsed="false">
      <c r="A591" s="3" t="s">
        <v>1113</v>
      </c>
      <c r="B591" s="3" t="s">
        <v>388</v>
      </c>
      <c r="C591" s="4" t="n">
        <v>1830</v>
      </c>
      <c r="D591" s="4" t="n">
        <v>1151.3</v>
      </c>
      <c r="E591" s="3" t="s">
        <v>1479</v>
      </c>
      <c r="F591" s="4" t="n">
        <f aca="false">IF(AND(ISNUMBER(C591),ISNUMBER(D591)),D591-C591,"N/A")</f>
        <v>-678.7</v>
      </c>
      <c r="G591" s="6" t="n">
        <f aca="false">IF(ISNUMBER(F591),F591/C591*100,"N/A")</f>
        <v>-37.0874316939891</v>
      </c>
      <c r="H591" s="3" t="str">
        <f aca="false">IF(NOT(ISNUMBER(F591)),"NO CURRENT DATA",IF(F591&gt;0,"RISEN",IF(F591&lt;0,"FALLEN","UNCHANGED")))</f>
        <v>FALLEN</v>
      </c>
      <c r="I591" s="3" t="s">
        <v>1487</v>
      </c>
      <c r="J591" s="3" t="n">
        <v>2</v>
      </c>
    </row>
    <row r="592" customFormat="false" ht="15" hidden="false" customHeight="false" outlineLevel="0" collapsed="false">
      <c r="A592" s="3" t="s">
        <v>1113</v>
      </c>
      <c r="B592" s="3" t="s">
        <v>680</v>
      </c>
      <c r="C592" s="4" t="n">
        <v>2970.9</v>
      </c>
      <c r="D592" s="4" t="n">
        <v>2459</v>
      </c>
      <c r="E592" s="3" t="s">
        <v>1479</v>
      </c>
      <c r="F592" s="4" t="n">
        <f aca="false">IF(AND(ISNUMBER(C592),ISNUMBER(D592)),D592-C592,"N/A")</f>
        <v>-511.9</v>
      </c>
      <c r="G592" s="6" t="n">
        <f aca="false">IF(ISNUMBER(F592),F592/C592*100,"N/A")</f>
        <v>-17.2304688814837</v>
      </c>
      <c r="H592" s="3" t="str">
        <f aca="false">IF(NOT(ISNUMBER(F592)),"NO CURRENT DATA",IF(F592&gt;0,"RISEN",IF(F592&lt;0,"FALLEN","UNCHANGED")))</f>
        <v>FALLEN</v>
      </c>
      <c r="I592" s="3" t="s">
        <v>1480</v>
      </c>
      <c r="J592" s="3" t="n">
        <v>2</v>
      </c>
    </row>
    <row r="593" customFormat="false" ht="15" hidden="false" customHeight="false" outlineLevel="0" collapsed="false">
      <c r="A593" s="3" t="s">
        <v>1117</v>
      </c>
      <c r="B593" s="3" t="s">
        <v>1118</v>
      </c>
      <c r="C593" s="4" t="n">
        <v>5097.7</v>
      </c>
      <c r="D593" s="4" t="n">
        <v>4203</v>
      </c>
      <c r="E593" s="3" t="s">
        <v>1479</v>
      </c>
      <c r="F593" s="4" t="n">
        <f aca="false">IF(AND(ISNUMBER(C593),ISNUMBER(D593)),D593-C593,"N/A")</f>
        <v>-894.7</v>
      </c>
      <c r="G593" s="6" t="n">
        <f aca="false">IF(ISNUMBER(F593),F593/C593*100,"N/A")</f>
        <v>-17.551052435412</v>
      </c>
      <c r="H593" s="3" t="str">
        <f aca="false">IF(NOT(ISNUMBER(F593)),"NO CURRENT DATA",IF(F593&gt;0,"RISEN",IF(F593&lt;0,"FALLEN","UNCHANGED")))</f>
        <v>FALLEN</v>
      </c>
      <c r="I593" s="3" t="s">
        <v>1480</v>
      </c>
      <c r="J593" s="3" t="n">
        <v>0</v>
      </c>
    </row>
    <row r="594" customFormat="false" ht="15" hidden="false" customHeight="false" outlineLevel="0" collapsed="false">
      <c r="A594" s="3" t="s">
        <v>1117</v>
      </c>
      <c r="B594" s="3" t="s">
        <v>565</v>
      </c>
      <c r="C594" s="4" t="n">
        <v>1211</v>
      </c>
      <c r="D594" s="4" t="n">
        <v>1085</v>
      </c>
      <c r="E594" s="3" t="s">
        <v>1479</v>
      </c>
      <c r="F594" s="4" t="n">
        <f aca="false">IF(AND(ISNUMBER(C594),ISNUMBER(D594)),D594-C594,"N/A")</f>
        <v>-126</v>
      </c>
      <c r="G594" s="6" t="n">
        <f aca="false">IF(ISNUMBER(F594),F594/C594*100,"N/A")</f>
        <v>-10.4046242774566</v>
      </c>
      <c r="H594" s="3" t="str">
        <f aca="false">IF(NOT(ISNUMBER(F594)),"NO CURRENT DATA",IF(F594&gt;0,"RISEN",IF(F594&lt;0,"FALLEN","UNCHANGED")))</f>
        <v>FALLEN</v>
      </c>
      <c r="I594" s="3" t="s">
        <v>1480</v>
      </c>
      <c r="J594" s="3" t="n">
        <v>3</v>
      </c>
    </row>
    <row r="595" customFormat="false" ht="15" hidden="false" customHeight="false" outlineLevel="0" collapsed="false">
      <c r="A595" s="3" t="s">
        <v>1117</v>
      </c>
      <c r="B595" s="3" t="s">
        <v>1122</v>
      </c>
      <c r="C595" s="4" t="n">
        <v>602.05</v>
      </c>
      <c r="D595" s="4" t="n">
        <v>495</v>
      </c>
      <c r="E595" s="3" t="s">
        <v>1479</v>
      </c>
      <c r="F595" s="4" t="n">
        <f aca="false">IF(AND(ISNUMBER(C595),ISNUMBER(D595)),D595-C595,"N/A")</f>
        <v>-107.05</v>
      </c>
      <c r="G595" s="6" t="n">
        <f aca="false">IF(ISNUMBER(F595),F595/C595*100,"N/A")</f>
        <v>-17.7809152063782</v>
      </c>
      <c r="H595" s="3" t="str">
        <f aca="false">IF(NOT(ISNUMBER(F595)),"NO CURRENT DATA",IF(F595&gt;0,"RISEN",IF(F595&lt;0,"FALLEN","UNCHANGED")))</f>
        <v>FALLEN</v>
      </c>
      <c r="I595" s="3" t="s">
        <v>1480</v>
      </c>
      <c r="J595" s="3" t="n">
        <v>0</v>
      </c>
    </row>
    <row r="596" customFormat="false" ht="15" hidden="false" customHeight="false" outlineLevel="0" collapsed="false">
      <c r="A596" s="3" t="s">
        <v>1117</v>
      </c>
      <c r="B596" s="3" t="s">
        <v>368</v>
      </c>
      <c r="C596" s="4" t="n">
        <v>142.41</v>
      </c>
      <c r="D596" s="4" t="n">
        <v>162.37</v>
      </c>
      <c r="E596" s="3" t="s">
        <v>1479</v>
      </c>
      <c r="F596" s="4" t="n">
        <f aca="false">IF(AND(ISNUMBER(C596),ISNUMBER(D596)),D596-C596,"N/A")</f>
        <v>19.96</v>
      </c>
      <c r="G596" s="6" t="n">
        <f aca="false">IF(ISNUMBER(F596),F596/C596*100,"N/A")</f>
        <v>14.0158696720736</v>
      </c>
      <c r="H596" s="3" t="str">
        <f aca="false">IF(NOT(ISNUMBER(F596)),"NO CURRENT DATA",IF(F596&gt;0,"RISEN",IF(F596&lt;0,"FALLEN","UNCHANGED")))</f>
        <v>RISEN</v>
      </c>
      <c r="I596" s="3" t="s">
        <v>1480</v>
      </c>
      <c r="J596" s="3" t="n">
        <v>5</v>
      </c>
    </row>
    <row r="597" customFormat="false" ht="15" hidden="false" customHeight="false" outlineLevel="0" collapsed="false">
      <c r="A597" s="3" t="s">
        <v>1117</v>
      </c>
      <c r="B597" s="3" t="s">
        <v>1126</v>
      </c>
      <c r="C597" s="4" t="n">
        <v>57.53</v>
      </c>
      <c r="D597" s="4" t="n">
        <v>39.66</v>
      </c>
      <c r="E597" s="3" t="s">
        <v>1479</v>
      </c>
      <c r="F597" s="4" t="n">
        <f aca="false">IF(AND(ISNUMBER(C597),ISNUMBER(D597)),D597-C597,"N/A")</f>
        <v>-17.87</v>
      </c>
      <c r="G597" s="6" t="n">
        <f aca="false">IF(ISNUMBER(F597),F597/C597*100,"N/A")</f>
        <v>-31.062054580219</v>
      </c>
      <c r="H597" s="3" t="str">
        <f aca="false">IF(NOT(ISNUMBER(F597)),"NO CURRENT DATA",IF(F597&gt;0,"RISEN",IF(F597&lt;0,"FALLEN","UNCHANGED")))</f>
        <v>FALLEN</v>
      </c>
      <c r="I597" s="3" t="s">
        <v>1480</v>
      </c>
      <c r="J597" s="3" t="n">
        <v>0</v>
      </c>
    </row>
    <row r="598" customFormat="false" ht="15" hidden="false" customHeight="false" outlineLevel="0" collapsed="false">
      <c r="A598" s="3" t="s">
        <v>1129</v>
      </c>
      <c r="B598" s="3" t="s">
        <v>333</v>
      </c>
      <c r="C598" s="4" t="n">
        <v>5498</v>
      </c>
      <c r="D598" s="4" t="n">
        <v>5175</v>
      </c>
      <c r="E598" s="3" t="s">
        <v>1479</v>
      </c>
      <c r="F598" s="4" t="n">
        <f aca="false">IF(AND(ISNUMBER(C598),ISNUMBER(D598)),D598-C598,"N/A")</f>
        <v>-323</v>
      </c>
      <c r="G598" s="6" t="n">
        <f aca="false">IF(ISNUMBER(F598),F598/C598*100,"N/A")</f>
        <v>-5.87486358675882</v>
      </c>
      <c r="H598" s="3" t="str">
        <f aca="false">IF(NOT(ISNUMBER(F598)),"NO CURRENT DATA",IF(F598&gt;0,"RISEN",IF(F598&lt;0,"FALLEN","UNCHANGED")))</f>
        <v>FALLEN</v>
      </c>
      <c r="I598" s="3" t="s">
        <v>1480</v>
      </c>
      <c r="J598" s="3" t="n">
        <v>5</v>
      </c>
    </row>
    <row r="599" customFormat="false" ht="15" hidden="false" customHeight="false" outlineLevel="0" collapsed="false">
      <c r="A599" s="3" t="s">
        <v>1129</v>
      </c>
      <c r="B599" s="3" t="s">
        <v>664</v>
      </c>
      <c r="C599" s="4" t="n">
        <v>1957.2</v>
      </c>
      <c r="D599" s="4" t="n">
        <v>1957</v>
      </c>
      <c r="E599" s="3" t="s">
        <v>1479</v>
      </c>
      <c r="F599" s="4" t="n">
        <f aca="false">IF(AND(ISNUMBER(C599),ISNUMBER(D599)),D599-C599,"N/A")</f>
        <v>-0.200000000000045</v>
      </c>
      <c r="G599" s="6" t="n">
        <f aca="false">IF(ISNUMBER(F599),F599/C599*100,"N/A")</f>
        <v>-0.0102186797465791</v>
      </c>
      <c r="H599" s="3" t="str">
        <f aca="false">IF(NOT(ISNUMBER(F599)),"NO CURRENT DATA",IF(F599&gt;0,"RISEN",IF(F599&lt;0,"FALLEN","UNCHANGED")))</f>
        <v>FALLEN</v>
      </c>
      <c r="I599" s="3" t="s">
        <v>1480</v>
      </c>
      <c r="J599" s="3" t="n">
        <v>3</v>
      </c>
    </row>
    <row r="600" customFormat="false" ht="15" hidden="false" customHeight="false" outlineLevel="0" collapsed="false">
      <c r="A600" s="3" t="s">
        <v>1129</v>
      </c>
      <c r="B600" s="3" t="s">
        <v>260</v>
      </c>
      <c r="C600" s="4" t="n">
        <v>100.37</v>
      </c>
      <c r="D600" s="4" t="n">
        <v>94.75</v>
      </c>
      <c r="E600" s="3" t="s">
        <v>1479</v>
      </c>
      <c r="F600" s="4" t="n">
        <f aca="false">IF(AND(ISNUMBER(C600),ISNUMBER(D600)),D600-C600,"N/A")</f>
        <v>-5.62</v>
      </c>
      <c r="G600" s="6" t="n">
        <f aca="false">IF(ISNUMBER(F600),F600/C600*100,"N/A")</f>
        <v>-5.59928265417954</v>
      </c>
      <c r="H600" s="3" t="str">
        <f aca="false">IF(NOT(ISNUMBER(F600)),"NO CURRENT DATA",IF(F600&gt;0,"RISEN",IF(F600&lt;0,"FALLEN","UNCHANGED")))</f>
        <v>FALLEN</v>
      </c>
      <c r="I600" s="3" t="s">
        <v>1480</v>
      </c>
      <c r="J600" s="3" t="n">
        <v>7</v>
      </c>
    </row>
    <row r="601" customFormat="false" ht="15" hidden="false" customHeight="false" outlineLevel="0" collapsed="false">
      <c r="A601" s="3" t="s">
        <v>1129</v>
      </c>
      <c r="B601" s="3" t="s">
        <v>1118</v>
      </c>
      <c r="C601" s="4" t="n">
        <v>5148.6</v>
      </c>
      <c r="D601" s="4" t="n">
        <v>4203</v>
      </c>
      <c r="E601" s="3" t="s">
        <v>1479</v>
      </c>
      <c r="F601" s="4" t="n">
        <f aca="false">IF(AND(ISNUMBER(C601),ISNUMBER(D601)),D601-C601,"N/A")</f>
        <v>-945.6</v>
      </c>
      <c r="G601" s="6" t="n">
        <f aca="false">IF(ISNUMBER(F601),F601/C601*100,"N/A")</f>
        <v>-18.3661577904673</v>
      </c>
      <c r="H601" s="3" t="str">
        <f aca="false">IF(NOT(ISNUMBER(F601)),"NO CURRENT DATA",IF(F601&gt;0,"RISEN",IF(F601&lt;0,"FALLEN","UNCHANGED")))</f>
        <v>FALLEN</v>
      </c>
      <c r="I601" s="3" t="s">
        <v>1480</v>
      </c>
      <c r="J601" s="3" t="n">
        <v>0</v>
      </c>
    </row>
    <row r="602" customFormat="false" ht="15" hidden="false" customHeight="false" outlineLevel="0" collapsed="false">
      <c r="A602" s="3" t="s">
        <v>1129</v>
      </c>
      <c r="B602" s="3" t="s">
        <v>591</v>
      </c>
      <c r="C602" s="4" t="n">
        <v>1183.8</v>
      </c>
      <c r="D602" s="4" t="n">
        <v>1252.6</v>
      </c>
      <c r="E602" s="3" t="s">
        <v>1479</v>
      </c>
      <c r="F602" s="4" t="n">
        <f aca="false">IF(AND(ISNUMBER(C602),ISNUMBER(D602)),D602-C602,"N/A")</f>
        <v>68.8</v>
      </c>
      <c r="G602" s="6" t="n">
        <f aca="false">IF(ISNUMBER(F602),F602/C602*100,"N/A")</f>
        <v>5.81179253252238</v>
      </c>
      <c r="H602" s="3" t="str">
        <f aca="false">IF(NOT(ISNUMBER(F602)),"NO CURRENT DATA",IF(F602&gt;0,"RISEN",IF(F602&lt;0,"FALLEN","UNCHANGED")))</f>
        <v>RISEN</v>
      </c>
      <c r="I602" s="3" t="s">
        <v>1480</v>
      </c>
      <c r="J602" s="3" t="n">
        <v>4</v>
      </c>
    </row>
    <row r="603" customFormat="false" ht="15" hidden="false" customHeight="false" outlineLevel="0" collapsed="false">
      <c r="A603" s="3" t="s">
        <v>1129</v>
      </c>
      <c r="B603" s="3" t="s">
        <v>1135</v>
      </c>
      <c r="C603" s="4" t="n">
        <v>133.25</v>
      </c>
      <c r="D603" s="4" t="n">
        <v>114.82</v>
      </c>
      <c r="E603" s="3" t="s">
        <v>1479</v>
      </c>
      <c r="F603" s="4" t="n">
        <f aca="false">IF(AND(ISNUMBER(C603),ISNUMBER(D603)),D603-C603,"N/A")</f>
        <v>-18.43</v>
      </c>
      <c r="G603" s="6" t="n">
        <f aca="false">IF(ISNUMBER(F603),F603/C603*100,"N/A")</f>
        <v>-13.8311444652908</v>
      </c>
      <c r="H603" s="3" t="str">
        <f aca="false">IF(NOT(ISNUMBER(F603)),"NO CURRENT DATA",IF(F603&gt;0,"RISEN",IF(F603&lt;0,"FALLEN","UNCHANGED")))</f>
        <v>FALLEN</v>
      </c>
      <c r="I603" s="3" t="s">
        <v>1480</v>
      </c>
      <c r="J603" s="3" t="n">
        <v>0</v>
      </c>
    </row>
    <row r="604" customFormat="false" ht="15" hidden="false" customHeight="false" outlineLevel="0" collapsed="false">
      <c r="A604" s="3" t="s">
        <v>1129</v>
      </c>
      <c r="B604" s="3" t="s">
        <v>111</v>
      </c>
      <c r="C604" s="4" t="n">
        <v>286.6</v>
      </c>
      <c r="D604" s="4" t="n">
        <v>280.85</v>
      </c>
      <c r="E604" s="3" t="s">
        <v>1479</v>
      </c>
      <c r="F604" s="4" t="n">
        <f aca="false">IF(AND(ISNUMBER(C604),ISNUMBER(D604)),D604-C604,"N/A")</f>
        <v>-5.75</v>
      </c>
      <c r="G604" s="6" t="n">
        <f aca="false">IF(ISNUMBER(F604),F604/C604*100,"N/A")</f>
        <v>-2.0062805303559</v>
      </c>
      <c r="H604" s="3" t="str">
        <f aca="false">IF(NOT(ISNUMBER(F604)),"NO CURRENT DATA",IF(F604&gt;0,"RISEN",IF(F604&lt;0,"FALLEN","UNCHANGED")))</f>
        <v>FALLEN</v>
      </c>
      <c r="I604" s="3" t="s">
        <v>1480</v>
      </c>
      <c r="J604" s="3" t="n">
        <v>1</v>
      </c>
    </row>
    <row r="605" customFormat="false" ht="15" hidden="false" customHeight="false" outlineLevel="0" collapsed="false">
      <c r="A605" s="3" t="s">
        <v>1129</v>
      </c>
      <c r="B605" s="3" t="s">
        <v>368</v>
      </c>
      <c r="C605" s="4" t="n">
        <v>145.74</v>
      </c>
      <c r="D605" s="4" t="n">
        <v>162.37</v>
      </c>
      <c r="E605" s="3" t="s">
        <v>1479</v>
      </c>
      <c r="F605" s="4" t="n">
        <f aca="false">IF(AND(ISNUMBER(C605),ISNUMBER(D605)),D605-C605,"N/A")</f>
        <v>16.63</v>
      </c>
      <c r="G605" s="6" t="n">
        <f aca="false">IF(ISNUMBER(F605),F605/C605*100,"N/A")</f>
        <v>11.4107314395499</v>
      </c>
      <c r="H605" s="3" t="str">
        <f aca="false">IF(NOT(ISNUMBER(F605)),"NO CURRENT DATA",IF(F605&gt;0,"RISEN",IF(F605&lt;0,"FALLEN","UNCHANGED")))</f>
        <v>RISEN</v>
      </c>
      <c r="I605" s="3" t="s">
        <v>1480</v>
      </c>
      <c r="J605" s="3" t="n">
        <v>5</v>
      </c>
    </row>
    <row r="606" customFormat="false" ht="15" hidden="false" customHeight="false" outlineLevel="0" collapsed="false">
      <c r="A606" s="3" t="s">
        <v>1129</v>
      </c>
      <c r="B606" s="3" t="s">
        <v>266</v>
      </c>
      <c r="C606" s="4" t="n">
        <v>2271.4</v>
      </c>
      <c r="D606" s="4" t="n">
        <v>2237.5</v>
      </c>
      <c r="E606" s="3" t="s">
        <v>1479</v>
      </c>
      <c r="F606" s="4" t="n">
        <f aca="false">IF(AND(ISNUMBER(C606),ISNUMBER(D606)),D606-C606,"N/A")</f>
        <v>-33.9000000000001</v>
      </c>
      <c r="G606" s="6" t="n">
        <f aca="false">IF(ISNUMBER(F606),F606/C606*100,"N/A")</f>
        <v>-1.4924716034164</v>
      </c>
      <c r="H606" s="3" t="str">
        <f aca="false">IF(NOT(ISNUMBER(F606)),"NO CURRENT DATA",IF(F606&gt;0,"RISEN",IF(F606&lt;0,"FALLEN","UNCHANGED")))</f>
        <v>FALLEN</v>
      </c>
      <c r="I606" s="3" t="s">
        <v>1480</v>
      </c>
      <c r="J606" s="3" t="n">
        <v>1</v>
      </c>
    </row>
    <row r="607" customFormat="false" ht="15" hidden="false" customHeight="false" outlineLevel="0" collapsed="false">
      <c r="A607" s="3" t="s">
        <v>1129</v>
      </c>
      <c r="B607" s="3" t="s">
        <v>541</v>
      </c>
      <c r="C607" s="4" t="n">
        <v>3342.9</v>
      </c>
      <c r="D607" s="4" t="n">
        <v>2760</v>
      </c>
      <c r="E607" s="3" t="s">
        <v>1479</v>
      </c>
      <c r="F607" s="4" t="n">
        <f aca="false">IF(AND(ISNUMBER(C607),ISNUMBER(D607)),D607-C607,"N/A")</f>
        <v>-582.9</v>
      </c>
      <c r="G607" s="6" t="n">
        <f aca="false">IF(ISNUMBER(F607),F607/C607*100,"N/A")</f>
        <v>-17.4369559364624</v>
      </c>
      <c r="H607" s="3" t="str">
        <f aca="false">IF(NOT(ISNUMBER(F607)),"NO CURRENT DATA",IF(F607&gt;0,"RISEN",IF(F607&lt;0,"FALLEN","UNCHANGED")))</f>
        <v>FALLEN</v>
      </c>
      <c r="I607" s="3" t="s">
        <v>1480</v>
      </c>
      <c r="J607" s="3" t="n">
        <v>3</v>
      </c>
    </row>
    <row r="608" customFormat="false" ht="15" hidden="false" customHeight="false" outlineLevel="0" collapsed="false">
      <c r="A608" s="3" t="s">
        <v>1129</v>
      </c>
      <c r="B608" s="3" t="s">
        <v>1142</v>
      </c>
      <c r="C608" s="4" t="n">
        <v>1707.1</v>
      </c>
      <c r="D608" s="4" t="n">
        <v>1830</v>
      </c>
      <c r="E608" s="3" t="s">
        <v>1479</v>
      </c>
      <c r="F608" s="4" t="n">
        <f aca="false">IF(AND(ISNUMBER(C608),ISNUMBER(D608)),D608-C608,"N/A")</f>
        <v>122.9</v>
      </c>
      <c r="G608" s="6" t="n">
        <f aca="false">IF(ISNUMBER(F608),F608/C608*100,"N/A")</f>
        <v>7.19934391658369</v>
      </c>
      <c r="H608" s="3" t="str">
        <f aca="false">IF(NOT(ISNUMBER(F608)),"NO CURRENT DATA",IF(F608&gt;0,"RISEN",IF(F608&lt;0,"FALLEN","UNCHANGED")))</f>
        <v>RISEN</v>
      </c>
      <c r="I608" s="3" t="s">
        <v>1480</v>
      </c>
      <c r="J608" s="3" t="n">
        <v>0</v>
      </c>
    </row>
    <row r="609" customFormat="false" ht="15" hidden="false" customHeight="false" outlineLevel="0" collapsed="false">
      <c r="A609" s="3" t="s">
        <v>1129</v>
      </c>
      <c r="B609" s="3" t="s">
        <v>1145</v>
      </c>
      <c r="C609" s="4" t="n">
        <v>3518.6</v>
      </c>
      <c r="D609" s="4" t="n">
        <v>4478.3</v>
      </c>
      <c r="E609" s="3" t="s">
        <v>1479</v>
      </c>
      <c r="F609" s="4" t="n">
        <f aca="false">IF(AND(ISNUMBER(C609),ISNUMBER(D609)),D609-C609,"N/A")</f>
        <v>959.7</v>
      </c>
      <c r="G609" s="6" t="n">
        <f aca="false">IF(ISNUMBER(F609),F609/C609*100,"N/A")</f>
        <v>27.2750525777298</v>
      </c>
      <c r="H609" s="3" t="str">
        <f aca="false">IF(NOT(ISNUMBER(F609)),"NO CURRENT DATA",IF(F609&gt;0,"RISEN",IF(F609&lt;0,"FALLEN","UNCHANGED")))</f>
        <v>RISEN</v>
      </c>
      <c r="I609" s="3" t="s">
        <v>1480</v>
      </c>
      <c r="J609" s="3" t="n">
        <v>0</v>
      </c>
    </row>
    <row r="610" customFormat="false" ht="15" hidden="false" customHeight="false" outlineLevel="0" collapsed="false">
      <c r="A610" s="3" t="s">
        <v>1129</v>
      </c>
      <c r="B610" s="3" t="s">
        <v>145</v>
      </c>
      <c r="C610" s="4" t="n">
        <v>1483.9</v>
      </c>
      <c r="D610" s="4" t="n">
        <v>1542.2</v>
      </c>
      <c r="E610" s="3" t="s">
        <v>1479</v>
      </c>
      <c r="F610" s="4" t="n">
        <f aca="false">IF(AND(ISNUMBER(C610),ISNUMBER(D610)),D610-C610,"N/A")</f>
        <v>58.3</v>
      </c>
      <c r="G610" s="6" t="n">
        <f aca="false">IF(ISNUMBER(F610),F610/C610*100,"N/A")</f>
        <v>3.9288361749444</v>
      </c>
      <c r="H610" s="3" t="str">
        <f aca="false">IF(NOT(ISNUMBER(F610)),"NO CURRENT DATA",IF(F610&gt;0,"RISEN",IF(F610&lt;0,"FALLEN","UNCHANGED")))</f>
        <v>RISEN</v>
      </c>
      <c r="I610" s="3" t="s">
        <v>1480</v>
      </c>
      <c r="J610" s="3" t="n">
        <v>7</v>
      </c>
    </row>
    <row r="611" customFormat="false" ht="15" hidden="false" customHeight="false" outlineLevel="0" collapsed="false">
      <c r="A611" s="3" t="s">
        <v>1129</v>
      </c>
      <c r="B611" s="3" t="s">
        <v>86</v>
      </c>
      <c r="C611" s="4" t="n">
        <v>23.15</v>
      </c>
      <c r="D611" s="4" t="n">
        <v>21.18</v>
      </c>
      <c r="E611" s="3" t="s">
        <v>1479</v>
      </c>
      <c r="F611" s="4" t="n">
        <f aca="false">IF(AND(ISNUMBER(C611),ISNUMBER(D611)),D611-C611,"N/A")</f>
        <v>-1.97</v>
      </c>
      <c r="G611" s="6" t="n">
        <f aca="false">IF(ISNUMBER(F611),F611/C611*100,"N/A")</f>
        <v>-8.5097192224622</v>
      </c>
      <c r="H611" s="3" t="str">
        <f aca="false">IF(NOT(ISNUMBER(F611)),"NO CURRENT DATA",IF(F611&gt;0,"RISEN",IF(F611&lt;0,"FALLEN","UNCHANGED")))</f>
        <v>FALLEN</v>
      </c>
      <c r="I611" s="3" t="s">
        <v>1480</v>
      </c>
      <c r="J611" s="3" t="n">
        <v>2</v>
      </c>
    </row>
    <row r="612" customFormat="false" ht="15" hidden="false" customHeight="false" outlineLevel="0" collapsed="false">
      <c r="A612" s="3" t="s">
        <v>1150</v>
      </c>
      <c r="B612" s="3" t="s">
        <v>686</v>
      </c>
      <c r="C612" s="4" t="n">
        <v>472.6</v>
      </c>
      <c r="D612" s="4" t="n">
        <v>422.5</v>
      </c>
      <c r="E612" s="3" t="s">
        <v>1479</v>
      </c>
      <c r="F612" s="4" t="n">
        <f aca="false">IF(AND(ISNUMBER(C612),ISNUMBER(D612)),D612-C612,"N/A")</f>
        <v>-50.1</v>
      </c>
      <c r="G612" s="6" t="n">
        <f aca="false">IF(ISNUMBER(F612),F612/C612*100,"N/A")</f>
        <v>-10.60093101989</v>
      </c>
      <c r="H612" s="3" t="str">
        <f aca="false">IF(NOT(ISNUMBER(F612)),"NO CURRENT DATA",IF(F612&gt;0,"RISEN",IF(F612&lt;0,"FALLEN","UNCHANGED")))</f>
        <v>FALLEN</v>
      </c>
      <c r="I612" s="3" t="s">
        <v>1480</v>
      </c>
      <c r="J612" s="3" t="n">
        <v>3</v>
      </c>
    </row>
    <row r="613" customFormat="false" ht="15" hidden="false" customHeight="false" outlineLevel="0" collapsed="false">
      <c r="A613" s="3" t="s">
        <v>1150</v>
      </c>
      <c r="B613" s="3" t="s">
        <v>1152</v>
      </c>
      <c r="C613" s="4" t="n">
        <v>1461.2</v>
      </c>
      <c r="D613" s="4" t="n">
        <v>1773</v>
      </c>
      <c r="E613" s="3" t="s">
        <v>1479</v>
      </c>
      <c r="F613" s="4" t="n">
        <f aca="false">IF(AND(ISNUMBER(C613),ISNUMBER(D613)),D613-C613,"N/A")</f>
        <v>311.8</v>
      </c>
      <c r="G613" s="6" t="n">
        <f aca="false">IF(ISNUMBER(F613),F613/C613*100,"N/A")</f>
        <v>21.3386257870244</v>
      </c>
      <c r="H613" s="3" t="str">
        <f aca="false">IF(NOT(ISNUMBER(F613)),"NO CURRENT DATA",IF(F613&gt;0,"RISEN",IF(F613&lt;0,"FALLEN","UNCHANGED")))</f>
        <v>RISEN</v>
      </c>
      <c r="I613" s="3" t="s">
        <v>1480</v>
      </c>
      <c r="J613" s="3" t="n">
        <v>0</v>
      </c>
    </row>
    <row r="614" customFormat="false" ht="15" hidden="false" customHeight="false" outlineLevel="0" collapsed="false">
      <c r="A614" s="3" t="s">
        <v>1155</v>
      </c>
      <c r="B614" s="3" t="s">
        <v>1152</v>
      </c>
      <c r="C614" s="4" t="n">
        <v>1519.5</v>
      </c>
      <c r="D614" s="4" t="n">
        <v>1773</v>
      </c>
      <c r="E614" s="3" t="s">
        <v>1479</v>
      </c>
      <c r="F614" s="4" t="n">
        <f aca="false">IF(AND(ISNUMBER(C614),ISNUMBER(D614)),D614-C614,"N/A")</f>
        <v>253.5</v>
      </c>
      <c r="G614" s="6" t="n">
        <f aca="false">IF(ISNUMBER(F614),F614/C614*100,"N/A")</f>
        <v>16.6831194471866</v>
      </c>
      <c r="H614" s="3" t="str">
        <f aca="false">IF(NOT(ISNUMBER(F614)),"NO CURRENT DATA",IF(F614&gt;0,"RISEN",IF(F614&lt;0,"FALLEN","UNCHANGED")))</f>
        <v>RISEN</v>
      </c>
      <c r="I614" s="3" t="s">
        <v>1480</v>
      </c>
      <c r="J614" s="3" t="n">
        <v>0</v>
      </c>
    </row>
    <row r="615" customFormat="false" ht="15" hidden="false" customHeight="false" outlineLevel="0" collapsed="false">
      <c r="A615" s="3" t="s">
        <v>1155</v>
      </c>
      <c r="B615" s="3" t="s">
        <v>309</v>
      </c>
      <c r="C615" s="4" t="n">
        <v>5708</v>
      </c>
      <c r="D615" s="4" t="n">
        <v>4855</v>
      </c>
      <c r="E615" s="3" t="s">
        <v>1479</v>
      </c>
      <c r="F615" s="4" t="n">
        <f aca="false">IF(AND(ISNUMBER(C615),ISNUMBER(D615)),D615-C615,"N/A")</f>
        <v>-853</v>
      </c>
      <c r="G615" s="6" t="n">
        <f aca="false">IF(ISNUMBER(F615),F615/C615*100,"N/A")</f>
        <v>-14.9439383321654</v>
      </c>
      <c r="H615" s="3" t="str">
        <f aca="false">IF(NOT(ISNUMBER(F615)),"NO CURRENT DATA",IF(F615&gt;0,"RISEN",IF(F615&lt;0,"FALLEN","UNCHANGED")))</f>
        <v>FALLEN</v>
      </c>
      <c r="I615" s="3" t="s">
        <v>1480</v>
      </c>
      <c r="J615" s="3" t="n">
        <v>3</v>
      </c>
    </row>
    <row r="616" customFormat="false" ht="15" hidden="false" customHeight="false" outlineLevel="0" collapsed="false">
      <c r="A616" s="3" t="s">
        <v>1155</v>
      </c>
      <c r="B616" s="3" t="s">
        <v>1118</v>
      </c>
      <c r="C616" s="4" t="n">
        <v>4781</v>
      </c>
      <c r="D616" s="4" t="n">
        <v>4203</v>
      </c>
      <c r="E616" s="3" t="s">
        <v>1479</v>
      </c>
      <c r="F616" s="4" t="n">
        <f aca="false">IF(AND(ISNUMBER(C616),ISNUMBER(D616)),D616-C616,"N/A")</f>
        <v>-578</v>
      </c>
      <c r="G616" s="6" t="n">
        <f aca="false">IF(ISNUMBER(F616),F616/C616*100,"N/A")</f>
        <v>-12.089521020707</v>
      </c>
      <c r="H616" s="3" t="str">
        <f aca="false">IF(NOT(ISNUMBER(F616)),"NO CURRENT DATA",IF(F616&gt;0,"RISEN",IF(F616&lt;0,"FALLEN","UNCHANGED")))</f>
        <v>FALLEN</v>
      </c>
      <c r="I616" s="3" t="s">
        <v>1480</v>
      </c>
      <c r="J616" s="3" t="n">
        <v>1</v>
      </c>
    </row>
    <row r="617" customFormat="false" ht="15" hidden="false" customHeight="false" outlineLevel="0" collapsed="false">
      <c r="A617" s="3" t="s">
        <v>1155</v>
      </c>
      <c r="B617" s="3" t="s">
        <v>579</v>
      </c>
      <c r="C617" s="4" t="n">
        <v>537</v>
      </c>
      <c r="D617" s="4" t="n">
        <v>430</v>
      </c>
      <c r="E617" s="3" t="s">
        <v>1479</v>
      </c>
      <c r="F617" s="4" t="n">
        <f aca="false">IF(AND(ISNUMBER(C617),ISNUMBER(D617)),D617-C617,"N/A")</f>
        <v>-107</v>
      </c>
      <c r="G617" s="6" t="n">
        <f aca="false">IF(ISNUMBER(F617),F617/C617*100,"N/A")</f>
        <v>-19.9255121042831</v>
      </c>
      <c r="H617" s="3" t="str">
        <f aca="false">IF(NOT(ISNUMBER(F617)),"NO CURRENT DATA",IF(F617&gt;0,"RISEN",IF(F617&lt;0,"FALLEN","UNCHANGED")))</f>
        <v>FALLEN</v>
      </c>
      <c r="I617" s="3" t="s">
        <v>1480</v>
      </c>
      <c r="J617" s="3" t="n">
        <v>1</v>
      </c>
    </row>
    <row r="618" customFormat="false" ht="15" hidden="false" customHeight="false" outlineLevel="0" collapsed="false">
      <c r="A618" s="3" t="s">
        <v>1155</v>
      </c>
      <c r="B618" s="3" t="s">
        <v>223</v>
      </c>
      <c r="C618" s="4" t="n">
        <v>209.84</v>
      </c>
      <c r="D618" s="4" t="n">
        <v>161.56</v>
      </c>
      <c r="E618" s="3" t="s">
        <v>1479</v>
      </c>
      <c r="F618" s="4" t="n">
        <f aca="false">IF(AND(ISNUMBER(C618),ISNUMBER(D618)),D618-C618,"N/A")</f>
        <v>-48.28</v>
      </c>
      <c r="G618" s="6" t="n">
        <f aca="false">IF(ISNUMBER(F618),F618/C618*100,"N/A")</f>
        <v>-23.0080060998856</v>
      </c>
      <c r="H618" s="3" t="str">
        <f aca="false">IF(NOT(ISNUMBER(F618)),"NO CURRENT DATA",IF(F618&gt;0,"RISEN",IF(F618&lt;0,"FALLEN","UNCHANGED")))</f>
        <v>FALLEN</v>
      </c>
      <c r="I618" s="3" t="s">
        <v>1480</v>
      </c>
      <c r="J618" s="3" t="n">
        <v>4</v>
      </c>
    </row>
    <row r="619" customFormat="false" ht="15" hidden="false" customHeight="false" outlineLevel="0" collapsed="false">
      <c r="A619" s="3" t="s">
        <v>1161</v>
      </c>
      <c r="B619" s="3" t="s">
        <v>519</v>
      </c>
      <c r="C619" s="4" t="n">
        <v>131.85</v>
      </c>
      <c r="D619" s="4" t="n">
        <v>120.65</v>
      </c>
      <c r="E619" s="3" t="s">
        <v>1479</v>
      </c>
      <c r="F619" s="4" t="n">
        <f aca="false">IF(AND(ISNUMBER(C619),ISNUMBER(D619)),D619-C619,"N/A")</f>
        <v>-11.2</v>
      </c>
      <c r="G619" s="6" t="n">
        <f aca="false">IF(ISNUMBER(F619),F619/C619*100,"N/A")</f>
        <v>-8.49450132726583</v>
      </c>
      <c r="H619" s="3" t="str">
        <f aca="false">IF(NOT(ISNUMBER(F619)),"NO CURRENT DATA",IF(F619&gt;0,"RISEN",IF(F619&lt;0,"FALLEN","UNCHANGED")))</f>
        <v>FALLEN</v>
      </c>
      <c r="I619" s="3" t="s">
        <v>1480</v>
      </c>
      <c r="J619" s="3" t="n">
        <v>1</v>
      </c>
    </row>
    <row r="620" customFormat="false" ht="15" hidden="false" customHeight="false" outlineLevel="0" collapsed="false">
      <c r="A620" s="3" t="s">
        <v>1161</v>
      </c>
      <c r="B620" s="3" t="s">
        <v>300</v>
      </c>
      <c r="C620" s="4" t="n">
        <v>970.45</v>
      </c>
      <c r="D620" s="4" t="n">
        <v>962</v>
      </c>
      <c r="E620" s="3" t="s">
        <v>1479</v>
      </c>
      <c r="F620" s="4" t="n">
        <f aca="false">IF(AND(ISNUMBER(C620),ISNUMBER(D620)),D620-C620,"N/A")</f>
        <v>-8.45000000000005</v>
      </c>
      <c r="G620" s="6" t="n">
        <f aca="false">IF(ISNUMBER(F620),F620/C620*100,"N/A")</f>
        <v>-0.870730073677165</v>
      </c>
      <c r="H620" s="3" t="str">
        <f aca="false">IF(NOT(ISNUMBER(F620)),"NO CURRENT DATA",IF(F620&gt;0,"RISEN",IF(F620&lt;0,"FALLEN","UNCHANGED")))</f>
        <v>FALLEN</v>
      </c>
      <c r="I620" s="3" t="s">
        <v>1480</v>
      </c>
      <c r="J620" s="3" t="n">
        <v>6</v>
      </c>
    </row>
    <row r="621" customFormat="false" ht="15" hidden="false" customHeight="false" outlineLevel="0" collapsed="false">
      <c r="A621" s="3" t="s">
        <v>1164</v>
      </c>
      <c r="B621" s="3" t="s">
        <v>360</v>
      </c>
      <c r="C621" s="4" t="n">
        <v>256.5</v>
      </c>
      <c r="D621" s="4" t="n">
        <v>330.95</v>
      </c>
      <c r="E621" s="3" t="s">
        <v>1479</v>
      </c>
      <c r="F621" s="4" t="n">
        <f aca="false">IF(AND(ISNUMBER(C621),ISNUMBER(D621)),D621-C621,"N/A")</f>
        <v>74.45</v>
      </c>
      <c r="G621" s="6" t="n">
        <f aca="false">IF(ISNUMBER(F621),F621/C621*100,"N/A")</f>
        <v>29.0253411306043</v>
      </c>
      <c r="H621" s="3" t="str">
        <f aca="false">IF(NOT(ISNUMBER(F621)),"NO CURRENT DATA",IF(F621&gt;0,"RISEN",IF(F621&lt;0,"FALLEN","UNCHANGED")))</f>
        <v>RISEN</v>
      </c>
      <c r="I621" s="3" t="s">
        <v>1480</v>
      </c>
      <c r="J621" s="3" t="n">
        <v>3</v>
      </c>
    </row>
    <row r="622" customFormat="false" ht="15" hidden="false" customHeight="false" outlineLevel="0" collapsed="false">
      <c r="A622" s="3" t="s">
        <v>1164</v>
      </c>
      <c r="B622" s="3" t="s">
        <v>120</v>
      </c>
      <c r="C622" s="4" t="n">
        <v>431.75</v>
      </c>
      <c r="D622" s="4" t="n">
        <v>330</v>
      </c>
      <c r="E622" s="3" t="s">
        <v>1479</v>
      </c>
      <c r="F622" s="4" t="n">
        <f aca="false">IF(AND(ISNUMBER(C622),ISNUMBER(D622)),D622-C622,"N/A")</f>
        <v>-101.75</v>
      </c>
      <c r="G622" s="6" t="n">
        <f aca="false">IF(ISNUMBER(F622),F622/C622*100,"N/A")</f>
        <v>-23.5668789808917</v>
      </c>
      <c r="H622" s="3" t="str">
        <f aca="false">IF(NOT(ISNUMBER(F622)),"NO CURRENT DATA",IF(F622&gt;0,"RISEN",IF(F622&lt;0,"FALLEN","UNCHANGED")))</f>
        <v>FALLEN</v>
      </c>
      <c r="I622" s="3" t="s">
        <v>1480</v>
      </c>
      <c r="J622" s="3" t="n">
        <v>3</v>
      </c>
    </row>
    <row r="623" customFormat="false" ht="15" hidden="false" customHeight="false" outlineLevel="0" collapsed="false">
      <c r="A623" s="3" t="s">
        <v>1164</v>
      </c>
      <c r="B623" s="3" t="s">
        <v>1032</v>
      </c>
      <c r="C623" s="4" t="n">
        <v>118.73</v>
      </c>
      <c r="D623" s="4" t="n">
        <v>100.81</v>
      </c>
      <c r="E623" s="3" t="s">
        <v>1479</v>
      </c>
      <c r="F623" s="4" t="n">
        <f aca="false">IF(AND(ISNUMBER(C623),ISNUMBER(D623)),D623-C623,"N/A")</f>
        <v>-17.92</v>
      </c>
      <c r="G623" s="6" t="n">
        <f aca="false">IF(ISNUMBER(F623),F623/C623*100,"N/A")</f>
        <v>-15.0930683062411</v>
      </c>
      <c r="H623" s="3" t="str">
        <f aca="false">IF(NOT(ISNUMBER(F623)),"NO CURRENT DATA",IF(F623&gt;0,"RISEN",IF(F623&lt;0,"FALLEN","UNCHANGED")))</f>
        <v>FALLEN</v>
      </c>
      <c r="I623" s="3" t="s">
        <v>1480</v>
      </c>
      <c r="J623" s="3" t="n">
        <v>1</v>
      </c>
    </row>
    <row r="624" customFormat="false" ht="15" hidden="false" customHeight="false" outlineLevel="0" collapsed="false">
      <c r="A624" s="3" t="s">
        <v>1168</v>
      </c>
      <c r="B624" s="3" t="s">
        <v>585</v>
      </c>
      <c r="C624" s="4" t="n">
        <v>8524</v>
      </c>
      <c r="D624" s="4" t="n">
        <v>8860</v>
      </c>
      <c r="E624" s="3" t="s">
        <v>1479</v>
      </c>
      <c r="F624" s="4" t="n">
        <f aca="false">IF(AND(ISNUMBER(C624),ISNUMBER(D624)),D624-C624,"N/A")</f>
        <v>336</v>
      </c>
      <c r="G624" s="6" t="n">
        <f aca="false">IF(ISNUMBER(F624),F624/C624*100,"N/A")</f>
        <v>3.94181135617081</v>
      </c>
      <c r="H624" s="3" t="str">
        <f aca="false">IF(NOT(ISNUMBER(F624)),"NO CURRENT DATA",IF(F624&gt;0,"RISEN",IF(F624&lt;0,"FALLEN","UNCHANGED")))</f>
        <v>RISEN</v>
      </c>
      <c r="I624" s="3" t="s">
        <v>1480</v>
      </c>
      <c r="J624" s="3" t="n">
        <v>2</v>
      </c>
    </row>
    <row r="625" customFormat="false" ht="15" hidden="false" customHeight="false" outlineLevel="0" collapsed="false">
      <c r="A625" s="3" t="s">
        <v>1168</v>
      </c>
      <c r="B625" s="3" t="s">
        <v>513</v>
      </c>
      <c r="C625" s="4" t="n">
        <v>273.75</v>
      </c>
      <c r="D625" s="4" t="n">
        <v>227.5</v>
      </c>
      <c r="E625" s="3" t="s">
        <v>1479</v>
      </c>
      <c r="F625" s="4" t="n">
        <f aca="false">IF(AND(ISNUMBER(C625),ISNUMBER(D625)),D625-C625,"N/A")</f>
        <v>-46.25</v>
      </c>
      <c r="G625" s="6" t="n">
        <f aca="false">IF(ISNUMBER(F625),F625/C625*100,"N/A")</f>
        <v>-16.8949771689498</v>
      </c>
      <c r="H625" s="3" t="str">
        <f aca="false">IF(NOT(ISNUMBER(F625)),"NO CURRENT DATA",IF(F625&gt;0,"RISEN",IF(F625&lt;0,"FALLEN","UNCHANGED")))</f>
        <v>FALLEN</v>
      </c>
      <c r="I625" s="3" t="s">
        <v>1480</v>
      </c>
      <c r="J625" s="3" t="n">
        <v>3</v>
      </c>
    </row>
    <row r="626" customFormat="false" ht="15" hidden="false" customHeight="false" outlineLevel="0" collapsed="false">
      <c r="A626" s="3" t="s">
        <v>1168</v>
      </c>
      <c r="B626" s="3" t="s">
        <v>639</v>
      </c>
      <c r="C626" s="4" t="n">
        <v>147.72</v>
      </c>
      <c r="D626" s="4" t="n">
        <v>129.99</v>
      </c>
      <c r="E626" s="3" t="s">
        <v>1479</v>
      </c>
      <c r="F626" s="4" t="n">
        <f aca="false">IF(AND(ISNUMBER(C626),ISNUMBER(D626)),D626-C626,"N/A")</f>
        <v>-17.73</v>
      </c>
      <c r="G626" s="6" t="n">
        <f aca="false">IF(ISNUMBER(F626),F626/C626*100,"N/A")</f>
        <v>-12.0024370430544</v>
      </c>
      <c r="H626" s="3" t="str">
        <f aca="false">IF(NOT(ISNUMBER(F626)),"NO CURRENT DATA",IF(F626&gt;0,"RISEN",IF(F626&lt;0,"FALLEN","UNCHANGED")))</f>
        <v>FALLEN</v>
      </c>
      <c r="I626" s="3" t="s">
        <v>1480</v>
      </c>
      <c r="J626" s="3" t="n">
        <v>1</v>
      </c>
    </row>
    <row r="627" customFormat="false" ht="15" hidden="false" customHeight="false" outlineLevel="0" collapsed="false">
      <c r="A627" s="3" t="s">
        <v>1168</v>
      </c>
      <c r="B627" s="3" t="s">
        <v>519</v>
      </c>
      <c r="C627" s="4" t="n">
        <v>137.51</v>
      </c>
      <c r="D627" s="4" t="n">
        <v>120.65</v>
      </c>
      <c r="E627" s="3" t="s">
        <v>1479</v>
      </c>
      <c r="F627" s="4" t="n">
        <f aca="false">IF(AND(ISNUMBER(C627),ISNUMBER(D627)),D627-C627,"N/A")</f>
        <v>-16.86</v>
      </c>
      <c r="G627" s="6" t="n">
        <f aca="false">IF(ISNUMBER(F627),F627/C627*100,"N/A")</f>
        <v>-12.2609264780743</v>
      </c>
      <c r="H627" s="3" t="str">
        <f aca="false">IF(NOT(ISNUMBER(F627)),"NO CURRENT DATA",IF(F627&gt;0,"RISEN",IF(F627&lt;0,"FALLEN","UNCHANGED")))</f>
        <v>FALLEN</v>
      </c>
      <c r="I627" s="3" t="s">
        <v>1480</v>
      </c>
      <c r="J627" s="3" t="n">
        <v>2</v>
      </c>
    </row>
    <row r="628" customFormat="false" ht="15" hidden="false" customHeight="false" outlineLevel="0" collapsed="false">
      <c r="A628" s="3" t="s">
        <v>1168</v>
      </c>
      <c r="B628" s="3" t="s">
        <v>66</v>
      </c>
      <c r="C628" s="4" t="n">
        <v>6753</v>
      </c>
      <c r="D628" s="4" t="n">
        <v>9550</v>
      </c>
      <c r="E628" s="3" t="s">
        <v>1479</v>
      </c>
      <c r="F628" s="4" t="n">
        <f aca="false">IF(AND(ISNUMBER(C628),ISNUMBER(D628)),D628-C628,"N/A")</f>
        <v>2797</v>
      </c>
      <c r="G628" s="6" t="n">
        <f aca="false">IF(ISNUMBER(F628),F628/C628*100,"N/A")</f>
        <v>41.4186287575892</v>
      </c>
      <c r="H628" s="3" t="str">
        <f aca="false">IF(NOT(ISNUMBER(F628)),"NO CURRENT DATA",IF(F628&gt;0,"RISEN",IF(F628&lt;0,"FALLEN","UNCHANGED")))</f>
        <v>RISEN</v>
      </c>
      <c r="I628" s="3" t="s">
        <v>1480</v>
      </c>
      <c r="J628" s="3" t="n">
        <v>4</v>
      </c>
    </row>
    <row r="629" customFormat="false" ht="15" hidden="false" customHeight="false" outlineLevel="0" collapsed="false">
      <c r="A629" s="3" t="s">
        <v>1168</v>
      </c>
      <c r="B629" s="3" t="s">
        <v>901</v>
      </c>
      <c r="C629" s="4" t="n">
        <v>1084.8</v>
      </c>
      <c r="D629" s="4" t="n">
        <v>1093.9</v>
      </c>
      <c r="E629" s="3" t="s">
        <v>1479</v>
      </c>
      <c r="F629" s="4" t="n">
        <f aca="false">IF(AND(ISNUMBER(C629),ISNUMBER(D629)),D629-C629,"N/A")</f>
        <v>9.10000000000014</v>
      </c>
      <c r="G629" s="6" t="n">
        <f aca="false">IF(ISNUMBER(F629),F629/C629*100,"N/A")</f>
        <v>0.838864306784674</v>
      </c>
      <c r="H629" s="3" t="str">
        <f aca="false">IF(NOT(ISNUMBER(F629)),"NO CURRENT DATA",IF(F629&gt;0,"RISEN",IF(F629&lt;0,"FALLEN","UNCHANGED")))</f>
        <v>RISEN</v>
      </c>
      <c r="I629" s="3" t="s">
        <v>1480</v>
      </c>
      <c r="J629" s="3" t="n">
        <v>5</v>
      </c>
    </row>
    <row r="630" customFormat="false" ht="15" hidden="false" customHeight="false" outlineLevel="0" collapsed="false">
      <c r="A630" s="3" t="s">
        <v>1175</v>
      </c>
      <c r="B630" s="3" t="s">
        <v>237</v>
      </c>
      <c r="C630" s="4" t="n">
        <v>1765.7</v>
      </c>
      <c r="D630" s="4" t="n">
        <v>1952.2</v>
      </c>
      <c r="E630" s="3" t="s">
        <v>1479</v>
      </c>
      <c r="F630" s="4" t="n">
        <f aca="false">IF(AND(ISNUMBER(C630),ISNUMBER(D630)),D630-C630,"N/A")</f>
        <v>186.5</v>
      </c>
      <c r="G630" s="6" t="n">
        <f aca="false">IF(ISNUMBER(F630),F630/C630*100,"N/A")</f>
        <v>10.5623831908025</v>
      </c>
      <c r="H630" s="3" t="str">
        <f aca="false">IF(NOT(ISNUMBER(F630)),"NO CURRENT DATA",IF(F630&gt;0,"RISEN",IF(F630&lt;0,"FALLEN","UNCHANGED")))</f>
        <v>RISEN</v>
      </c>
      <c r="I630" s="3" t="s">
        <v>1480</v>
      </c>
      <c r="J630" s="3" t="n">
        <v>6</v>
      </c>
    </row>
    <row r="631" customFormat="false" ht="15" hidden="false" customHeight="false" outlineLevel="0" collapsed="false">
      <c r="A631" s="3" t="s">
        <v>1177</v>
      </c>
      <c r="B631" s="3" t="s">
        <v>210</v>
      </c>
      <c r="C631" s="4" t="n">
        <v>1689.1</v>
      </c>
      <c r="D631" s="4" t="n">
        <v>1752</v>
      </c>
      <c r="E631" s="3" t="s">
        <v>1479</v>
      </c>
      <c r="F631" s="4" t="n">
        <f aca="false">IF(AND(ISNUMBER(C631),ISNUMBER(D631)),D631-C631,"N/A")</f>
        <v>62.9000000000001</v>
      </c>
      <c r="G631" s="6" t="n">
        <f aca="false">IF(ISNUMBER(F631),F631/C631*100,"N/A")</f>
        <v>3.72387662068558</v>
      </c>
      <c r="H631" s="3" t="str">
        <f aca="false">IF(NOT(ISNUMBER(F631)),"NO CURRENT DATA",IF(F631&gt;0,"RISEN",IF(F631&lt;0,"FALLEN","UNCHANGED")))</f>
        <v>RISEN</v>
      </c>
      <c r="I631" s="3" t="s">
        <v>1480</v>
      </c>
      <c r="J631" s="3" t="n">
        <v>3</v>
      </c>
    </row>
    <row r="632" customFormat="false" ht="15" hidden="false" customHeight="false" outlineLevel="0" collapsed="false">
      <c r="A632" s="3" t="s">
        <v>1177</v>
      </c>
      <c r="B632" s="3" t="s">
        <v>319</v>
      </c>
      <c r="C632" s="4" t="n">
        <v>1568.1</v>
      </c>
      <c r="D632" s="4" t="n">
        <v>1634.2</v>
      </c>
      <c r="E632" s="3" t="s">
        <v>1479</v>
      </c>
      <c r="F632" s="4" t="n">
        <f aca="false">IF(AND(ISNUMBER(C632),ISNUMBER(D632)),D632-C632,"N/A")</f>
        <v>66.1000000000001</v>
      </c>
      <c r="G632" s="6" t="n">
        <f aca="false">IF(ISNUMBER(F632),F632/C632*100,"N/A")</f>
        <v>4.21529239206684</v>
      </c>
      <c r="H632" s="3" t="str">
        <f aca="false">IF(NOT(ISNUMBER(F632)),"NO CURRENT DATA",IF(F632&gt;0,"RISEN",IF(F632&lt;0,"FALLEN","UNCHANGED")))</f>
        <v>RISEN</v>
      </c>
      <c r="I632" s="3" t="s">
        <v>1480</v>
      </c>
      <c r="J632" s="3" t="n">
        <v>4</v>
      </c>
    </row>
    <row r="633" customFormat="false" ht="15" hidden="false" customHeight="false" outlineLevel="0" collapsed="false">
      <c r="A633" s="3" t="s">
        <v>1177</v>
      </c>
      <c r="B633" s="3" t="s">
        <v>522</v>
      </c>
      <c r="C633" s="4" t="n">
        <v>256.2</v>
      </c>
      <c r="D633" s="4" t="n">
        <v>218.8</v>
      </c>
      <c r="E633" s="3" t="s">
        <v>1479</v>
      </c>
      <c r="F633" s="4" t="n">
        <f aca="false">IF(AND(ISNUMBER(C633),ISNUMBER(D633)),D633-C633,"N/A")</f>
        <v>-37.4</v>
      </c>
      <c r="G633" s="6" t="n">
        <f aca="false">IF(ISNUMBER(F633),F633/C633*100,"N/A")</f>
        <v>-14.5979703356752</v>
      </c>
      <c r="H633" s="3" t="str">
        <f aca="false">IF(NOT(ISNUMBER(F633)),"NO CURRENT DATA",IF(F633&gt;0,"RISEN",IF(F633&lt;0,"FALLEN","UNCHANGED")))</f>
        <v>FALLEN</v>
      </c>
      <c r="I633" s="3" t="s">
        <v>1480</v>
      </c>
      <c r="J633" s="3" t="n">
        <v>2</v>
      </c>
    </row>
    <row r="634" customFormat="false" ht="15" hidden="false" customHeight="false" outlineLevel="0" collapsed="false">
      <c r="A634" s="3" t="s">
        <v>1177</v>
      </c>
      <c r="B634" s="3" t="s">
        <v>1181</v>
      </c>
      <c r="C634" s="4" t="n">
        <v>4709.7</v>
      </c>
      <c r="D634" s="4" t="n">
        <v>4874.5</v>
      </c>
      <c r="E634" s="3" t="s">
        <v>1479</v>
      </c>
      <c r="F634" s="4" t="n">
        <f aca="false">IF(AND(ISNUMBER(C634),ISNUMBER(D634)),D634-C634,"N/A")</f>
        <v>164.8</v>
      </c>
      <c r="G634" s="6" t="n">
        <f aca="false">IF(ISNUMBER(F634),F634/C634*100,"N/A")</f>
        <v>3.49916130539101</v>
      </c>
      <c r="H634" s="3" t="str">
        <f aca="false">IF(NOT(ISNUMBER(F634)),"NO CURRENT DATA",IF(F634&gt;0,"RISEN",IF(F634&lt;0,"FALLEN","UNCHANGED")))</f>
        <v>RISEN</v>
      </c>
      <c r="I634" s="3" t="s">
        <v>1480</v>
      </c>
      <c r="J634" s="3" t="n">
        <v>0</v>
      </c>
    </row>
    <row r="635" customFormat="false" ht="15" hidden="false" customHeight="false" outlineLevel="0" collapsed="false">
      <c r="A635" s="3" t="s">
        <v>1177</v>
      </c>
      <c r="B635" s="3" t="s">
        <v>509</v>
      </c>
      <c r="C635" s="4" t="n">
        <v>917.35</v>
      </c>
      <c r="D635" s="4" t="n">
        <v>909.7</v>
      </c>
      <c r="E635" s="3" t="s">
        <v>1479</v>
      </c>
      <c r="F635" s="4" t="n">
        <f aca="false">IF(AND(ISNUMBER(C635),ISNUMBER(D635)),D635-C635,"N/A")</f>
        <v>-7.64999999999998</v>
      </c>
      <c r="G635" s="6" t="n">
        <f aca="false">IF(ISNUMBER(F635),F635/C635*100,"N/A")</f>
        <v>-0.833923802256497</v>
      </c>
      <c r="H635" s="3" t="str">
        <f aca="false">IF(NOT(ISNUMBER(F635)),"NO CURRENT DATA",IF(F635&gt;0,"RISEN",IF(F635&lt;0,"FALLEN","UNCHANGED")))</f>
        <v>FALLEN</v>
      </c>
      <c r="I635" s="3" t="s">
        <v>1480</v>
      </c>
      <c r="J635" s="3" t="n">
        <v>3</v>
      </c>
    </row>
    <row r="636" customFormat="false" ht="15" hidden="false" customHeight="false" outlineLevel="0" collapsed="false">
      <c r="A636" s="3" t="s">
        <v>1177</v>
      </c>
      <c r="B636" s="3" t="s">
        <v>480</v>
      </c>
      <c r="C636" s="4" t="n">
        <v>13366</v>
      </c>
      <c r="D636" s="4" t="n">
        <v>12008</v>
      </c>
      <c r="E636" s="3" t="s">
        <v>1479</v>
      </c>
      <c r="F636" s="4" t="n">
        <f aca="false">IF(AND(ISNUMBER(C636),ISNUMBER(D636)),D636-C636,"N/A")</f>
        <v>-1358</v>
      </c>
      <c r="G636" s="6" t="n">
        <f aca="false">IF(ISNUMBER(F636),F636/C636*100,"N/A")</f>
        <v>-10.1601077360467</v>
      </c>
      <c r="H636" s="3" t="str">
        <f aca="false">IF(NOT(ISNUMBER(F636)),"NO CURRENT DATA",IF(F636&gt;0,"RISEN",IF(F636&lt;0,"FALLEN","UNCHANGED")))</f>
        <v>FALLEN</v>
      </c>
      <c r="I636" s="3" t="s">
        <v>1480</v>
      </c>
      <c r="J636" s="3" t="n">
        <v>2</v>
      </c>
    </row>
    <row r="637" customFormat="false" ht="15" hidden="false" customHeight="false" outlineLevel="0" collapsed="false">
      <c r="A637" s="3" t="s">
        <v>1177</v>
      </c>
      <c r="B637" s="3" t="s">
        <v>1142</v>
      </c>
      <c r="C637" s="4" t="n">
        <v>1622.8</v>
      </c>
      <c r="D637" s="4" t="n">
        <v>1830</v>
      </c>
      <c r="E637" s="3" t="s">
        <v>1479</v>
      </c>
      <c r="F637" s="4" t="n">
        <f aca="false">IF(AND(ISNUMBER(C637),ISNUMBER(D637)),D637-C637,"N/A")</f>
        <v>207.2</v>
      </c>
      <c r="G637" s="6" t="n">
        <f aca="false">IF(ISNUMBER(F637),F637/C637*100,"N/A")</f>
        <v>12.7680552132117</v>
      </c>
      <c r="H637" s="3" t="str">
        <f aca="false">IF(NOT(ISNUMBER(F637)),"NO CURRENT DATA",IF(F637&gt;0,"RISEN",IF(F637&lt;0,"FALLEN","UNCHANGED")))</f>
        <v>RISEN</v>
      </c>
      <c r="I637" s="3" t="s">
        <v>1480</v>
      </c>
      <c r="J637" s="3" t="n">
        <v>1</v>
      </c>
    </row>
    <row r="638" customFormat="false" ht="15" hidden="false" customHeight="false" outlineLevel="0" collapsed="false">
      <c r="A638" s="3" t="s">
        <v>1177</v>
      </c>
      <c r="B638" s="3" t="s">
        <v>164</v>
      </c>
      <c r="C638" s="4" t="n">
        <v>1535.5</v>
      </c>
      <c r="D638" s="4" t="n">
        <v>1503</v>
      </c>
      <c r="E638" s="3" t="s">
        <v>1479</v>
      </c>
      <c r="F638" s="4" t="n">
        <f aca="false">IF(AND(ISNUMBER(C638),ISNUMBER(D638)),D638-C638,"N/A")</f>
        <v>-32.5</v>
      </c>
      <c r="G638" s="6" t="n">
        <f aca="false">IF(ISNUMBER(F638),F638/C638*100,"N/A")</f>
        <v>-2.11657440573103</v>
      </c>
      <c r="H638" s="3" t="str">
        <f aca="false">IF(NOT(ISNUMBER(F638)),"NO CURRENT DATA",IF(F638&gt;0,"RISEN",IF(F638&lt;0,"FALLEN","UNCHANGED")))</f>
        <v>FALLEN</v>
      </c>
      <c r="I638" s="3" t="s">
        <v>1480</v>
      </c>
      <c r="J638" s="3" t="n">
        <v>6</v>
      </c>
    </row>
    <row r="639" customFormat="false" ht="15" hidden="false" customHeight="false" outlineLevel="0" collapsed="false">
      <c r="A639" s="3" t="s">
        <v>1177</v>
      </c>
      <c r="B639" s="3" t="s">
        <v>441</v>
      </c>
      <c r="C639" s="4" t="n">
        <v>989.9</v>
      </c>
      <c r="D639" s="4" t="n">
        <v>1085</v>
      </c>
      <c r="E639" s="3" t="s">
        <v>1479</v>
      </c>
      <c r="F639" s="4" t="n">
        <f aca="false">IF(AND(ISNUMBER(C639),ISNUMBER(D639)),D639-C639,"N/A")</f>
        <v>95.1</v>
      </c>
      <c r="G639" s="6" t="n">
        <f aca="false">IF(ISNUMBER(F639),F639/C639*100,"N/A")</f>
        <v>9.60703101323366</v>
      </c>
      <c r="H639" s="3" t="str">
        <f aca="false">IF(NOT(ISNUMBER(F639)),"NO CURRENT DATA",IF(F639&gt;0,"RISEN",IF(F639&lt;0,"FALLEN","UNCHANGED")))</f>
        <v>RISEN</v>
      </c>
      <c r="I639" s="3" t="s">
        <v>1480</v>
      </c>
      <c r="J639" s="3" t="n">
        <v>4</v>
      </c>
    </row>
    <row r="640" customFormat="false" ht="15" hidden="false" customHeight="false" outlineLevel="0" collapsed="false">
      <c r="A640" s="3" t="s">
        <v>1177</v>
      </c>
      <c r="B640" s="3" t="s">
        <v>700</v>
      </c>
      <c r="C640" s="4" t="n">
        <v>3312.8</v>
      </c>
      <c r="D640" s="4" t="n">
        <v>4095</v>
      </c>
      <c r="E640" s="3" t="s">
        <v>1479</v>
      </c>
      <c r="F640" s="4" t="n">
        <f aca="false">IF(AND(ISNUMBER(C640),ISNUMBER(D640)),D640-C640,"N/A")</f>
        <v>782.2</v>
      </c>
      <c r="G640" s="6" t="n">
        <f aca="false">IF(ISNUMBER(F640),F640/C640*100,"N/A")</f>
        <v>23.6114465105047</v>
      </c>
      <c r="H640" s="3" t="str">
        <f aca="false">IF(NOT(ISNUMBER(F640)),"NO CURRENT DATA",IF(F640&gt;0,"RISEN",IF(F640&lt;0,"FALLEN","UNCHANGED")))</f>
        <v>RISEN</v>
      </c>
      <c r="I640" s="3" t="s">
        <v>1480</v>
      </c>
      <c r="J640" s="3" t="n">
        <v>1</v>
      </c>
    </row>
    <row r="641" customFormat="false" ht="15" hidden="false" customHeight="false" outlineLevel="0" collapsed="false">
      <c r="A641" s="3" t="s">
        <v>1190</v>
      </c>
      <c r="B641" s="3" t="s">
        <v>207</v>
      </c>
      <c r="C641" s="4" t="n">
        <v>1130.8</v>
      </c>
      <c r="D641" s="4" t="n">
        <v>1045</v>
      </c>
      <c r="E641" s="3" t="s">
        <v>1479</v>
      </c>
      <c r="F641" s="4" t="n">
        <f aca="false">IF(AND(ISNUMBER(C641),ISNUMBER(D641)),D641-C641,"N/A")</f>
        <v>-85.8</v>
      </c>
      <c r="G641" s="6" t="n">
        <f aca="false">IF(ISNUMBER(F641),F641/C641*100,"N/A")</f>
        <v>-7.58754863813229</v>
      </c>
      <c r="H641" s="3" t="str">
        <f aca="false">IF(NOT(ISNUMBER(F641)),"NO CURRENT DATA",IF(F641&gt;0,"RISEN",IF(F641&lt;0,"FALLEN","UNCHANGED")))</f>
        <v>FALLEN</v>
      </c>
      <c r="I641" s="3" t="s">
        <v>1480</v>
      </c>
      <c r="J641" s="3" t="n">
        <v>6</v>
      </c>
    </row>
    <row r="642" customFormat="false" ht="15" hidden="false" customHeight="false" outlineLevel="0" collapsed="false">
      <c r="A642" s="3" t="s">
        <v>1190</v>
      </c>
      <c r="B642" s="3" t="s">
        <v>58</v>
      </c>
      <c r="C642" s="4" t="n">
        <v>1833.8</v>
      </c>
      <c r="D642" s="4" t="n">
        <v>2197</v>
      </c>
      <c r="E642" s="3" t="s">
        <v>1479</v>
      </c>
      <c r="F642" s="4" t="n">
        <f aca="false">IF(AND(ISNUMBER(C642),ISNUMBER(D642)),D642-C642,"N/A")</f>
        <v>363.2</v>
      </c>
      <c r="G642" s="6" t="n">
        <f aca="false">IF(ISNUMBER(F642),F642/C642*100,"N/A")</f>
        <v>19.8058675973389</v>
      </c>
      <c r="H642" s="3" t="str">
        <f aca="false">IF(NOT(ISNUMBER(F642)),"NO CURRENT DATA",IF(F642&gt;0,"RISEN",IF(F642&lt;0,"FALLEN","UNCHANGED")))</f>
        <v>RISEN</v>
      </c>
      <c r="I642" s="3" t="s">
        <v>1480</v>
      </c>
      <c r="J642" s="3" t="n">
        <v>4</v>
      </c>
    </row>
    <row r="643" customFormat="false" ht="15" hidden="false" customHeight="false" outlineLevel="0" collapsed="false">
      <c r="A643" s="3" t="s">
        <v>1190</v>
      </c>
      <c r="B643" s="3" t="s">
        <v>93</v>
      </c>
      <c r="C643" s="4" t="n">
        <v>1719.4</v>
      </c>
      <c r="D643" s="4" t="n">
        <v>1651.6</v>
      </c>
      <c r="E643" s="3" t="s">
        <v>1479</v>
      </c>
      <c r="F643" s="4" t="n">
        <f aca="false">IF(AND(ISNUMBER(C643),ISNUMBER(D643)),D643-C643,"N/A")</f>
        <v>-67.8000000000002</v>
      </c>
      <c r="G643" s="6" t="n">
        <f aca="false">IF(ISNUMBER(F643),F643/C643*100,"N/A")</f>
        <v>-3.94323601256253</v>
      </c>
      <c r="H643" s="3" t="str">
        <f aca="false">IF(NOT(ISNUMBER(F643)),"NO CURRENT DATA",IF(F643&gt;0,"RISEN",IF(F643&lt;0,"FALLEN","UNCHANGED")))</f>
        <v>FALLEN</v>
      </c>
      <c r="I643" s="3" t="s">
        <v>1480</v>
      </c>
      <c r="J643" s="3" t="n">
        <v>5</v>
      </c>
    </row>
    <row r="644" customFormat="false" ht="15" hidden="false" customHeight="false" outlineLevel="0" collapsed="false">
      <c r="A644" s="3" t="s">
        <v>1190</v>
      </c>
      <c r="B644" s="3" t="s">
        <v>254</v>
      </c>
      <c r="C644" s="4" t="n">
        <v>614.45</v>
      </c>
      <c r="D644" s="4" t="n">
        <v>663.55</v>
      </c>
      <c r="E644" s="3" t="s">
        <v>1479</v>
      </c>
      <c r="F644" s="4" t="n">
        <f aca="false">IF(AND(ISNUMBER(C644),ISNUMBER(D644)),D644-C644,"N/A")</f>
        <v>49.0999999999999</v>
      </c>
      <c r="G644" s="6" t="n">
        <f aca="false">IF(ISNUMBER(F644),F644/C644*100,"N/A")</f>
        <v>7.99088615835298</v>
      </c>
      <c r="H644" s="3" t="str">
        <f aca="false">IF(NOT(ISNUMBER(F644)),"NO CURRENT DATA",IF(F644&gt;0,"RISEN",IF(F644&lt;0,"FALLEN","UNCHANGED")))</f>
        <v>RISEN</v>
      </c>
      <c r="I644" s="3" t="s">
        <v>1480</v>
      </c>
      <c r="J644" s="3" t="n">
        <v>2</v>
      </c>
    </row>
    <row r="645" customFormat="false" ht="15" hidden="false" customHeight="false" outlineLevel="0" collapsed="false">
      <c r="A645" s="3" t="s">
        <v>1190</v>
      </c>
      <c r="B645" s="3" t="s">
        <v>257</v>
      </c>
      <c r="C645" s="4" t="n">
        <v>175.41</v>
      </c>
      <c r="D645" s="4" t="n">
        <v>172.45</v>
      </c>
      <c r="E645" s="3" t="s">
        <v>1479</v>
      </c>
      <c r="F645" s="4" t="n">
        <f aca="false">IF(AND(ISNUMBER(C645),ISNUMBER(D645)),D645-C645,"N/A")</f>
        <v>-2.96000000000001</v>
      </c>
      <c r="G645" s="6" t="n">
        <f aca="false">IF(ISNUMBER(F645),F645/C645*100,"N/A")</f>
        <v>-1.68747505843453</v>
      </c>
      <c r="H645" s="3" t="str">
        <f aca="false">IF(NOT(ISNUMBER(F645)),"NO CURRENT DATA",IF(F645&gt;0,"RISEN",IF(F645&lt;0,"FALLEN","UNCHANGED")))</f>
        <v>FALLEN</v>
      </c>
      <c r="I645" s="3" t="s">
        <v>1480</v>
      </c>
      <c r="J645" s="3" t="n">
        <v>3</v>
      </c>
    </row>
    <row r="646" customFormat="false" ht="15" hidden="false" customHeight="false" outlineLevel="0" collapsed="false">
      <c r="A646" s="3" t="s">
        <v>1190</v>
      </c>
      <c r="B646" s="3" t="s">
        <v>136</v>
      </c>
      <c r="C646" s="4" t="n">
        <v>144.49</v>
      </c>
      <c r="D646" s="4" t="n">
        <v>133.32</v>
      </c>
      <c r="E646" s="3" t="s">
        <v>1479</v>
      </c>
      <c r="F646" s="4" t="n">
        <f aca="false">IF(AND(ISNUMBER(C646),ISNUMBER(D646)),D646-C646,"N/A")</f>
        <v>-11.17</v>
      </c>
      <c r="G646" s="6" t="n">
        <f aca="false">IF(ISNUMBER(F646),F646/C646*100,"N/A")</f>
        <v>-7.73063879853278</v>
      </c>
      <c r="H646" s="3" t="str">
        <f aca="false">IF(NOT(ISNUMBER(F646)),"NO CURRENT DATA",IF(F646&gt;0,"RISEN",IF(F646&lt;0,"FALLEN","UNCHANGED")))</f>
        <v>FALLEN</v>
      </c>
      <c r="I646" s="3" t="s">
        <v>1480</v>
      </c>
      <c r="J646" s="3" t="n">
        <v>11</v>
      </c>
    </row>
    <row r="647" customFormat="false" ht="15" hidden="false" customHeight="false" outlineLevel="0" collapsed="false">
      <c r="A647" s="3" t="s">
        <v>1190</v>
      </c>
      <c r="B647" s="3" t="s">
        <v>525</v>
      </c>
      <c r="C647" s="4" t="n">
        <v>239.52</v>
      </c>
      <c r="D647" s="4" t="n">
        <v>220.5</v>
      </c>
      <c r="E647" s="3" t="s">
        <v>1479</v>
      </c>
      <c r="F647" s="4" t="n">
        <f aca="false">IF(AND(ISNUMBER(C647),ISNUMBER(D647)),D647-C647,"N/A")</f>
        <v>-19.02</v>
      </c>
      <c r="G647" s="6" t="n">
        <f aca="false">IF(ISNUMBER(F647),F647/C647*100,"N/A")</f>
        <v>-7.94088176352706</v>
      </c>
      <c r="H647" s="3" t="str">
        <f aca="false">IF(NOT(ISNUMBER(F647)),"NO CURRENT DATA",IF(F647&gt;0,"RISEN",IF(F647&lt;0,"FALLEN","UNCHANGED")))</f>
        <v>FALLEN</v>
      </c>
      <c r="I647" s="3" t="s">
        <v>1480</v>
      </c>
      <c r="J647" s="3" t="n">
        <v>3</v>
      </c>
    </row>
    <row r="648" customFormat="false" ht="15" hidden="false" customHeight="false" outlineLevel="0" collapsed="false">
      <c r="A648" s="3" t="s">
        <v>1190</v>
      </c>
      <c r="B648" s="3" t="s">
        <v>1142</v>
      </c>
      <c r="C648" s="4" t="n">
        <v>1669.4</v>
      </c>
      <c r="D648" s="4" t="n">
        <v>1830</v>
      </c>
      <c r="E648" s="3" t="s">
        <v>1479</v>
      </c>
      <c r="F648" s="4" t="n">
        <f aca="false">IF(AND(ISNUMBER(C648),ISNUMBER(D648)),D648-C648,"N/A")</f>
        <v>160.6</v>
      </c>
      <c r="G648" s="6" t="n">
        <f aca="false">IF(ISNUMBER(F648),F648/C648*100,"N/A")</f>
        <v>9.62022283455133</v>
      </c>
      <c r="H648" s="3" t="str">
        <f aca="false">IF(NOT(ISNUMBER(F648)),"NO CURRENT DATA",IF(F648&gt;0,"RISEN",IF(F648&lt;0,"FALLEN","UNCHANGED")))</f>
        <v>RISEN</v>
      </c>
      <c r="I648" s="3" t="s">
        <v>1480</v>
      </c>
      <c r="J648" s="3" t="n">
        <v>1</v>
      </c>
    </row>
    <row r="649" customFormat="false" ht="15" hidden="false" customHeight="false" outlineLevel="0" collapsed="false">
      <c r="A649" s="3" t="s">
        <v>1190</v>
      </c>
      <c r="B649" s="3" t="s">
        <v>237</v>
      </c>
      <c r="C649" s="4" t="n">
        <v>1846.9</v>
      </c>
      <c r="D649" s="4" t="n">
        <v>1952.2</v>
      </c>
      <c r="E649" s="3" t="s">
        <v>1479</v>
      </c>
      <c r="F649" s="4" t="n">
        <f aca="false">IF(AND(ISNUMBER(C649),ISNUMBER(D649)),D649-C649,"N/A")</f>
        <v>105.3</v>
      </c>
      <c r="G649" s="6" t="n">
        <f aca="false">IF(ISNUMBER(F649),F649/C649*100,"N/A")</f>
        <v>5.70144566571011</v>
      </c>
      <c r="H649" s="3" t="str">
        <f aca="false">IF(NOT(ISNUMBER(F649)),"NO CURRENT DATA",IF(F649&gt;0,"RISEN",IF(F649&lt;0,"FALLEN","UNCHANGED")))</f>
        <v>RISEN</v>
      </c>
      <c r="I649" s="3" t="s">
        <v>1480</v>
      </c>
      <c r="J649" s="3" t="n">
        <v>7</v>
      </c>
    </row>
    <row r="650" customFormat="false" ht="15" hidden="false" customHeight="false" outlineLevel="0" collapsed="false">
      <c r="A650" s="3" t="s">
        <v>1190</v>
      </c>
      <c r="B650" s="3" t="s">
        <v>164</v>
      </c>
      <c r="C650" s="4" t="n">
        <v>1571</v>
      </c>
      <c r="D650" s="4" t="n">
        <v>1503</v>
      </c>
      <c r="E650" s="3" t="s">
        <v>1479</v>
      </c>
      <c r="F650" s="4" t="n">
        <f aca="false">IF(AND(ISNUMBER(C650),ISNUMBER(D650)),D650-C650,"N/A")</f>
        <v>-68</v>
      </c>
      <c r="G650" s="6" t="n">
        <f aca="false">IF(ISNUMBER(F650),F650/C650*100,"N/A")</f>
        <v>-4.32845321451305</v>
      </c>
      <c r="H650" s="3" t="str">
        <f aca="false">IF(NOT(ISNUMBER(F650)),"NO CURRENT DATA",IF(F650&gt;0,"RISEN",IF(F650&lt;0,"FALLEN","UNCHANGED")))</f>
        <v>FALLEN</v>
      </c>
      <c r="I650" s="3" t="s">
        <v>1480</v>
      </c>
      <c r="J650" s="3" t="n">
        <v>6</v>
      </c>
    </row>
    <row r="651" customFormat="false" ht="15" hidden="false" customHeight="false" outlineLevel="0" collapsed="false">
      <c r="A651" s="3" t="s">
        <v>1190</v>
      </c>
      <c r="B651" s="3" t="s">
        <v>550</v>
      </c>
      <c r="C651" s="4" t="n">
        <v>1472.5</v>
      </c>
      <c r="D651" s="4" t="n">
        <v>1470.8</v>
      </c>
      <c r="E651" s="3" t="s">
        <v>1479</v>
      </c>
      <c r="F651" s="4" t="n">
        <f aca="false">IF(AND(ISNUMBER(C651),ISNUMBER(D651)),D651-C651,"N/A")</f>
        <v>-1.70000000000005</v>
      </c>
      <c r="G651" s="6" t="n">
        <f aca="false">IF(ISNUMBER(F651),F651/C651*100,"N/A")</f>
        <v>-0.11544991511036</v>
      </c>
      <c r="H651" s="3" t="str">
        <f aca="false">IF(NOT(ISNUMBER(F651)),"NO CURRENT DATA",IF(F651&gt;0,"RISEN",IF(F651&lt;0,"FALLEN","UNCHANGED")))</f>
        <v>FALLEN</v>
      </c>
      <c r="I651" s="3" t="s">
        <v>1480</v>
      </c>
      <c r="J651" s="3" t="n">
        <v>3</v>
      </c>
    </row>
    <row r="652" customFormat="false" ht="15" hidden="false" customHeight="false" outlineLevel="0" collapsed="false">
      <c r="A652" s="3" t="s">
        <v>1190</v>
      </c>
      <c r="B652" s="3" t="s">
        <v>178</v>
      </c>
      <c r="C652" s="4" t="n">
        <v>404.1</v>
      </c>
      <c r="D652" s="4" t="n">
        <v>361.9</v>
      </c>
      <c r="E652" s="3" t="s">
        <v>1479</v>
      </c>
      <c r="F652" s="4" t="n">
        <f aca="false">IF(AND(ISNUMBER(C652),ISNUMBER(D652)),D652-C652,"N/A")</f>
        <v>-42.2</v>
      </c>
      <c r="G652" s="6" t="n">
        <f aca="false">IF(ISNUMBER(F652),F652/C652*100,"N/A")</f>
        <v>-10.4429596634497</v>
      </c>
      <c r="H652" s="3" t="str">
        <f aca="false">IF(NOT(ISNUMBER(F652)),"NO CURRENT DATA",IF(F652&gt;0,"RISEN",IF(F652&lt;0,"FALLEN","UNCHANGED")))</f>
        <v>FALLEN</v>
      </c>
      <c r="I652" s="3" t="s">
        <v>1480</v>
      </c>
      <c r="J652" s="3" t="n">
        <v>2</v>
      </c>
    </row>
    <row r="653" customFormat="false" ht="15" hidden="false" customHeight="false" outlineLevel="0" collapsed="false">
      <c r="A653" s="3" t="s">
        <v>1190</v>
      </c>
      <c r="B653" s="3" t="s">
        <v>579</v>
      </c>
      <c r="C653" s="4" t="n">
        <v>541</v>
      </c>
      <c r="D653" s="4" t="n">
        <v>430</v>
      </c>
      <c r="E653" s="3" t="s">
        <v>1479</v>
      </c>
      <c r="F653" s="4" t="n">
        <f aca="false">IF(AND(ISNUMBER(C653),ISNUMBER(D653)),D653-C653,"N/A")</f>
        <v>-111</v>
      </c>
      <c r="G653" s="6" t="n">
        <f aca="false">IF(ISNUMBER(F653),F653/C653*100,"N/A")</f>
        <v>-20.5175600739372</v>
      </c>
      <c r="H653" s="3" t="str">
        <f aca="false">IF(NOT(ISNUMBER(F653)),"NO CURRENT DATA",IF(F653&gt;0,"RISEN",IF(F653&lt;0,"FALLEN","UNCHANGED")))</f>
        <v>FALLEN</v>
      </c>
      <c r="I653" s="3" t="s">
        <v>1480</v>
      </c>
      <c r="J653" s="3" t="n">
        <v>2</v>
      </c>
    </row>
    <row r="654" customFormat="false" ht="15" hidden="false" customHeight="false" outlineLevel="0" collapsed="false">
      <c r="A654" s="3" t="s">
        <v>1204</v>
      </c>
      <c r="B654" s="3" t="s">
        <v>794</v>
      </c>
      <c r="C654" s="4" t="n">
        <v>2096.9</v>
      </c>
      <c r="D654" s="4" t="n">
        <v>1845.9</v>
      </c>
      <c r="E654" s="3" t="s">
        <v>1479</v>
      </c>
      <c r="F654" s="4" t="n">
        <f aca="false">IF(AND(ISNUMBER(C654),ISNUMBER(D654)),D654-C654,"N/A")</f>
        <v>-251</v>
      </c>
      <c r="G654" s="6" t="n">
        <f aca="false">IF(ISNUMBER(F654),F654/C654*100,"N/A")</f>
        <v>-11.9700510277076</v>
      </c>
      <c r="H654" s="3" t="str">
        <f aca="false">IF(NOT(ISNUMBER(F654)),"NO CURRENT DATA",IF(F654&gt;0,"RISEN",IF(F654&lt;0,"FALLEN","UNCHANGED")))</f>
        <v>FALLEN</v>
      </c>
      <c r="I654" s="3" t="s">
        <v>1480</v>
      </c>
      <c r="J654" s="3" t="n">
        <v>1</v>
      </c>
    </row>
    <row r="655" customFormat="false" ht="15" hidden="false" customHeight="false" outlineLevel="0" collapsed="false">
      <c r="A655" s="3" t="s">
        <v>1204</v>
      </c>
      <c r="B655" s="3" t="s">
        <v>1142</v>
      </c>
      <c r="C655" s="4" t="n">
        <v>1704.8</v>
      </c>
      <c r="D655" s="4" t="n">
        <v>1830</v>
      </c>
      <c r="E655" s="3" t="s">
        <v>1479</v>
      </c>
      <c r="F655" s="4" t="n">
        <f aca="false">IF(AND(ISNUMBER(C655),ISNUMBER(D655)),D655-C655,"N/A")</f>
        <v>125.2</v>
      </c>
      <c r="G655" s="6" t="n">
        <f aca="false">IF(ISNUMBER(F655),F655/C655*100,"N/A")</f>
        <v>7.34396996715157</v>
      </c>
      <c r="H655" s="3" t="str">
        <f aca="false">IF(NOT(ISNUMBER(F655)),"NO CURRENT DATA",IF(F655&gt;0,"RISEN",IF(F655&lt;0,"FALLEN","UNCHANGED")))</f>
        <v>RISEN</v>
      </c>
      <c r="I655" s="3" t="s">
        <v>1480</v>
      </c>
      <c r="J655" s="3" t="n">
        <v>1</v>
      </c>
    </row>
    <row r="656" customFormat="false" ht="15" hidden="false" customHeight="false" outlineLevel="0" collapsed="false">
      <c r="A656" s="3" t="s">
        <v>1204</v>
      </c>
      <c r="B656" s="3" t="s">
        <v>83</v>
      </c>
      <c r="C656" s="4" t="n">
        <v>2744</v>
      </c>
      <c r="D656" s="4" t="n">
        <v>2491.5</v>
      </c>
      <c r="E656" s="3" t="s">
        <v>1479</v>
      </c>
      <c r="F656" s="4" t="n">
        <f aca="false">IF(AND(ISNUMBER(C656),ISNUMBER(D656)),D656-C656,"N/A")</f>
        <v>-252.5</v>
      </c>
      <c r="G656" s="6" t="n">
        <f aca="false">IF(ISNUMBER(F656),F656/C656*100,"N/A")</f>
        <v>-9.20189504373178</v>
      </c>
      <c r="H656" s="3" t="str">
        <f aca="false">IF(NOT(ISNUMBER(F656)),"NO CURRENT DATA",IF(F656&gt;0,"RISEN",IF(F656&lt;0,"FALLEN","UNCHANGED")))</f>
        <v>FALLEN</v>
      </c>
      <c r="I656" s="3" t="s">
        <v>1480</v>
      </c>
      <c r="J656" s="3" t="n">
        <v>5</v>
      </c>
    </row>
    <row r="657" customFormat="false" ht="15" hidden="false" customHeight="false" outlineLevel="0" collapsed="false">
      <c r="A657" s="3" t="s">
        <v>1208</v>
      </c>
      <c r="B657" s="3" t="s">
        <v>227</v>
      </c>
      <c r="C657" s="4" t="n">
        <v>1828.6</v>
      </c>
      <c r="D657" s="4" t="n">
        <v>1743.7</v>
      </c>
      <c r="E657" s="3" t="s">
        <v>1479</v>
      </c>
      <c r="F657" s="4" t="n">
        <f aca="false">IF(AND(ISNUMBER(C657),ISNUMBER(D657)),D657-C657,"N/A")</f>
        <v>-84.8999999999999</v>
      </c>
      <c r="G657" s="6" t="n">
        <f aca="false">IF(ISNUMBER(F657),F657/C657*100,"N/A")</f>
        <v>-4.64289620474679</v>
      </c>
      <c r="H657" s="3" t="str">
        <f aca="false">IF(NOT(ISNUMBER(F657)),"NO CURRENT DATA",IF(F657&gt;0,"RISEN",IF(F657&lt;0,"FALLEN","UNCHANGED")))</f>
        <v>FALLEN</v>
      </c>
      <c r="I657" s="3" t="s">
        <v>1480</v>
      </c>
      <c r="J657" s="3" t="n">
        <v>2</v>
      </c>
    </row>
    <row r="658" customFormat="false" ht="15" hidden="false" customHeight="false" outlineLevel="0" collapsed="false">
      <c r="A658" s="3" t="s">
        <v>1208</v>
      </c>
      <c r="B658" s="3" t="s">
        <v>642</v>
      </c>
      <c r="C658" s="4" t="n">
        <v>419.85</v>
      </c>
      <c r="D658" s="4" t="n">
        <v>385.5</v>
      </c>
      <c r="E658" s="3" t="s">
        <v>1479</v>
      </c>
      <c r="F658" s="4" t="n">
        <f aca="false">IF(AND(ISNUMBER(C658),ISNUMBER(D658)),D658-C658,"N/A")</f>
        <v>-34.35</v>
      </c>
      <c r="G658" s="6" t="n">
        <f aca="false">IF(ISNUMBER(F658),F658/C658*100,"N/A")</f>
        <v>-8.18149339049661</v>
      </c>
      <c r="H658" s="3" t="str">
        <f aca="false">IF(NOT(ISNUMBER(F658)),"NO CURRENT DATA",IF(F658&gt;0,"RISEN",IF(F658&lt;0,"FALLEN","UNCHANGED")))</f>
        <v>FALLEN</v>
      </c>
      <c r="I658" s="3" t="s">
        <v>1480</v>
      </c>
      <c r="J658" s="3" t="n">
        <v>1</v>
      </c>
    </row>
    <row r="659" customFormat="false" ht="15" hidden="false" customHeight="false" outlineLevel="0" collapsed="false">
      <c r="A659" s="3" t="s">
        <v>1208</v>
      </c>
      <c r="B659" s="3" t="s">
        <v>519</v>
      </c>
      <c r="C659" s="4" t="n">
        <v>135.24</v>
      </c>
      <c r="D659" s="4" t="n">
        <v>120.65</v>
      </c>
      <c r="E659" s="3" t="s">
        <v>1479</v>
      </c>
      <c r="F659" s="4" t="n">
        <f aca="false">IF(AND(ISNUMBER(C659),ISNUMBER(D659)),D659-C659,"N/A")</f>
        <v>-14.59</v>
      </c>
      <c r="G659" s="6" t="n">
        <f aca="false">IF(ISNUMBER(F659),F659/C659*100,"N/A")</f>
        <v>-10.7882283348122</v>
      </c>
      <c r="H659" s="3" t="str">
        <f aca="false">IF(NOT(ISNUMBER(F659)),"NO CURRENT DATA",IF(F659&gt;0,"RISEN",IF(F659&lt;0,"FALLEN","UNCHANGED")))</f>
        <v>FALLEN</v>
      </c>
      <c r="I659" s="3" t="s">
        <v>1480</v>
      </c>
      <c r="J659" s="3" t="n">
        <v>3</v>
      </c>
    </row>
    <row r="660" customFormat="false" ht="15" hidden="false" customHeight="false" outlineLevel="0" collapsed="false">
      <c r="A660" s="3" t="s">
        <v>1208</v>
      </c>
      <c r="B660" s="3" t="s">
        <v>74</v>
      </c>
      <c r="C660" s="4" t="n">
        <v>1790.5</v>
      </c>
      <c r="D660" s="4" t="n">
        <v>1540</v>
      </c>
      <c r="E660" s="3" t="s">
        <v>1479</v>
      </c>
      <c r="F660" s="4" t="n">
        <f aca="false">IF(AND(ISNUMBER(C660),ISNUMBER(D660)),D660-C660,"N/A")</f>
        <v>-250.5</v>
      </c>
      <c r="G660" s="6" t="n">
        <f aca="false">IF(ISNUMBER(F660),F660/C660*100,"N/A")</f>
        <v>-13.9905054454063</v>
      </c>
      <c r="H660" s="3" t="str">
        <f aca="false">IF(NOT(ISNUMBER(F660)),"NO CURRENT DATA",IF(F660&gt;0,"RISEN",IF(F660&lt;0,"FALLEN","UNCHANGED")))</f>
        <v>FALLEN</v>
      </c>
      <c r="I660" s="3" t="s">
        <v>1480</v>
      </c>
      <c r="J660" s="3" t="n">
        <v>3</v>
      </c>
    </row>
    <row r="661" customFormat="false" ht="15" hidden="false" customHeight="false" outlineLevel="0" collapsed="false">
      <c r="A661" s="3" t="s">
        <v>1208</v>
      </c>
      <c r="B661" s="3" t="s">
        <v>266</v>
      </c>
      <c r="C661" s="4" t="n">
        <v>2340.2</v>
      </c>
      <c r="D661" s="4" t="n">
        <v>2237.5</v>
      </c>
      <c r="E661" s="3" t="s">
        <v>1479</v>
      </c>
      <c r="F661" s="4" t="n">
        <f aca="false">IF(AND(ISNUMBER(C661),ISNUMBER(D661)),D661-C661,"N/A")</f>
        <v>-102.7</v>
      </c>
      <c r="G661" s="6" t="n">
        <f aca="false">IF(ISNUMBER(F661),F661/C661*100,"N/A")</f>
        <v>-4.38851380223912</v>
      </c>
      <c r="H661" s="3" t="str">
        <f aca="false">IF(NOT(ISNUMBER(F661)),"NO CURRENT DATA",IF(F661&gt;0,"RISEN",IF(F661&lt;0,"FALLEN","UNCHANGED")))</f>
        <v>FALLEN</v>
      </c>
      <c r="I661" s="3" t="s">
        <v>1480</v>
      </c>
      <c r="J661" s="3" t="n">
        <v>2</v>
      </c>
    </row>
    <row r="662" customFormat="false" ht="15" hidden="false" customHeight="false" outlineLevel="0" collapsed="false">
      <c r="A662" s="3" t="s">
        <v>1208</v>
      </c>
      <c r="B662" s="3" t="s">
        <v>765</v>
      </c>
      <c r="C662" s="4" t="n">
        <v>280.95</v>
      </c>
      <c r="D662" s="4" t="n">
        <v>325.5</v>
      </c>
      <c r="E662" s="3" t="s">
        <v>1479</v>
      </c>
      <c r="F662" s="4" t="n">
        <f aca="false">IF(AND(ISNUMBER(C662),ISNUMBER(D662)),D662-C662,"N/A")</f>
        <v>44.55</v>
      </c>
      <c r="G662" s="6" t="n">
        <f aca="false">IF(ISNUMBER(F662),F662/C662*100,"N/A")</f>
        <v>15.8569140416444</v>
      </c>
      <c r="H662" s="3" t="str">
        <f aca="false">IF(NOT(ISNUMBER(F662)),"NO CURRENT DATA",IF(F662&gt;0,"RISEN",IF(F662&lt;0,"FALLEN","UNCHANGED")))</f>
        <v>RISEN</v>
      </c>
      <c r="I662" s="3" t="s">
        <v>1480</v>
      </c>
      <c r="J662" s="3" t="n">
        <v>3</v>
      </c>
    </row>
    <row r="663" customFormat="false" ht="15" hidden="false" customHeight="false" outlineLevel="0" collapsed="false">
      <c r="A663" s="3" t="s">
        <v>1215</v>
      </c>
      <c r="B663" s="3" t="s">
        <v>254</v>
      </c>
      <c r="C663" s="4" t="n">
        <v>640.7</v>
      </c>
      <c r="D663" s="4" t="n">
        <v>663.55</v>
      </c>
      <c r="E663" s="3" t="s">
        <v>1479</v>
      </c>
      <c r="F663" s="4" t="n">
        <f aca="false">IF(AND(ISNUMBER(C663),ISNUMBER(D663)),D663-C663,"N/A")</f>
        <v>22.8499999999999</v>
      </c>
      <c r="G663" s="6" t="n">
        <f aca="false">IF(ISNUMBER(F663),F663/C663*100,"N/A")</f>
        <v>3.56641173716246</v>
      </c>
      <c r="H663" s="3" t="str">
        <f aca="false">IF(NOT(ISNUMBER(F663)),"NO CURRENT DATA",IF(F663&gt;0,"RISEN",IF(F663&lt;0,"FALLEN","UNCHANGED")))</f>
        <v>RISEN</v>
      </c>
      <c r="I663" s="3" t="s">
        <v>1480</v>
      </c>
      <c r="J663" s="3" t="n">
        <v>3</v>
      </c>
    </row>
    <row r="664" customFormat="false" ht="15" hidden="false" customHeight="false" outlineLevel="0" collapsed="false">
      <c r="A664" s="3" t="s">
        <v>1215</v>
      </c>
      <c r="B664" s="3" t="s">
        <v>1145</v>
      </c>
      <c r="C664" s="4" t="n">
        <v>3690</v>
      </c>
      <c r="D664" s="4" t="n">
        <v>4478.3</v>
      </c>
      <c r="E664" s="3" t="s">
        <v>1479</v>
      </c>
      <c r="F664" s="4" t="n">
        <f aca="false">IF(AND(ISNUMBER(C664),ISNUMBER(D664)),D664-C664,"N/A")</f>
        <v>788.3</v>
      </c>
      <c r="G664" s="6" t="n">
        <f aca="false">IF(ISNUMBER(F664),F664/C664*100,"N/A")</f>
        <v>21.3631436314363</v>
      </c>
      <c r="H664" s="3" t="str">
        <f aca="false">IF(NOT(ISNUMBER(F664)),"NO CURRENT DATA",IF(F664&gt;0,"RISEN",IF(F664&lt;0,"FALLEN","UNCHANGED")))</f>
        <v>RISEN</v>
      </c>
      <c r="I664" s="3" t="s">
        <v>1480</v>
      </c>
      <c r="J664" s="3" t="n">
        <v>1</v>
      </c>
    </row>
    <row r="665" customFormat="false" ht="15" hidden="false" customHeight="false" outlineLevel="0" collapsed="false">
      <c r="A665" s="3" t="s">
        <v>1218</v>
      </c>
      <c r="B665" s="3" t="s">
        <v>207</v>
      </c>
      <c r="C665" s="4" t="n">
        <v>1145.1</v>
      </c>
      <c r="D665" s="4" t="n">
        <v>1045</v>
      </c>
      <c r="E665" s="3" t="s">
        <v>1479</v>
      </c>
      <c r="F665" s="4" t="n">
        <f aca="false">IF(AND(ISNUMBER(C665),ISNUMBER(D665)),D665-C665,"N/A")</f>
        <v>-100.1</v>
      </c>
      <c r="G665" s="6" t="n">
        <f aca="false">IF(ISNUMBER(F665),F665/C665*100,"N/A")</f>
        <v>-8.74159462055715</v>
      </c>
      <c r="H665" s="3" t="str">
        <f aca="false">IF(NOT(ISNUMBER(F665)),"NO CURRENT DATA",IF(F665&gt;0,"RISEN",IF(F665&lt;0,"FALLEN","UNCHANGED")))</f>
        <v>FALLEN</v>
      </c>
      <c r="I665" s="3" t="s">
        <v>1480</v>
      </c>
      <c r="J665" s="3" t="n">
        <v>7</v>
      </c>
    </row>
    <row r="666" customFormat="false" ht="15" hidden="false" customHeight="false" outlineLevel="0" collapsed="false">
      <c r="A666" s="3" t="s">
        <v>1218</v>
      </c>
      <c r="B666" s="3" t="s">
        <v>213</v>
      </c>
      <c r="C666" s="4" t="n">
        <v>961.8</v>
      </c>
      <c r="D666" s="4" t="n">
        <v>985</v>
      </c>
      <c r="E666" s="3" t="s">
        <v>1479</v>
      </c>
      <c r="F666" s="4" t="n">
        <f aca="false">IF(AND(ISNUMBER(C666),ISNUMBER(D666)),D666-C666,"N/A")</f>
        <v>23.2</v>
      </c>
      <c r="G666" s="6" t="n">
        <f aca="false">IF(ISNUMBER(F666),F666/C666*100,"N/A")</f>
        <v>2.41214389686006</v>
      </c>
      <c r="H666" s="3" t="str">
        <f aca="false">IF(NOT(ISNUMBER(F666)),"NO CURRENT DATA",IF(F666&gt;0,"RISEN",IF(F666&lt;0,"FALLEN","UNCHANGED")))</f>
        <v>RISEN</v>
      </c>
      <c r="I666" s="3" t="s">
        <v>1480</v>
      </c>
      <c r="J666" s="3" t="n">
        <v>2</v>
      </c>
    </row>
    <row r="667" customFormat="false" ht="15" hidden="false" customHeight="false" outlineLevel="0" collapsed="false">
      <c r="A667" s="3" t="s">
        <v>1218</v>
      </c>
      <c r="B667" s="3" t="s">
        <v>664</v>
      </c>
      <c r="C667" s="4" t="n">
        <v>2041.4</v>
      </c>
      <c r="D667" s="4" t="n">
        <v>1957</v>
      </c>
      <c r="E667" s="3" t="s">
        <v>1479</v>
      </c>
      <c r="F667" s="4" t="n">
        <f aca="false">IF(AND(ISNUMBER(C667),ISNUMBER(D667)),D667-C667,"N/A")</f>
        <v>-84.4000000000001</v>
      </c>
      <c r="G667" s="6" t="n">
        <f aca="false">IF(ISNUMBER(F667),F667/C667*100,"N/A")</f>
        <v>-4.13441755657882</v>
      </c>
      <c r="H667" s="3" t="str">
        <f aca="false">IF(NOT(ISNUMBER(F667)),"NO CURRENT DATA",IF(F667&gt;0,"RISEN",IF(F667&lt;0,"FALLEN","UNCHANGED")))</f>
        <v>FALLEN</v>
      </c>
      <c r="I667" s="3" t="s">
        <v>1480</v>
      </c>
      <c r="J667" s="3" t="n">
        <v>4</v>
      </c>
    </row>
    <row r="668" customFormat="false" ht="15" hidden="false" customHeight="false" outlineLevel="0" collapsed="false">
      <c r="A668" s="3" t="s">
        <v>1218</v>
      </c>
      <c r="B668" s="3" t="s">
        <v>1118</v>
      </c>
      <c r="C668" s="4" t="n">
        <v>5533.5</v>
      </c>
      <c r="D668" s="4" t="n">
        <v>4203</v>
      </c>
      <c r="E668" s="3" t="s">
        <v>1479</v>
      </c>
      <c r="F668" s="4" t="n">
        <f aca="false">IF(AND(ISNUMBER(C668),ISNUMBER(D668)),D668-C668,"N/A")</f>
        <v>-1330.5</v>
      </c>
      <c r="G668" s="6" t="n">
        <f aca="false">IF(ISNUMBER(F668),F668/C668*100,"N/A")</f>
        <v>-24.0444564922743</v>
      </c>
      <c r="H668" s="3" t="str">
        <f aca="false">IF(NOT(ISNUMBER(F668)),"NO CURRENT DATA",IF(F668&gt;0,"RISEN",IF(F668&lt;0,"FALLEN","UNCHANGED")))</f>
        <v>FALLEN</v>
      </c>
      <c r="I668" s="3" t="s">
        <v>1480</v>
      </c>
      <c r="J668" s="3" t="n">
        <v>2</v>
      </c>
    </row>
    <row r="669" customFormat="false" ht="15" hidden="false" customHeight="false" outlineLevel="0" collapsed="false">
      <c r="A669" s="3" t="s">
        <v>1218</v>
      </c>
      <c r="B669" s="3" t="s">
        <v>765</v>
      </c>
      <c r="C669" s="4" t="n">
        <v>302.3</v>
      </c>
      <c r="D669" s="4" t="n">
        <v>325.5</v>
      </c>
      <c r="E669" s="3" t="s">
        <v>1479</v>
      </c>
      <c r="F669" s="4" t="n">
        <f aca="false">IF(AND(ISNUMBER(C669),ISNUMBER(D669)),D669-C669,"N/A")</f>
        <v>23.2</v>
      </c>
      <c r="G669" s="6" t="n">
        <f aca="false">IF(ISNUMBER(F669),F669/C669*100,"N/A")</f>
        <v>7.67449553423751</v>
      </c>
      <c r="H669" s="3" t="str">
        <f aca="false">IF(NOT(ISNUMBER(F669)),"NO CURRENT DATA",IF(F669&gt;0,"RISEN",IF(F669&lt;0,"FALLEN","UNCHANGED")))</f>
        <v>RISEN</v>
      </c>
      <c r="I669" s="3" t="s">
        <v>1480</v>
      </c>
      <c r="J669" s="3" t="n">
        <v>4</v>
      </c>
    </row>
    <row r="670" customFormat="false" ht="15" hidden="false" customHeight="false" outlineLevel="0" collapsed="false">
      <c r="A670" s="3" t="s">
        <v>1218</v>
      </c>
      <c r="B670" s="3" t="s">
        <v>1224</v>
      </c>
      <c r="C670" s="4" t="n">
        <v>3205.8</v>
      </c>
      <c r="D670" s="4" t="n">
        <v>2626</v>
      </c>
      <c r="E670" s="3" t="s">
        <v>1479</v>
      </c>
      <c r="F670" s="4" t="n">
        <f aca="false">IF(AND(ISNUMBER(C670),ISNUMBER(D670)),D670-C670,"N/A")</f>
        <v>-579.8</v>
      </c>
      <c r="G670" s="6" t="n">
        <f aca="false">IF(ISNUMBER(F670),F670/C670*100,"N/A")</f>
        <v>-18.0859691808597</v>
      </c>
      <c r="H670" s="3" t="str">
        <f aca="false">IF(NOT(ISNUMBER(F670)),"NO CURRENT DATA",IF(F670&gt;0,"RISEN",IF(F670&lt;0,"FALLEN","UNCHANGED")))</f>
        <v>FALLEN</v>
      </c>
      <c r="I670" s="3" t="s">
        <v>1480</v>
      </c>
      <c r="J670" s="3" t="n">
        <v>0</v>
      </c>
    </row>
    <row r="671" customFormat="false" ht="15" hidden="false" customHeight="false" outlineLevel="0" collapsed="false">
      <c r="A671" s="3" t="s">
        <v>1227</v>
      </c>
      <c r="B671" s="3" t="s">
        <v>90</v>
      </c>
      <c r="C671" s="4" t="n">
        <v>10191</v>
      </c>
      <c r="D671" s="4" t="n">
        <v>11024</v>
      </c>
      <c r="E671" s="3" t="s">
        <v>1479</v>
      </c>
      <c r="F671" s="4" t="n">
        <f aca="false">IF(AND(ISNUMBER(C671),ISNUMBER(D671)),D671-C671,"N/A")</f>
        <v>833</v>
      </c>
      <c r="G671" s="6" t="n">
        <f aca="false">IF(ISNUMBER(F671),F671/C671*100,"N/A")</f>
        <v>8.17387891276617</v>
      </c>
      <c r="H671" s="3" t="str">
        <f aca="false">IF(NOT(ISNUMBER(F671)),"NO CURRENT DATA",IF(F671&gt;0,"RISEN",IF(F671&lt;0,"FALLEN","UNCHANGED")))</f>
        <v>RISEN</v>
      </c>
      <c r="I671" s="3" t="s">
        <v>1480</v>
      </c>
      <c r="J671" s="3" t="n">
        <v>2</v>
      </c>
    </row>
    <row r="672" customFormat="false" ht="15" hidden="false" customHeight="false" outlineLevel="0" collapsed="false">
      <c r="A672" s="3" t="s">
        <v>1227</v>
      </c>
      <c r="B672" s="3" t="s">
        <v>364</v>
      </c>
      <c r="C672" s="4" t="n">
        <v>506.3</v>
      </c>
      <c r="D672" s="4" t="n">
        <v>458.7</v>
      </c>
      <c r="E672" s="3" t="s">
        <v>1479</v>
      </c>
      <c r="F672" s="4" t="n">
        <f aca="false">IF(AND(ISNUMBER(C672),ISNUMBER(D672)),D672-C672,"N/A")</f>
        <v>-47.6</v>
      </c>
      <c r="G672" s="6" t="n">
        <f aca="false">IF(ISNUMBER(F672),F672/C672*100,"N/A")</f>
        <v>-9.40154058858385</v>
      </c>
      <c r="H672" s="3" t="str">
        <f aca="false">IF(NOT(ISNUMBER(F672)),"NO CURRENT DATA",IF(F672&gt;0,"RISEN",IF(F672&lt;0,"FALLEN","UNCHANGED")))</f>
        <v>FALLEN</v>
      </c>
      <c r="I672" s="3" t="s">
        <v>1480</v>
      </c>
      <c r="J672" s="3" t="n">
        <v>7</v>
      </c>
    </row>
    <row r="673" customFormat="false" ht="15" hidden="false" customHeight="false" outlineLevel="0" collapsed="false">
      <c r="A673" s="3" t="s">
        <v>1227</v>
      </c>
      <c r="B673" s="3" t="s">
        <v>120</v>
      </c>
      <c r="C673" s="4" t="n">
        <v>440.95</v>
      </c>
      <c r="D673" s="4" t="n">
        <v>330</v>
      </c>
      <c r="E673" s="3" t="s">
        <v>1479</v>
      </c>
      <c r="F673" s="4" t="n">
        <f aca="false">IF(AND(ISNUMBER(C673),ISNUMBER(D673)),D673-C673,"N/A")</f>
        <v>-110.95</v>
      </c>
      <c r="G673" s="6" t="n">
        <f aca="false">IF(ISNUMBER(F673),F673/C673*100,"N/A")</f>
        <v>-25.1615829459122</v>
      </c>
      <c r="H673" s="3" t="str">
        <f aca="false">IF(NOT(ISNUMBER(F673)),"NO CURRENT DATA",IF(F673&gt;0,"RISEN",IF(F673&lt;0,"FALLEN","UNCHANGED")))</f>
        <v>FALLEN</v>
      </c>
      <c r="I673" s="3" t="s">
        <v>1480</v>
      </c>
      <c r="J673" s="3" t="n">
        <v>4</v>
      </c>
    </row>
    <row r="674" customFormat="false" ht="15" hidden="false" customHeight="false" outlineLevel="0" collapsed="false">
      <c r="A674" s="3" t="s">
        <v>1227</v>
      </c>
      <c r="B674" s="3" t="s">
        <v>388</v>
      </c>
      <c r="C674" s="4" t="n">
        <v>1668.8</v>
      </c>
      <c r="D674" s="4" t="n">
        <v>1151.3</v>
      </c>
      <c r="E674" s="3" t="s">
        <v>1479</v>
      </c>
      <c r="F674" s="4" t="n">
        <f aca="false">IF(AND(ISNUMBER(C674),ISNUMBER(D674)),D674-C674,"N/A")</f>
        <v>-517.5</v>
      </c>
      <c r="G674" s="6" t="n">
        <f aca="false">IF(ISNUMBER(F674),F674/C674*100,"N/A")</f>
        <v>-31.0103068072867</v>
      </c>
      <c r="H674" s="3" t="str">
        <f aca="false">IF(NOT(ISNUMBER(F674)),"NO CURRENT DATA",IF(F674&gt;0,"RISEN",IF(F674&lt;0,"FALLEN","UNCHANGED")))</f>
        <v>FALLEN</v>
      </c>
      <c r="I674" s="3" t="s">
        <v>1487</v>
      </c>
      <c r="J674" s="3" t="n">
        <v>3</v>
      </c>
    </row>
    <row r="675" customFormat="false" ht="15" hidden="false" customHeight="false" outlineLevel="0" collapsed="false">
      <c r="A675" s="3" t="s">
        <v>1232</v>
      </c>
      <c r="B675" s="3" t="s">
        <v>664</v>
      </c>
      <c r="C675" s="4" t="n">
        <v>2152.3</v>
      </c>
      <c r="D675" s="4" t="n">
        <v>1957</v>
      </c>
      <c r="E675" s="3" t="s">
        <v>1479</v>
      </c>
      <c r="F675" s="4" t="n">
        <f aca="false">IF(AND(ISNUMBER(C675),ISNUMBER(D675)),D675-C675,"N/A")</f>
        <v>-195.3</v>
      </c>
      <c r="G675" s="6" t="n">
        <f aca="false">IF(ISNUMBER(F675),F675/C675*100,"N/A")</f>
        <v>-9.0740138456535</v>
      </c>
      <c r="H675" s="3" t="str">
        <f aca="false">IF(NOT(ISNUMBER(F675)),"NO CURRENT DATA",IF(F675&gt;0,"RISEN",IF(F675&lt;0,"FALLEN","UNCHANGED")))</f>
        <v>FALLEN</v>
      </c>
      <c r="I675" s="3" t="s">
        <v>1480</v>
      </c>
      <c r="J675" s="3" t="n">
        <v>5</v>
      </c>
    </row>
    <row r="676" customFormat="false" ht="15" hidden="false" customHeight="false" outlineLevel="0" collapsed="false">
      <c r="A676" s="3" t="s">
        <v>1234</v>
      </c>
      <c r="B676" s="3" t="s">
        <v>333</v>
      </c>
      <c r="C676" s="4" t="n">
        <v>5570</v>
      </c>
      <c r="D676" s="4" t="n">
        <v>5175</v>
      </c>
      <c r="E676" s="3" t="s">
        <v>1479</v>
      </c>
      <c r="F676" s="4" t="n">
        <f aca="false">IF(AND(ISNUMBER(C676),ISNUMBER(D676)),D676-C676,"N/A")</f>
        <v>-395</v>
      </c>
      <c r="G676" s="6" t="n">
        <f aca="false">IF(ISNUMBER(F676),F676/C676*100,"N/A")</f>
        <v>-7.09156193895871</v>
      </c>
      <c r="H676" s="3" t="str">
        <f aca="false">IF(NOT(ISNUMBER(F676)),"NO CURRENT DATA",IF(F676&gt;0,"RISEN",IF(F676&lt;0,"FALLEN","UNCHANGED")))</f>
        <v>FALLEN</v>
      </c>
      <c r="I676" s="3" t="s">
        <v>1480</v>
      </c>
      <c r="J676" s="3" t="n">
        <v>6</v>
      </c>
    </row>
    <row r="677" customFormat="false" ht="15" hidden="false" customHeight="false" outlineLevel="0" collapsed="false">
      <c r="A677" s="3" t="s">
        <v>1234</v>
      </c>
      <c r="B677" s="3" t="s">
        <v>480</v>
      </c>
      <c r="C677" s="4" t="n">
        <v>14115</v>
      </c>
      <c r="D677" s="4" t="n">
        <v>12008</v>
      </c>
      <c r="E677" s="3" t="s">
        <v>1479</v>
      </c>
      <c r="F677" s="4" t="n">
        <f aca="false">IF(AND(ISNUMBER(C677),ISNUMBER(D677)),D677-C677,"N/A")</f>
        <v>-2107</v>
      </c>
      <c r="G677" s="6" t="n">
        <f aca="false">IF(ISNUMBER(F677),F677/C677*100,"N/A")</f>
        <v>-14.9273822174991</v>
      </c>
      <c r="H677" s="3" t="str">
        <f aca="false">IF(NOT(ISNUMBER(F677)),"NO CURRENT DATA",IF(F677&gt;0,"RISEN",IF(F677&lt;0,"FALLEN","UNCHANGED")))</f>
        <v>FALLEN</v>
      </c>
      <c r="I677" s="3" t="s">
        <v>1480</v>
      </c>
      <c r="J677" s="3" t="n">
        <v>3</v>
      </c>
    </row>
    <row r="678" customFormat="false" ht="15" hidden="false" customHeight="false" outlineLevel="0" collapsed="false">
      <c r="A678" s="3" t="s">
        <v>1237</v>
      </c>
      <c r="B678" s="3" t="s">
        <v>426</v>
      </c>
      <c r="C678" s="4" t="n">
        <v>3143.6</v>
      </c>
      <c r="D678" s="4" t="n">
        <v>2831.1</v>
      </c>
      <c r="E678" s="3" t="s">
        <v>1479</v>
      </c>
      <c r="F678" s="4" t="n">
        <f aca="false">IF(AND(ISNUMBER(C678),ISNUMBER(D678)),D678-C678,"N/A")</f>
        <v>-312.5</v>
      </c>
      <c r="G678" s="6" t="n">
        <f aca="false">IF(ISNUMBER(F678),F678/C678*100,"N/A")</f>
        <v>-9.94083216694236</v>
      </c>
      <c r="H678" s="3" t="str">
        <f aca="false">IF(NOT(ISNUMBER(F678)),"NO CURRENT DATA",IF(F678&gt;0,"RISEN",IF(F678&lt;0,"FALLEN","UNCHANGED")))</f>
        <v>FALLEN</v>
      </c>
      <c r="I678" s="3" t="s">
        <v>1480</v>
      </c>
      <c r="J678" s="3" t="n">
        <v>1</v>
      </c>
    </row>
    <row r="679" customFormat="false" ht="15" hidden="false" customHeight="false" outlineLevel="0" collapsed="false">
      <c r="A679" s="3" t="s">
        <v>1237</v>
      </c>
      <c r="B679" s="3" t="s">
        <v>210</v>
      </c>
      <c r="C679" s="4" t="n">
        <v>1797.6</v>
      </c>
      <c r="D679" s="4" t="n">
        <v>1752</v>
      </c>
      <c r="E679" s="3" t="s">
        <v>1479</v>
      </c>
      <c r="F679" s="4" t="n">
        <f aca="false">IF(AND(ISNUMBER(C679),ISNUMBER(D679)),D679-C679,"N/A")</f>
        <v>-45.5999999999999</v>
      </c>
      <c r="G679" s="6" t="n">
        <f aca="false">IF(ISNUMBER(F679),F679/C679*100,"N/A")</f>
        <v>-2.53671562082777</v>
      </c>
      <c r="H679" s="3" t="str">
        <f aca="false">IF(NOT(ISNUMBER(F679)),"NO CURRENT DATA",IF(F679&gt;0,"RISEN",IF(F679&lt;0,"FALLEN","UNCHANGED")))</f>
        <v>FALLEN</v>
      </c>
      <c r="I679" s="3" t="s">
        <v>1480</v>
      </c>
      <c r="J679" s="3" t="n">
        <v>4</v>
      </c>
    </row>
    <row r="680" customFormat="false" ht="15" hidden="false" customHeight="false" outlineLevel="0" collapsed="false">
      <c r="A680" s="3" t="s">
        <v>1237</v>
      </c>
      <c r="B680" s="3" t="s">
        <v>487</v>
      </c>
      <c r="C680" s="4" t="n">
        <v>10719</v>
      </c>
      <c r="D680" s="4" t="n">
        <v>10800</v>
      </c>
      <c r="E680" s="3" t="s">
        <v>1479</v>
      </c>
      <c r="F680" s="4" t="n">
        <f aca="false">IF(AND(ISNUMBER(C680),ISNUMBER(D680)),D680-C680,"N/A")</f>
        <v>81</v>
      </c>
      <c r="G680" s="6" t="n">
        <f aca="false">IF(ISNUMBER(F680),F680/C680*100,"N/A")</f>
        <v>0.755667506297229</v>
      </c>
      <c r="H680" s="3" t="str">
        <f aca="false">IF(NOT(ISNUMBER(F680)),"NO CURRENT DATA",IF(F680&gt;0,"RISEN",IF(F680&lt;0,"FALLEN","UNCHANGED")))</f>
        <v>RISEN</v>
      </c>
      <c r="I680" s="3" t="s">
        <v>1480</v>
      </c>
      <c r="J680" s="3" t="n">
        <v>2</v>
      </c>
    </row>
    <row r="681" customFormat="false" ht="15" hidden="false" customHeight="false" outlineLevel="0" collapsed="false">
      <c r="A681" s="3" t="s">
        <v>1237</v>
      </c>
      <c r="B681" s="3" t="s">
        <v>328</v>
      </c>
      <c r="C681" s="4" t="n">
        <v>5262</v>
      </c>
      <c r="D681" s="4" t="n">
        <v>4915</v>
      </c>
      <c r="E681" s="3" t="s">
        <v>1479</v>
      </c>
      <c r="F681" s="4" t="n">
        <f aca="false">IF(AND(ISNUMBER(C681),ISNUMBER(D681)),D681-C681,"N/A")</f>
        <v>-347</v>
      </c>
      <c r="G681" s="6" t="n">
        <f aca="false">IF(ISNUMBER(F681),F681/C681*100,"N/A")</f>
        <v>-6.59445077917142</v>
      </c>
      <c r="H681" s="3" t="str">
        <f aca="false">IF(NOT(ISNUMBER(F681)),"NO CURRENT DATA",IF(F681&gt;0,"RISEN",IF(F681&lt;0,"FALLEN","UNCHANGED")))</f>
        <v>FALLEN</v>
      </c>
      <c r="I681" s="3" t="s">
        <v>1480</v>
      </c>
      <c r="J681" s="3" t="n">
        <v>5</v>
      </c>
    </row>
    <row r="682" customFormat="false" ht="15" hidden="false" customHeight="false" outlineLevel="0" collapsed="false">
      <c r="A682" s="3" t="s">
        <v>1242</v>
      </c>
      <c r="B682" s="3" t="s">
        <v>328</v>
      </c>
      <c r="C682" s="4" t="n">
        <v>5374</v>
      </c>
      <c r="D682" s="4" t="n">
        <v>4915</v>
      </c>
      <c r="E682" s="3" t="s">
        <v>1479</v>
      </c>
      <c r="F682" s="4" t="n">
        <f aca="false">IF(AND(ISNUMBER(C682),ISNUMBER(D682)),D682-C682,"N/A")</f>
        <v>-459</v>
      </c>
      <c r="G682" s="6" t="n">
        <f aca="false">IF(ISNUMBER(F682),F682/C682*100,"N/A")</f>
        <v>-8.54112393003349</v>
      </c>
      <c r="H682" s="3" t="str">
        <f aca="false">IF(NOT(ISNUMBER(F682)),"NO CURRENT DATA",IF(F682&gt;0,"RISEN",IF(F682&lt;0,"FALLEN","UNCHANGED")))</f>
        <v>FALLEN</v>
      </c>
      <c r="I682" s="3" t="s">
        <v>1480</v>
      </c>
      <c r="J682" s="3" t="n">
        <v>5</v>
      </c>
    </row>
    <row r="683" customFormat="false" ht="15" hidden="false" customHeight="false" outlineLevel="0" collapsed="false">
      <c r="A683" s="3" t="s">
        <v>1242</v>
      </c>
      <c r="B683" s="3" t="s">
        <v>130</v>
      </c>
      <c r="C683" s="4" t="n">
        <v>798.15</v>
      </c>
      <c r="D683" s="4" t="n">
        <v>691.55</v>
      </c>
      <c r="E683" s="3" t="s">
        <v>1479</v>
      </c>
      <c r="F683" s="4" t="n">
        <f aca="false">IF(AND(ISNUMBER(C683),ISNUMBER(D683)),D683-C683,"N/A")</f>
        <v>-106.6</v>
      </c>
      <c r="G683" s="6" t="n">
        <f aca="false">IF(ISNUMBER(F683),F683/C683*100,"N/A")</f>
        <v>-13.3558854851845</v>
      </c>
      <c r="H683" s="3" t="str">
        <f aca="false">IF(NOT(ISNUMBER(F683)),"NO CURRENT DATA",IF(F683&gt;0,"RISEN",IF(F683&lt;0,"FALLEN","UNCHANGED")))</f>
        <v>FALLEN</v>
      </c>
      <c r="I683" s="3" t="s">
        <v>1480</v>
      </c>
      <c r="J683" s="3" t="n">
        <v>3</v>
      </c>
    </row>
    <row r="684" customFormat="false" ht="15" hidden="false" customHeight="false" outlineLevel="0" collapsed="false">
      <c r="A684" s="3" t="s">
        <v>1242</v>
      </c>
      <c r="B684" s="3" t="s">
        <v>493</v>
      </c>
      <c r="C684" s="4" t="n">
        <v>447</v>
      </c>
      <c r="D684" s="4" t="n">
        <v>385.75</v>
      </c>
      <c r="E684" s="3" t="s">
        <v>1479</v>
      </c>
      <c r="F684" s="4" t="n">
        <f aca="false">IF(AND(ISNUMBER(C684),ISNUMBER(D684)),D684-C684,"N/A")</f>
        <v>-61.25</v>
      </c>
      <c r="G684" s="6" t="n">
        <f aca="false">IF(ISNUMBER(F684),F684/C684*100,"N/A")</f>
        <v>-13.7024608501119</v>
      </c>
      <c r="H684" s="3" t="str">
        <f aca="false">IF(NOT(ISNUMBER(F684)),"NO CURRENT DATA",IF(F684&gt;0,"RISEN",IF(F684&lt;0,"FALLEN","UNCHANGED")))</f>
        <v>FALLEN</v>
      </c>
      <c r="I684" s="3" t="s">
        <v>1480</v>
      </c>
      <c r="J684" s="3" t="n">
        <v>2</v>
      </c>
    </row>
    <row r="685" customFormat="false" ht="15" hidden="false" customHeight="false" outlineLevel="0" collapsed="false">
      <c r="A685" s="3" t="s">
        <v>1242</v>
      </c>
      <c r="B685" s="3" t="s">
        <v>96</v>
      </c>
      <c r="C685" s="4" t="n">
        <v>509.3</v>
      </c>
      <c r="D685" s="4" t="n">
        <v>407.5</v>
      </c>
      <c r="E685" s="3" t="s">
        <v>1479</v>
      </c>
      <c r="F685" s="4" t="n">
        <f aca="false">IF(AND(ISNUMBER(C685),ISNUMBER(D685)),D685-C685,"N/A")</f>
        <v>-101.8</v>
      </c>
      <c r="G685" s="6" t="n">
        <f aca="false">IF(ISNUMBER(F685),F685/C685*100,"N/A")</f>
        <v>-19.9882191242882</v>
      </c>
      <c r="H685" s="3" t="str">
        <f aca="false">IF(NOT(ISNUMBER(F685)),"NO CURRENT DATA",IF(F685&gt;0,"RISEN",IF(F685&lt;0,"FALLEN","UNCHANGED")))</f>
        <v>FALLEN</v>
      </c>
      <c r="I685" s="3" t="s">
        <v>1480</v>
      </c>
      <c r="J685" s="3" t="n">
        <v>10</v>
      </c>
    </row>
    <row r="686" customFormat="false" ht="15" hidden="false" customHeight="false" outlineLevel="0" collapsed="false">
      <c r="A686" s="3" t="s">
        <v>1242</v>
      </c>
      <c r="B686" s="3" t="s">
        <v>254</v>
      </c>
      <c r="C686" s="4" t="n">
        <v>658.2</v>
      </c>
      <c r="D686" s="4" t="n">
        <v>663.55</v>
      </c>
      <c r="E686" s="3" t="s">
        <v>1479</v>
      </c>
      <c r="F686" s="4" t="n">
        <f aca="false">IF(AND(ISNUMBER(C686),ISNUMBER(D686)),D686-C686,"N/A")</f>
        <v>5.34999999999991</v>
      </c>
      <c r="G686" s="6" t="n">
        <f aca="false">IF(ISNUMBER(F686),F686/C686*100,"N/A")</f>
        <v>0.812822850197495</v>
      </c>
      <c r="H686" s="3" t="str">
        <f aca="false">IF(NOT(ISNUMBER(F686)),"NO CURRENT DATA",IF(F686&gt;0,"RISEN",IF(F686&lt;0,"FALLEN","UNCHANGED")))</f>
        <v>RISEN</v>
      </c>
      <c r="I686" s="3" t="s">
        <v>1480</v>
      </c>
      <c r="J686" s="3" t="n">
        <v>4</v>
      </c>
    </row>
    <row r="687" customFormat="false" ht="15" hidden="false" customHeight="false" outlineLevel="0" collapsed="false">
      <c r="A687" s="3" t="s">
        <v>1242</v>
      </c>
      <c r="B687" s="3" t="s">
        <v>245</v>
      </c>
      <c r="C687" s="4" t="n">
        <v>2210.6</v>
      </c>
      <c r="D687" s="4" t="n">
        <v>1896</v>
      </c>
      <c r="E687" s="3" t="s">
        <v>1479</v>
      </c>
      <c r="F687" s="4" t="n">
        <f aca="false">IF(AND(ISNUMBER(C687),ISNUMBER(D687)),D687-C687,"N/A")</f>
        <v>-314.6</v>
      </c>
      <c r="G687" s="6" t="n">
        <f aca="false">IF(ISNUMBER(F687),F687/C687*100,"N/A")</f>
        <v>-14.2314303808921</v>
      </c>
      <c r="H687" s="3" t="str">
        <f aca="false">IF(NOT(ISNUMBER(F687)),"NO CURRENT DATA",IF(F687&gt;0,"RISEN",IF(F687&lt;0,"FALLEN","UNCHANGED")))</f>
        <v>FALLEN</v>
      </c>
      <c r="I687" s="3" t="s">
        <v>1480</v>
      </c>
      <c r="J687" s="3" t="n">
        <v>4</v>
      </c>
    </row>
    <row r="688" customFormat="false" ht="15" hidden="false" customHeight="false" outlineLevel="0" collapsed="false">
      <c r="A688" s="3" t="s">
        <v>1242</v>
      </c>
      <c r="B688" s="3" t="s">
        <v>136</v>
      </c>
      <c r="C688" s="4" t="n">
        <v>141.62</v>
      </c>
      <c r="D688" s="4" t="n">
        <v>133.32</v>
      </c>
      <c r="E688" s="3" t="s">
        <v>1479</v>
      </c>
      <c r="F688" s="4" t="n">
        <f aca="false">IF(AND(ISNUMBER(C688),ISNUMBER(D688)),D688-C688,"N/A")</f>
        <v>-8.30000000000001</v>
      </c>
      <c r="G688" s="6" t="n">
        <f aca="false">IF(ISNUMBER(F688),F688/C688*100,"N/A")</f>
        <v>-5.8607541307725</v>
      </c>
      <c r="H688" s="3" t="str">
        <f aca="false">IF(NOT(ISNUMBER(F688)),"NO CURRENT DATA",IF(F688&gt;0,"RISEN",IF(F688&lt;0,"FALLEN","UNCHANGED")))</f>
        <v>FALLEN</v>
      </c>
      <c r="I688" s="3" t="s">
        <v>1480</v>
      </c>
      <c r="J688" s="3" t="n">
        <v>12</v>
      </c>
    </row>
    <row r="689" customFormat="false" ht="15" hidden="false" customHeight="false" outlineLevel="0" collapsed="false">
      <c r="A689" s="3" t="s">
        <v>1242</v>
      </c>
      <c r="B689" s="3" t="s">
        <v>142</v>
      </c>
      <c r="C689" s="4" t="n">
        <v>1107.2</v>
      </c>
      <c r="D689" s="4" t="n">
        <v>960</v>
      </c>
      <c r="E689" s="3" t="s">
        <v>1479</v>
      </c>
      <c r="F689" s="4" t="n">
        <f aca="false">IF(AND(ISNUMBER(C689),ISNUMBER(D689)),D689-C689,"N/A")</f>
        <v>-147.2</v>
      </c>
      <c r="G689" s="6" t="n">
        <f aca="false">IF(ISNUMBER(F689),F689/C689*100,"N/A")</f>
        <v>-13.2947976878613</v>
      </c>
      <c r="H689" s="3" t="str">
        <f aca="false">IF(NOT(ISNUMBER(F689)),"NO CURRENT DATA",IF(F689&gt;0,"RISEN",IF(F689&lt;0,"FALLEN","UNCHANGED")))</f>
        <v>FALLEN</v>
      </c>
      <c r="I689" s="3" t="s">
        <v>1480</v>
      </c>
      <c r="J689" s="3" t="n">
        <v>6</v>
      </c>
    </row>
    <row r="690" customFormat="false" ht="15" hidden="false" customHeight="false" outlineLevel="0" collapsed="false">
      <c r="A690" s="3" t="s">
        <v>1251</v>
      </c>
      <c r="B690" s="3" t="s">
        <v>333</v>
      </c>
      <c r="C690" s="4" t="n">
        <v>5562.5</v>
      </c>
      <c r="D690" s="4" t="n">
        <v>5175</v>
      </c>
      <c r="E690" s="3" t="s">
        <v>1479</v>
      </c>
      <c r="F690" s="4" t="n">
        <f aca="false">IF(AND(ISNUMBER(C690),ISNUMBER(D690)),D690-C690,"N/A")</f>
        <v>-387.5</v>
      </c>
      <c r="G690" s="6" t="n">
        <f aca="false">IF(ISNUMBER(F690),F690/C690*100,"N/A")</f>
        <v>-6.96629213483146</v>
      </c>
      <c r="H690" s="3" t="str">
        <f aca="false">IF(NOT(ISNUMBER(F690)),"NO CURRENT DATA",IF(F690&gt;0,"RISEN",IF(F690&lt;0,"FALLEN","UNCHANGED")))</f>
        <v>FALLEN</v>
      </c>
      <c r="I690" s="3" t="s">
        <v>1480</v>
      </c>
      <c r="J690" s="3" t="n">
        <v>7</v>
      </c>
    </row>
    <row r="691" customFormat="false" ht="15" hidden="false" customHeight="false" outlineLevel="0" collapsed="false">
      <c r="A691" s="3" t="s">
        <v>1251</v>
      </c>
      <c r="B691" s="3" t="s">
        <v>199</v>
      </c>
      <c r="C691" s="4" t="n">
        <v>426.8</v>
      </c>
      <c r="D691" s="4" t="n">
        <v>374.9</v>
      </c>
      <c r="E691" s="3" t="s">
        <v>1479</v>
      </c>
      <c r="F691" s="4" t="n">
        <f aca="false">IF(AND(ISNUMBER(C691),ISNUMBER(D691)),D691-C691,"N/A")</f>
        <v>-51.9</v>
      </c>
      <c r="G691" s="6" t="n">
        <f aca="false">IF(ISNUMBER(F691),F691/C691*100,"N/A")</f>
        <v>-12.1602624179944</v>
      </c>
      <c r="H691" s="3" t="str">
        <f aca="false">IF(NOT(ISNUMBER(F691)),"NO CURRENT DATA",IF(F691&gt;0,"RISEN",IF(F691&lt;0,"FALLEN","UNCHANGED")))</f>
        <v>FALLEN</v>
      </c>
      <c r="I691" s="3" t="s">
        <v>1480</v>
      </c>
      <c r="J691" s="3" t="n">
        <v>9</v>
      </c>
    </row>
    <row r="692" customFormat="false" ht="15" hidden="false" customHeight="false" outlineLevel="0" collapsed="false">
      <c r="A692" s="3" t="s">
        <v>1251</v>
      </c>
      <c r="B692" s="3" t="s">
        <v>254</v>
      </c>
      <c r="C692" s="4" t="n">
        <v>675.9</v>
      </c>
      <c r="D692" s="4" t="n">
        <v>663.55</v>
      </c>
      <c r="E692" s="3" t="s">
        <v>1479</v>
      </c>
      <c r="F692" s="4" t="n">
        <f aca="false">IF(AND(ISNUMBER(C692),ISNUMBER(D692)),D692-C692,"N/A")</f>
        <v>-12.35</v>
      </c>
      <c r="G692" s="6" t="n">
        <f aca="false">IF(ISNUMBER(F692),F692/C692*100,"N/A")</f>
        <v>-1.82719337180057</v>
      </c>
      <c r="H692" s="3" t="str">
        <f aca="false">IF(NOT(ISNUMBER(F692)),"NO CURRENT DATA",IF(F692&gt;0,"RISEN",IF(F692&lt;0,"FALLEN","UNCHANGED")))</f>
        <v>FALLEN</v>
      </c>
      <c r="I692" s="3" t="s">
        <v>1480</v>
      </c>
      <c r="J692" s="3" t="n">
        <v>4</v>
      </c>
    </row>
    <row r="693" customFormat="false" ht="15" hidden="false" customHeight="false" outlineLevel="0" collapsed="false">
      <c r="A693" s="3" t="s">
        <v>1251</v>
      </c>
      <c r="B693" s="3" t="s">
        <v>203</v>
      </c>
      <c r="C693" s="4" t="n">
        <v>1542.3</v>
      </c>
      <c r="D693" s="4" t="n">
        <v>2010.7</v>
      </c>
      <c r="E693" s="3" t="s">
        <v>1479</v>
      </c>
      <c r="F693" s="4" t="n">
        <f aca="false">IF(AND(ISNUMBER(C693),ISNUMBER(D693)),D693-C693,"N/A")</f>
        <v>468.4</v>
      </c>
      <c r="G693" s="6" t="n">
        <f aca="false">IF(ISNUMBER(F693),F693/C693*100,"N/A")</f>
        <v>30.3702262854179</v>
      </c>
      <c r="H693" s="3" t="str">
        <f aca="false">IF(NOT(ISNUMBER(F693)),"NO CURRENT DATA",IF(F693&gt;0,"RISEN",IF(F693&lt;0,"FALLEN","UNCHANGED")))</f>
        <v>RISEN</v>
      </c>
      <c r="I693" s="3" t="s">
        <v>1480</v>
      </c>
      <c r="J693" s="3" t="n">
        <v>4</v>
      </c>
    </row>
    <row r="694" customFormat="false" ht="15" hidden="false" customHeight="false" outlineLevel="0" collapsed="false">
      <c r="A694" s="3" t="s">
        <v>1251</v>
      </c>
      <c r="B694" s="3" t="s">
        <v>237</v>
      </c>
      <c r="C694" s="4" t="n">
        <v>2047.6</v>
      </c>
      <c r="D694" s="4" t="n">
        <v>1952.2</v>
      </c>
      <c r="E694" s="3" t="s">
        <v>1479</v>
      </c>
      <c r="F694" s="4" t="n">
        <f aca="false">IF(AND(ISNUMBER(C694),ISNUMBER(D694)),D694-C694,"N/A")</f>
        <v>-95.3999999999999</v>
      </c>
      <c r="G694" s="6" t="n">
        <f aca="false">IF(ISNUMBER(F694),F694/C694*100,"N/A")</f>
        <v>-4.65911310802891</v>
      </c>
      <c r="H694" s="3" t="str">
        <f aca="false">IF(NOT(ISNUMBER(F694)),"NO CURRENT DATA",IF(F694&gt;0,"RISEN",IF(F694&lt;0,"FALLEN","UNCHANGED")))</f>
        <v>FALLEN</v>
      </c>
      <c r="I694" s="3" t="s">
        <v>1480</v>
      </c>
      <c r="J694" s="3" t="n">
        <v>8</v>
      </c>
    </row>
    <row r="695" customFormat="false" ht="15" hidden="false" customHeight="false" outlineLevel="0" collapsed="false">
      <c r="A695" s="3" t="s">
        <v>1251</v>
      </c>
      <c r="B695" s="3" t="s">
        <v>441</v>
      </c>
      <c r="C695" s="4" t="n">
        <v>1064.4</v>
      </c>
      <c r="D695" s="4" t="n">
        <v>1085</v>
      </c>
      <c r="E695" s="3" t="s">
        <v>1479</v>
      </c>
      <c r="F695" s="4" t="n">
        <f aca="false">IF(AND(ISNUMBER(C695),ISNUMBER(D695)),D695-C695,"N/A")</f>
        <v>20.5999999999999</v>
      </c>
      <c r="G695" s="6" t="n">
        <f aca="false">IF(ISNUMBER(F695),F695/C695*100,"N/A")</f>
        <v>1.93536264562194</v>
      </c>
      <c r="H695" s="3" t="str">
        <f aca="false">IF(NOT(ISNUMBER(F695)),"NO CURRENT DATA",IF(F695&gt;0,"RISEN",IF(F695&lt;0,"FALLEN","UNCHANGED")))</f>
        <v>RISEN</v>
      </c>
      <c r="I695" s="3" t="s">
        <v>1480</v>
      </c>
      <c r="J695" s="3" t="n">
        <v>5</v>
      </c>
    </row>
    <row r="696" customFormat="false" ht="15" hidden="false" customHeight="false" outlineLevel="0" collapsed="false">
      <c r="A696" s="3" t="s">
        <v>1251</v>
      </c>
      <c r="B696" s="3" t="s">
        <v>1258</v>
      </c>
      <c r="C696" s="4" t="n">
        <v>1140.6</v>
      </c>
      <c r="D696" s="4" t="n">
        <v>1215</v>
      </c>
      <c r="E696" s="3" t="s">
        <v>1479</v>
      </c>
      <c r="F696" s="4" t="n">
        <f aca="false">IF(AND(ISNUMBER(C696),ISNUMBER(D696)),D696-C696,"N/A")</f>
        <v>74.4000000000001</v>
      </c>
      <c r="G696" s="6" t="n">
        <f aca="false">IF(ISNUMBER(F696),F696/C696*100,"N/A")</f>
        <v>6.52288269331931</v>
      </c>
      <c r="H696" s="3" t="str">
        <f aca="false">IF(NOT(ISNUMBER(F696)),"NO CURRENT DATA",IF(F696&gt;0,"RISEN",IF(F696&lt;0,"FALLEN","UNCHANGED")))</f>
        <v>RISEN</v>
      </c>
      <c r="I696" s="3" t="s">
        <v>1480</v>
      </c>
      <c r="J696" s="3" t="n">
        <v>0</v>
      </c>
    </row>
    <row r="697" customFormat="false" ht="15" hidden="false" customHeight="false" outlineLevel="0" collapsed="false">
      <c r="A697" s="3" t="s">
        <v>1261</v>
      </c>
      <c r="B697" s="3" t="s">
        <v>396</v>
      </c>
      <c r="C697" s="4" t="n">
        <v>1061.4</v>
      </c>
      <c r="D697" s="4" t="n">
        <v>995.3</v>
      </c>
      <c r="E697" s="3" t="s">
        <v>1479</v>
      </c>
      <c r="F697" s="4" t="n">
        <f aca="false">IF(AND(ISNUMBER(C697),ISNUMBER(D697)),D697-C697,"N/A")</f>
        <v>-66.1000000000001</v>
      </c>
      <c r="G697" s="6" t="n">
        <f aca="false">IF(ISNUMBER(F697),F697/C697*100,"N/A")</f>
        <v>-6.22762389297156</v>
      </c>
      <c r="H697" s="3" t="str">
        <f aca="false">IF(NOT(ISNUMBER(F697)),"NO CURRENT DATA",IF(F697&gt;0,"RISEN",IF(F697&lt;0,"FALLEN","UNCHANGED")))</f>
        <v>FALLEN</v>
      </c>
      <c r="I697" s="3" t="s">
        <v>1480</v>
      </c>
      <c r="J697" s="3" t="n">
        <v>4</v>
      </c>
    </row>
    <row r="698" customFormat="false" ht="15" hidden="false" customHeight="false" outlineLevel="0" collapsed="false">
      <c r="A698" s="3" t="s">
        <v>1261</v>
      </c>
      <c r="B698" s="3" t="s">
        <v>319</v>
      </c>
      <c r="C698" s="4" t="n">
        <v>1850.5</v>
      </c>
      <c r="D698" s="4" t="n">
        <v>1634.2</v>
      </c>
      <c r="E698" s="3" t="s">
        <v>1479</v>
      </c>
      <c r="F698" s="4" t="n">
        <f aca="false">IF(AND(ISNUMBER(C698),ISNUMBER(D698)),D698-C698,"N/A")</f>
        <v>-216.3</v>
      </c>
      <c r="G698" s="6" t="n">
        <f aca="false">IF(ISNUMBER(F698),F698/C698*100,"N/A")</f>
        <v>-11.6887327749257</v>
      </c>
      <c r="H698" s="3" t="str">
        <f aca="false">IF(NOT(ISNUMBER(F698)),"NO CURRENT DATA",IF(F698&gt;0,"RISEN",IF(F698&lt;0,"FALLEN","UNCHANGED")))</f>
        <v>FALLEN</v>
      </c>
      <c r="I698" s="3" t="s">
        <v>1480</v>
      </c>
      <c r="J698" s="3" t="n">
        <v>5</v>
      </c>
    </row>
    <row r="699" customFormat="false" ht="15" hidden="false" customHeight="false" outlineLevel="0" collapsed="false">
      <c r="A699" s="3" t="s">
        <v>1261</v>
      </c>
      <c r="B699" s="3" t="s">
        <v>152</v>
      </c>
      <c r="C699" s="4" t="n">
        <v>1095.9</v>
      </c>
      <c r="D699" s="4" t="n">
        <v>1117.1</v>
      </c>
      <c r="E699" s="3" t="s">
        <v>1479</v>
      </c>
      <c r="F699" s="4" t="n">
        <f aca="false">IF(AND(ISNUMBER(C699),ISNUMBER(D699)),D699-C699,"N/A")</f>
        <v>21.1999999999998</v>
      </c>
      <c r="G699" s="6" t="n">
        <f aca="false">IF(ISNUMBER(F699),F699/C699*100,"N/A")</f>
        <v>1.93448307327309</v>
      </c>
      <c r="H699" s="3" t="str">
        <f aca="false">IF(NOT(ISNUMBER(F699)),"NO CURRENT DATA",IF(F699&gt;0,"RISEN",IF(F699&lt;0,"FALLEN","UNCHANGED")))</f>
        <v>RISEN</v>
      </c>
      <c r="I699" s="3" t="s">
        <v>1480</v>
      </c>
      <c r="J699" s="3" t="n">
        <v>5</v>
      </c>
    </row>
    <row r="700" customFormat="false" ht="15" hidden="false" customHeight="false" outlineLevel="0" collapsed="false">
      <c r="A700" s="3" t="s">
        <v>1261</v>
      </c>
      <c r="B700" s="3" t="s">
        <v>541</v>
      </c>
      <c r="C700" s="4" t="n">
        <v>3137.6</v>
      </c>
      <c r="D700" s="4" t="n">
        <v>2760</v>
      </c>
      <c r="E700" s="3" t="s">
        <v>1479</v>
      </c>
      <c r="F700" s="4" t="n">
        <f aca="false">IF(AND(ISNUMBER(C700),ISNUMBER(D700)),D700-C700,"N/A")</f>
        <v>-377.6</v>
      </c>
      <c r="G700" s="6" t="n">
        <f aca="false">IF(ISNUMBER(F700),F700/C700*100,"N/A")</f>
        <v>-12.0346761856196</v>
      </c>
      <c r="H700" s="3" t="str">
        <f aca="false">IF(NOT(ISNUMBER(F700)),"NO CURRENT DATA",IF(F700&gt;0,"RISEN",IF(F700&lt;0,"FALLEN","UNCHANGED")))</f>
        <v>FALLEN</v>
      </c>
      <c r="I700" s="3" t="s">
        <v>1480</v>
      </c>
      <c r="J700" s="3" t="n">
        <v>4</v>
      </c>
    </row>
    <row r="701" customFormat="false" ht="15" hidden="false" customHeight="false" outlineLevel="0" collapsed="false">
      <c r="A701" s="3" t="s">
        <v>1261</v>
      </c>
      <c r="B701" s="3" t="s">
        <v>1142</v>
      </c>
      <c r="C701" s="4" t="n">
        <v>1953.4</v>
      </c>
      <c r="D701" s="4" t="n">
        <v>1830</v>
      </c>
      <c r="E701" s="3" t="s">
        <v>1479</v>
      </c>
      <c r="F701" s="4" t="n">
        <f aca="false">IF(AND(ISNUMBER(C701),ISNUMBER(D701)),D701-C701,"N/A")</f>
        <v>-123.4</v>
      </c>
      <c r="G701" s="6" t="n">
        <f aca="false">IF(ISNUMBER(F701),F701/C701*100,"N/A")</f>
        <v>-6.31719053957203</v>
      </c>
      <c r="H701" s="3" t="str">
        <f aca="false">IF(NOT(ISNUMBER(F701)),"NO CURRENT DATA",IF(F701&gt;0,"RISEN",IF(F701&lt;0,"FALLEN","UNCHANGED")))</f>
        <v>FALLEN</v>
      </c>
      <c r="I701" s="3" t="s">
        <v>1480</v>
      </c>
      <c r="J701" s="3" t="n">
        <v>2</v>
      </c>
    </row>
    <row r="702" customFormat="false" ht="15" hidden="false" customHeight="false" outlineLevel="0" collapsed="false">
      <c r="A702" s="3" t="s">
        <v>1261</v>
      </c>
      <c r="B702" s="3" t="s">
        <v>619</v>
      </c>
      <c r="C702" s="4" t="n">
        <v>243.9</v>
      </c>
      <c r="D702" s="4" t="n">
        <v>230</v>
      </c>
      <c r="E702" s="3" t="s">
        <v>1479</v>
      </c>
      <c r="F702" s="4" t="n">
        <f aca="false">IF(AND(ISNUMBER(C702),ISNUMBER(D702)),D702-C702,"N/A")</f>
        <v>-13.9</v>
      </c>
      <c r="G702" s="6" t="n">
        <f aca="false">IF(ISNUMBER(F702),F702/C702*100,"N/A")</f>
        <v>-5.69905699056991</v>
      </c>
      <c r="H702" s="3" t="str">
        <f aca="false">IF(NOT(ISNUMBER(F702)),"NO CURRENT DATA",IF(F702&gt;0,"RISEN",IF(F702&lt;0,"FALLEN","UNCHANGED")))</f>
        <v>FALLEN</v>
      </c>
      <c r="I702" s="3" t="s">
        <v>1480</v>
      </c>
      <c r="J702" s="3" t="n">
        <v>1</v>
      </c>
    </row>
    <row r="703" customFormat="false" ht="15" hidden="false" customHeight="false" outlineLevel="0" collapsed="false">
      <c r="A703" s="3" t="s">
        <v>1261</v>
      </c>
      <c r="B703" s="3" t="s">
        <v>984</v>
      </c>
      <c r="C703" s="4" t="n">
        <v>1427.3</v>
      </c>
      <c r="D703" s="4" t="n">
        <v>1415.4</v>
      </c>
      <c r="E703" s="3" t="s">
        <v>1479</v>
      </c>
      <c r="F703" s="4" t="n">
        <f aca="false">IF(AND(ISNUMBER(C703),ISNUMBER(D703)),D703-C703,"N/A")</f>
        <v>-11.8999999999999</v>
      </c>
      <c r="G703" s="6" t="n">
        <f aca="false">IF(ISNUMBER(F703),F703/C703*100,"N/A")</f>
        <v>-0.833742030407053</v>
      </c>
      <c r="H703" s="3" t="str">
        <f aca="false">IF(NOT(ISNUMBER(F703)),"NO CURRENT DATA",IF(F703&gt;0,"RISEN",IF(F703&lt;0,"FALLEN","UNCHANGED")))</f>
        <v>FALLEN</v>
      </c>
      <c r="I703" s="3" t="s">
        <v>1480</v>
      </c>
      <c r="J703" s="3" t="n">
        <v>1</v>
      </c>
    </row>
    <row r="704" customFormat="false" ht="15" hidden="false" customHeight="false" outlineLevel="0" collapsed="false">
      <c r="A704" s="3" t="s">
        <v>1269</v>
      </c>
      <c r="B704" s="3" t="s">
        <v>333</v>
      </c>
      <c r="C704" s="4" t="n">
        <v>5667.5</v>
      </c>
      <c r="D704" s="4" t="n">
        <v>5175</v>
      </c>
      <c r="E704" s="3" t="s">
        <v>1479</v>
      </c>
      <c r="F704" s="4" t="n">
        <f aca="false">IF(AND(ISNUMBER(C704),ISNUMBER(D704)),D704-C704,"N/A")</f>
        <v>-492.5</v>
      </c>
      <c r="G704" s="6" t="n">
        <f aca="false">IF(ISNUMBER(F704),F704/C704*100,"N/A")</f>
        <v>-8.68989854433172</v>
      </c>
      <c r="H704" s="3" t="str">
        <f aca="false">IF(NOT(ISNUMBER(F704)),"NO CURRENT DATA",IF(F704&gt;0,"RISEN",IF(F704&lt;0,"FALLEN","UNCHANGED")))</f>
        <v>FALLEN</v>
      </c>
      <c r="I704" s="3" t="s">
        <v>1480</v>
      </c>
      <c r="J704" s="3" t="n">
        <v>8</v>
      </c>
    </row>
    <row r="705" customFormat="false" ht="15" hidden="false" customHeight="false" outlineLevel="0" collapsed="false">
      <c r="A705" s="3" t="s">
        <v>1269</v>
      </c>
      <c r="B705" s="3" t="s">
        <v>245</v>
      </c>
      <c r="C705" s="4" t="n">
        <v>2208.8</v>
      </c>
      <c r="D705" s="4" t="n">
        <v>1896</v>
      </c>
      <c r="E705" s="3" t="s">
        <v>1479</v>
      </c>
      <c r="F705" s="4" t="n">
        <f aca="false">IF(AND(ISNUMBER(C705),ISNUMBER(D705)),D705-C705,"N/A")</f>
        <v>-312.8</v>
      </c>
      <c r="G705" s="6" t="n">
        <f aca="false">IF(ISNUMBER(F705),F705/C705*100,"N/A")</f>
        <v>-14.1615356754799</v>
      </c>
      <c r="H705" s="3" t="str">
        <f aca="false">IF(NOT(ISNUMBER(F705)),"NO CURRENT DATA",IF(F705&gt;0,"RISEN",IF(F705&lt;0,"FALLEN","UNCHANGED")))</f>
        <v>FALLEN</v>
      </c>
      <c r="I705" s="3" t="s">
        <v>1480</v>
      </c>
      <c r="J705" s="3" t="n">
        <v>5</v>
      </c>
    </row>
    <row r="706" customFormat="false" ht="15" hidden="false" customHeight="false" outlineLevel="0" collapsed="false">
      <c r="A706" s="3" t="s">
        <v>1269</v>
      </c>
      <c r="B706" s="3" t="s">
        <v>136</v>
      </c>
      <c r="C706" s="4" t="n">
        <v>142.18</v>
      </c>
      <c r="D706" s="4" t="n">
        <v>133.32</v>
      </c>
      <c r="E706" s="3" t="s">
        <v>1479</v>
      </c>
      <c r="F706" s="4" t="n">
        <f aca="false">IF(AND(ISNUMBER(C706),ISNUMBER(D706)),D706-C706,"N/A")</f>
        <v>-8.86000000000001</v>
      </c>
      <c r="G706" s="6" t="n">
        <f aca="false">IF(ISNUMBER(F706),F706/C706*100,"N/A")</f>
        <v>-6.23153748769167</v>
      </c>
      <c r="H706" s="3" t="str">
        <f aca="false">IF(NOT(ISNUMBER(F706)),"NO CURRENT DATA",IF(F706&gt;0,"RISEN",IF(F706&lt;0,"FALLEN","UNCHANGED")))</f>
        <v>FALLEN</v>
      </c>
      <c r="I706" s="3" t="s">
        <v>1480</v>
      </c>
      <c r="J706" s="3" t="n">
        <v>13</v>
      </c>
    </row>
    <row r="707" customFormat="false" ht="15" hidden="false" customHeight="false" outlineLevel="0" collapsed="false">
      <c r="A707" s="3" t="s">
        <v>1269</v>
      </c>
      <c r="B707" s="3" t="s">
        <v>117</v>
      </c>
      <c r="C707" s="4" t="n">
        <v>279.6</v>
      </c>
      <c r="D707" s="4" t="n">
        <v>289.85</v>
      </c>
      <c r="E707" s="3" t="s">
        <v>1479</v>
      </c>
      <c r="F707" s="4" t="n">
        <f aca="false">IF(AND(ISNUMBER(C707),ISNUMBER(D707)),D707-C707,"N/A")</f>
        <v>10.25</v>
      </c>
      <c r="G707" s="6" t="n">
        <f aca="false">IF(ISNUMBER(F707),F707/C707*100,"N/A")</f>
        <v>3.66595135908441</v>
      </c>
      <c r="H707" s="3" t="str">
        <f aca="false">IF(NOT(ISNUMBER(F707)),"NO CURRENT DATA",IF(F707&gt;0,"RISEN",IF(F707&lt;0,"FALLEN","UNCHANGED")))</f>
        <v>RISEN</v>
      </c>
      <c r="I707" s="3" t="s">
        <v>1480</v>
      </c>
      <c r="J707" s="3" t="n">
        <v>4</v>
      </c>
    </row>
    <row r="708" customFormat="false" ht="15" hidden="false" customHeight="false" outlineLevel="0" collapsed="false">
      <c r="A708" s="3" t="s">
        <v>1269</v>
      </c>
      <c r="B708" s="3" t="s">
        <v>159</v>
      </c>
      <c r="C708" s="4" t="n">
        <v>1288</v>
      </c>
      <c r="D708" s="4" t="n">
        <v>1135.5</v>
      </c>
      <c r="E708" s="3" t="s">
        <v>1479</v>
      </c>
      <c r="F708" s="4" t="n">
        <f aca="false">IF(AND(ISNUMBER(C708),ISNUMBER(D708)),D708-C708,"N/A")</f>
        <v>-152.5</v>
      </c>
      <c r="G708" s="6" t="n">
        <f aca="false">IF(ISNUMBER(F708),F708/C708*100,"N/A")</f>
        <v>-11.8400621118012</v>
      </c>
      <c r="H708" s="3" t="str">
        <f aca="false">IF(NOT(ISNUMBER(F708)),"NO CURRENT DATA",IF(F708&gt;0,"RISEN",IF(F708&lt;0,"FALLEN","UNCHANGED")))</f>
        <v>FALLEN</v>
      </c>
      <c r="I708" s="3" t="s">
        <v>1480</v>
      </c>
      <c r="J708" s="3" t="n">
        <v>2</v>
      </c>
    </row>
    <row r="709" customFormat="false" ht="15" hidden="false" customHeight="false" outlineLevel="0" collapsed="false">
      <c r="A709" s="3" t="s">
        <v>1275</v>
      </c>
      <c r="B709" s="3" t="s">
        <v>74</v>
      </c>
      <c r="C709" s="4" t="n">
        <v>1804.2</v>
      </c>
      <c r="D709" s="4" t="n">
        <v>1540</v>
      </c>
      <c r="E709" s="3" t="s">
        <v>1479</v>
      </c>
      <c r="F709" s="4" t="n">
        <f aca="false">IF(AND(ISNUMBER(C709),ISNUMBER(D709)),D709-C709,"N/A")</f>
        <v>-264.2</v>
      </c>
      <c r="G709" s="6" t="n">
        <f aca="false">IF(ISNUMBER(F709),F709/C709*100,"N/A")</f>
        <v>-14.6436093559472</v>
      </c>
      <c r="H709" s="3" t="str">
        <f aca="false">IF(NOT(ISNUMBER(F709)),"NO CURRENT DATA",IF(F709&gt;0,"RISEN",IF(F709&lt;0,"FALLEN","UNCHANGED")))</f>
        <v>FALLEN</v>
      </c>
      <c r="I709" s="3" t="s">
        <v>1480</v>
      </c>
      <c r="J709" s="3" t="n">
        <v>4</v>
      </c>
    </row>
    <row r="710" customFormat="false" ht="15" hidden="false" customHeight="false" outlineLevel="0" collapsed="false">
      <c r="A710" s="3" t="s">
        <v>1277</v>
      </c>
      <c r="B710" s="3" t="s">
        <v>585</v>
      </c>
      <c r="C710" s="4" t="n">
        <v>8845.5</v>
      </c>
      <c r="D710" s="4" t="n">
        <v>8860</v>
      </c>
      <c r="E710" s="3" t="s">
        <v>1479</v>
      </c>
      <c r="F710" s="4" t="n">
        <f aca="false">IF(AND(ISNUMBER(C710),ISNUMBER(D710)),D710-C710,"N/A")</f>
        <v>14.5</v>
      </c>
      <c r="G710" s="6" t="n">
        <f aca="false">IF(ISNUMBER(F710),F710/C710*100,"N/A")</f>
        <v>0.163925159685716</v>
      </c>
      <c r="H710" s="3" t="str">
        <f aca="false">IF(NOT(ISNUMBER(F710)),"NO CURRENT DATA",IF(F710&gt;0,"RISEN",IF(F710&lt;0,"FALLEN","UNCHANGED")))</f>
        <v>RISEN</v>
      </c>
      <c r="I710" s="3" t="s">
        <v>1480</v>
      </c>
      <c r="J710" s="3" t="n">
        <v>3</v>
      </c>
    </row>
    <row r="711" customFormat="false" ht="15" hidden="false" customHeight="false" outlineLevel="0" collapsed="false">
      <c r="A711" s="3" t="s">
        <v>1277</v>
      </c>
      <c r="B711" s="3" t="s">
        <v>242</v>
      </c>
      <c r="C711" s="4" t="n">
        <v>1931.1</v>
      </c>
      <c r="D711" s="4" t="n">
        <v>1771.4</v>
      </c>
      <c r="E711" s="3" t="s">
        <v>1479</v>
      </c>
      <c r="F711" s="4" t="n">
        <f aca="false">IF(AND(ISNUMBER(C711),ISNUMBER(D711)),D711-C711,"N/A")</f>
        <v>-159.7</v>
      </c>
      <c r="G711" s="6" t="n">
        <f aca="false">IF(ISNUMBER(F711),F711/C711*100,"N/A")</f>
        <v>-8.26989798560405</v>
      </c>
      <c r="H711" s="3" t="str">
        <f aca="false">IF(NOT(ISNUMBER(F711)),"NO CURRENT DATA",IF(F711&gt;0,"RISEN",IF(F711&lt;0,"FALLEN","UNCHANGED")))</f>
        <v>FALLEN</v>
      </c>
      <c r="I711" s="3" t="s">
        <v>1480</v>
      </c>
      <c r="J711" s="3" t="n">
        <v>1</v>
      </c>
    </row>
    <row r="712" customFormat="false" ht="15" hidden="false" customHeight="false" outlineLevel="0" collapsed="false">
      <c r="A712" s="3" t="s">
        <v>1277</v>
      </c>
      <c r="B712" s="3" t="s">
        <v>101</v>
      </c>
      <c r="C712" s="4" t="n">
        <v>2737.1</v>
      </c>
      <c r="D712" s="4" t="n">
        <v>2302.3</v>
      </c>
      <c r="E712" s="3" t="s">
        <v>1479</v>
      </c>
      <c r="F712" s="4" t="n">
        <f aca="false">IF(AND(ISNUMBER(C712),ISNUMBER(D712)),D712-C712,"N/A")</f>
        <v>-434.8</v>
      </c>
      <c r="G712" s="6" t="n">
        <f aca="false">IF(ISNUMBER(F712),F712/C712*100,"N/A")</f>
        <v>-15.8854261809945</v>
      </c>
      <c r="H712" s="3" t="str">
        <f aca="false">IF(NOT(ISNUMBER(F712)),"NO CURRENT DATA",IF(F712&gt;0,"RISEN",IF(F712&lt;0,"FALLEN","UNCHANGED")))</f>
        <v>FALLEN</v>
      </c>
      <c r="I712" s="3" t="s">
        <v>1480</v>
      </c>
      <c r="J712" s="3" t="n">
        <v>5</v>
      </c>
    </row>
    <row r="713" customFormat="false" ht="15" hidden="false" customHeight="false" outlineLevel="0" collapsed="false">
      <c r="A713" s="3" t="s">
        <v>1277</v>
      </c>
      <c r="B713" s="3" t="s">
        <v>245</v>
      </c>
      <c r="C713" s="4" t="n">
        <v>2144.5</v>
      </c>
      <c r="D713" s="4" t="n">
        <v>1896</v>
      </c>
      <c r="E713" s="3" t="s">
        <v>1479</v>
      </c>
      <c r="F713" s="4" t="n">
        <f aca="false">IF(AND(ISNUMBER(C713),ISNUMBER(D713)),D713-C713,"N/A")</f>
        <v>-248.5</v>
      </c>
      <c r="G713" s="6" t="n">
        <f aca="false">IF(ISNUMBER(F713),F713/C713*100,"N/A")</f>
        <v>-11.5877826999301</v>
      </c>
      <c r="H713" s="3" t="str">
        <f aca="false">IF(NOT(ISNUMBER(F713)),"NO CURRENT DATA",IF(F713&gt;0,"RISEN",IF(F713&lt;0,"FALLEN","UNCHANGED")))</f>
        <v>FALLEN</v>
      </c>
      <c r="I713" s="3" t="s">
        <v>1480</v>
      </c>
      <c r="J713" s="3" t="n">
        <v>6</v>
      </c>
    </row>
    <row r="714" customFormat="false" ht="15" hidden="false" customHeight="false" outlineLevel="0" collapsed="false">
      <c r="A714" s="3" t="s">
        <v>1277</v>
      </c>
      <c r="B714" s="3" t="s">
        <v>1282</v>
      </c>
      <c r="C714" s="4" t="n">
        <v>874.9</v>
      </c>
      <c r="D714" s="4" t="n">
        <v>884.05</v>
      </c>
      <c r="E714" s="3" t="s">
        <v>1479</v>
      </c>
      <c r="F714" s="4" t="n">
        <f aca="false">IF(AND(ISNUMBER(C714),ISNUMBER(D714)),D714-C714,"N/A")</f>
        <v>9.14999999999998</v>
      </c>
      <c r="G714" s="6" t="n">
        <f aca="false">IF(ISNUMBER(F714),F714/C714*100,"N/A")</f>
        <v>1.04583380957824</v>
      </c>
      <c r="H714" s="3" t="str">
        <f aca="false">IF(NOT(ISNUMBER(F714)),"NO CURRENT DATA",IF(F714&gt;0,"RISEN",IF(F714&lt;0,"FALLEN","UNCHANGED")))</f>
        <v>RISEN</v>
      </c>
      <c r="I714" s="3" t="s">
        <v>1480</v>
      </c>
      <c r="J714" s="3" t="n">
        <v>0</v>
      </c>
    </row>
    <row r="715" customFormat="false" ht="15" hidden="false" customHeight="false" outlineLevel="0" collapsed="false">
      <c r="A715" s="3" t="s">
        <v>1277</v>
      </c>
      <c r="B715" s="3" t="s">
        <v>1285</v>
      </c>
      <c r="C715" s="4" t="n">
        <v>942.5</v>
      </c>
      <c r="D715" s="4" t="n">
        <v>1011.6</v>
      </c>
      <c r="E715" s="3" t="s">
        <v>1479</v>
      </c>
      <c r="F715" s="4" t="n">
        <f aca="false">IF(AND(ISNUMBER(C715),ISNUMBER(D715)),D715-C715,"N/A")</f>
        <v>69.1</v>
      </c>
      <c r="G715" s="6" t="n">
        <f aca="false">IF(ISNUMBER(F715),F715/C715*100,"N/A")</f>
        <v>7.3315649867374</v>
      </c>
      <c r="H715" s="3" t="str">
        <f aca="false">IF(NOT(ISNUMBER(F715)),"NO CURRENT DATA",IF(F715&gt;0,"RISEN",IF(F715&lt;0,"FALLEN","UNCHANGED")))</f>
        <v>RISEN</v>
      </c>
      <c r="I715" s="3" t="s">
        <v>1480</v>
      </c>
      <c r="J715" s="3" t="n">
        <v>0</v>
      </c>
    </row>
    <row r="716" customFormat="false" ht="15" hidden="false" customHeight="false" outlineLevel="0" collapsed="false">
      <c r="A716" s="3" t="s">
        <v>1288</v>
      </c>
      <c r="B716" s="3" t="s">
        <v>207</v>
      </c>
      <c r="C716" s="4" t="n">
        <v>1129</v>
      </c>
      <c r="D716" s="4" t="n">
        <v>1045</v>
      </c>
      <c r="E716" s="3" t="s">
        <v>1479</v>
      </c>
      <c r="F716" s="4" t="n">
        <f aca="false">IF(AND(ISNUMBER(C716),ISNUMBER(D716)),D716-C716,"N/A")</f>
        <v>-84</v>
      </c>
      <c r="G716" s="6" t="n">
        <f aca="false">IF(ISNUMBER(F716),F716/C716*100,"N/A")</f>
        <v>-7.44021257750221</v>
      </c>
      <c r="H716" s="3" t="str">
        <f aca="false">IF(NOT(ISNUMBER(F716)),"NO CURRENT DATA",IF(F716&gt;0,"RISEN",IF(F716&lt;0,"FALLEN","UNCHANGED")))</f>
        <v>FALLEN</v>
      </c>
      <c r="I716" s="3" t="s">
        <v>1480</v>
      </c>
      <c r="J716" s="3" t="n">
        <v>8</v>
      </c>
    </row>
    <row r="717" customFormat="false" ht="15" hidden="false" customHeight="false" outlineLevel="0" collapsed="false">
      <c r="A717" s="3" t="s">
        <v>1288</v>
      </c>
      <c r="B717" s="3" t="s">
        <v>96</v>
      </c>
      <c r="C717" s="4" t="n">
        <v>520.3</v>
      </c>
      <c r="D717" s="4" t="n">
        <v>407.5</v>
      </c>
      <c r="E717" s="3" t="s">
        <v>1479</v>
      </c>
      <c r="F717" s="4" t="n">
        <f aca="false">IF(AND(ISNUMBER(C717),ISNUMBER(D717)),D717-C717,"N/A")</f>
        <v>-112.8</v>
      </c>
      <c r="G717" s="6" t="n">
        <f aca="false">IF(ISNUMBER(F717),F717/C717*100,"N/A")</f>
        <v>-21.6798001153181</v>
      </c>
      <c r="H717" s="3" t="str">
        <f aca="false">IF(NOT(ISNUMBER(F717)),"NO CURRENT DATA",IF(F717&gt;0,"RISEN",IF(F717&lt;0,"FALLEN","UNCHANGED")))</f>
        <v>FALLEN</v>
      </c>
      <c r="I717" s="3" t="s">
        <v>1480</v>
      </c>
      <c r="J717" s="3" t="n">
        <v>11</v>
      </c>
    </row>
    <row r="718" customFormat="false" ht="15" hidden="false" customHeight="false" outlineLevel="0" collapsed="false">
      <c r="A718" s="3" t="s">
        <v>1288</v>
      </c>
      <c r="B718" s="3" t="s">
        <v>254</v>
      </c>
      <c r="C718" s="4" t="n">
        <v>685.75</v>
      </c>
      <c r="D718" s="4" t="n">
        <v>663.55</v>
      </c>
      <c r="E718" s="3" t="s">
        <v>1479</v>
      </c>
      <c r="F718" s="4" t="n">
        <f aca="false">IF(AND(ISNUMBER(C718),ISNUMBER(D718)),D718-C718,"N/A")</f>
        <v>-22.2</v>
      </c>
      <c r="G718" s="6" t="n">
        <f aca="false">IF(ISNUMBER(F718),F718/C718*100,"N/A")</f>
        <v>-3.23733138899016</v>
      </c>
      <c r="H718" s="3" t="str">
        <f aca="false">IF(NOT(ISNUMBER(F718)),"NO CURRENT DATA",IF(F718&gt;0,"RISEN",IF(F718&lt;0,"FALLEN","UNCHANGED")))</f>
        <v>FALLEN</v>
      </c>
      <c r="I718" s="3" t="s">
        <v>1480</v>
      </c>
      <c r="J718" s="3" t="n">
        <v>5</v>
      </c>
    </row>
    <row r="719" customFormat="false" ht="15" hidden="false" customHeight="false" outlineLevel="0" collapsed="false">
      <c r="A719" s="3" t="s">
        <v>1288</v>
      </c>
      <c r="B719" s="3" t="s">
        <v>364</v>
      </c>
      <c r="C719" s="4" t="n">
        <v>510.35</v>
      </c>
      <c r="D719" s="4" t="n">
        <v>458.7</v>
      </c>
      <c r="E719" s="3" t="s">
        <v>1479</v>
      </c>
      <c r="F719" s="4" t="n">
        <f aca="false">IF(AND(ISNUMBER(C719),ISNUMBER(D719)),D719-C719,"N/A")</f>
        <v>-51.65</v>
      </c>
      <c r="G719" s="6" t="n">
        <f aca="false">IF(ISNUMBER(F719),F719/C719*100,"N/A")</f>
        <v>-10.1205055354169</v>
      </c>
      <c r="H719" s="3" t="str">
        <f aca="false">IF(NOT(ISNUMBER(F719)),"NO CURRENT DATA",IF(F719&gt;0,"RISEN",IF(F719&lt;0,"FALLEN","UNCHANGED")))</f>
        <v>FALLEN</v>
      </c>
      <c r="I719" s="3" t="s">
        <v>1480</v>
      </c>
      <c r="J719" s="3" t="n">
        <v>8</v>
      </c>
    </row>
    <row r="720" customFormat="false" ht="15" hidden="false" customHeight="false" outlineLevel="0" collapsed="false">
      <c r="A720" s="3" t="s">
        <v>1288</v>
      </c>
      <c r="B720" s="3" t="s">
        <v>1293</v>
      </c>
      <c r="C720" s="4" t="n">
        <v>82.61</v>
      </c>
      <c r="D720" s="4" t="n">
        <v>72</v>
      </c>
      <c r="E720" s="3" t="s">
        <v>1479</v>
      </c>
      <c r="F720" s="4" t="n">
        <f aca="false">IF(AND(ISNUMBER(C720),ISNUMBER(D720)),D720-C720,"N/A")</f>
        <v>-10.61</v>
      </c>
      <c r="G720" s="6" t="n">
        <f aca="false">IF(ISNUMBER(F720),F720/C720*100,"N/A")</f>
        <v>-12.8434814187144</v>
      </c>
      <c r="H720" s="3" t="str">
        <f aca="false">IF(NOT(ISNUMBER(F720)),"NO CURRENT DATA",IF(F720&gt;0,"RISEN",IF(F720&lt;0,"FALLEN","UNCHANGED")))</f>
        <v>FALLEN</v>
      </c>
      <c r="I720" s="3" t="s">
        <v>1480</v>
      </c>
      <c r="J720" s="3" t="n">
        <v>0</v>
      </c>
    </row>
    <row r="721" customFormat="false" ht="15" hidden="false" customHeight="false" outlineLevel="0" collapsed="false">
      <c r="A721" s="3" t="s">
        <v>1296</v>
      </c>
      <c r="B721" s="3" t="s">
        <v>90</v>
      </c>
      <c r="C721" s="4" t="n">
        <v>10381</v>
      </c>
      <c r="D721" s="4" t="n">
        <v>11024</v>
      </c>
      <c r="E721" s="3" t="s">
        <v>1479</v>
      </c>
      <c r="F721" s="4" t="n">
        <f aca="false">IF(AND(ISNUMBER(C721),ISNUMBER(D721)),D721-C721,"N/A")</f>
        <v>643</v>
      </c>
      <c r="G721" s="6" t="n">
        <f aca="false">IF(ISNUMBER(F721),F721/C721*100,"N/A")</f>
        <v>6.19400828436567</v>
      </c>
      <c r="H721" s="3" t="str">
        <f aca="false">IF(NOT(ISNUMBER(F721)),"NO CURRENT DATA",IF(F721&gt;0,"RISEN",IF(F721&lt;0,"FALLEN","UNCHANGED")))</f>
        <v>RISEN</v>
      </c>
      <c r="I721" s="3" t="s">
        <v>1480</v>
      </c>
      <c r="J721" s="3" t="n">
        <v>3</v>
      </c>
    </row>
    <row r="722" customFormat="false" ht="15" hidden="false" customHeight="false" outlineLevel="0" collapsed="false">
      <c r="A722" s="3" t="s">
        <v>1296</v>
      </c>
      <c r="B722" s="3" t="s">
        <v>871</v>
      </c>
      <c r="C722" s="4" t="n">
        <v>1102.6</v>
      </c>
      <c r="D722" s="4" t="n">
        <v>1003.2</v>
      </c>
      <c r="E722" s="3" t="s">
        <v>1479</v>
      </c>
      <c r="F722" s="4" t="n">
        <f aca="false">IF(AND(ISNUMBER(C722),ISNUMBER(D722)),D722-C722,"N/A")</f>
        <v>-99.3999999999999</v>
      </c>
      <c r="G722" s="6" t="n">
        <f aca="false">IF(ISNUMBER(F722),F722/C722*100,"N/A")</f>
        <v>-9.01505532378014</v>
      </c>
      <c r="H722" s="3" t="str">
        <f aca="false">IF(NOT(ISNUMBER(F722)),"NO CURRENT DATA",IF(F722&gt;0,"RISEN",IF(F722&lt;0,"FALLEN","UNCHANGED")))</f>
        <v>FALLEN</v>
      </c>
      <c r="I722" s="3" t="s">
        <v>1480</v>
      </c>
      <c r="J722" s="3" t="n">
        <v>3</v>
      </c>
    </row>
    <row r="723" customFormat="false" ht="15" hidden="false" customHeight="false" outlineLevel="0" collapsed="false">
      <c r="A723" s="3" t="s">
        <v>1296</v>
      </c>
      <c r="B723" s="3" t="s">
        <v>148</v>
      </c>
      <c r="C723" s="4" t="n">
        <v>4951.1</v>
      </c>
      <c r="D723" s="4" t="n">
        <v>4869</v>
      </c>
      <c r="E723" s="3" t="s">
        <v>1479</v>
      </c>
      <c r="F723" s="4" t="n">
        <f aca="false">IF(AND(ISNUMBER(C723),ISNUMBER(D723)),D723-C723,"N/A")</f>
        <v>-82.1000000000004</v>
      </c>
      <c r="G723" s="6" t="n">
        <f aca="false">IF(ISNUMBER(F723),F723/C723*100,"N/A")</f>
        <v>-1.6582173658379</v>
      </c>
      <c r="H723" s="3" t="str">
        <f aca="false">IF(NOT(ISNUMBER(F723)),"NO CURRENT DATA",IF(F723&gt;0,"RISEN",IF(F723&lt;0,"FALLEN","UNCHANGED")))</f>
        <v>FALLEN</v>
      </c>
      <c r="I723" s="3" t="s">
        <v>1480</v>
      </c>
      <c r="J723" s="3" t="n">
        <v>4</v>
      </c>
    </row>
    <row r="724" customFormat="false" ht="15" hidden="false" customHeight="false" outlineLevel="0" collapsed="false">
      <c r="A724" s="3" t="s">
        <v>1300</v>
      </c>
      <c r="B724" s="3" t="s">
        <v>333</v>
      </c>
      <c r="C724" s="4" t="n">
        <v>5601.5</v>
      </c>
      <c r="D724" s="4" t="n">
        <v>5175</v>
      </c>
      <c r="E724" s="3" t="s">
        <v>1479</v>
      </c>
      <c r="F724" s="4" t="n">
        <f aca="false">IF(AND(ISNUMBER(C724),ISNUMBER(D724)),D724-C724,"N/A")</f>
        <v>-426.5</v>
      </c>
      <c r="G724" s="6" t="n">
        <f aca="false">IF(ISNUMBER(F724),F724/C724*100,"N/A")</f>
        <v>-7.61403195572614</v>
      </c>
      <c r="H724" s="3" t="str">
        <f aca="false">IF(NOT(ISNUMBER(F724)),"NO CURRENT DATA",IF(F724&gt;0,"RISEN",IF(F724&lt;0,"FALLEN","UNCHANGED")))</f>
        <v>FALLEN</v>
      </c>
      <c r="I724" s="3" t="s">
        <v>1480</v>
      </c>
      <c r="J724" s="3" t="n">
        <v>9</v>
      </c>
    </row>
    <row r="725" customFormat="false" ht="15" hidden="false" customHeight="false" outlineLevel="0" collapsed="false">
      <c r="A725" s="3" t="s">
        <v>1300</v>
      </c>
      <c r="B725" s="3" t="s">
        <v>629</v>
      </c>
      <c r="C725" s="4" t="n">
        <v>441.1</v>
      </c>
      <c r="D725" s="4" t="n">
        <v>468</v>
      </c>
      <c r="E725" s="3" t="s">
        <v>1479</v>
      </c>
      <c r="F725" s="4" t="n">
        <f aca="false">IF(AND(ISNUMBER(C725),ISNUMBER(D725)),D725-C725,"N/A")</f>
        <v>26.9</v>
      </c>
      <c r="G725" s="6" t="n">
        <f aca="false">IF(ISNUMBER(F725),F725/C725*100,"N/A")</f>
        <v>6.09839038766719</v>
      </c>
      <c r="H725" s="3" t="str">
        <f aca="false">IF(NOT(ISNUMBER(F725)),"NO CURRENT DATA",IF(F725&gt;0,"RISEN",IF(F725&lt;0,"FALLEN","UNCHANGED")))</f>
        <v>RISEN</v>
      </c>
      <c r="I725" s="3" t="s">
        <v>1480</v>
      </c>
      <c r="J725" s="3" t="n">
        <v>1</v>
      </c>
    </row>
    <row r="726" customFormat="false" ht="15" hidden="false" customHeight="false" outlineLevel="0" collapsed="false">
      <c r="A726" s="3" t="s">
        <v>1300</v>
      </c>
      <c r="B726" s="3" t="s">
        <v>1070</v>
      </c>
      <c r="C726" s="4" t="n">
        <v>638.85</v>
      </c>
      <c r="D726" s="4" t="n">
        <v>591</v>
      </c>
      <c r="E726" s="3" t="s">
        <v>1479</v>
      </c>
      <c r="F726" s="4" t="n">
        <f aca="false">IF(AND(ISNUMBER(C726),ISNUMBER(D726)),D726-C726,"N/A")</f>
        <v>-47.85</v>
      </c>
      <c r="G726" s="6" t="n">
        <f aca="false">IF(ISNUMBER(F726),F726/C726*100,"N/A")</f>
        <v>-7.49002113172106</v>
      </c>
      <c r="H726" s="3" t="str">
        <f aca="false">IF(NOT(ISNUMBER(F726)),"NO CURRENT DATA",IF(F726&gt;0,"RISEN",IF(F726&lt;0,"FALLEN","UNCHANGED")))</f>
        <v>FALLEN</v>
      </c>
      <c r="I726" s="3" t="s">
        <v>1480</v>
      </c>
      <c r="J726" s="3" t="n">
        <v>1</v>
      </c>
    </row>
    <row r="727" customFormat="false" ht="15" hidden="false" customHeight="false" outlineLevel="0" collapsed="false">
      <c r="A727" s="3" t="s">
        <v>1300</v>
      </c>
      <c r="B727" s="3" t="s">
        <v>148</v>
      </c>
      <c r="C727" s="4" t="n">
        <v>4973.5</v>
      </c>
      <c r="D727" s="4" t="n">
        <v>4869</v>
      </c>
      <c r="E727" s="3" t="s">
        <v>1479</v>
      </c>
      <c r="F727" s="4" t="n">
        <f aca="false">IF(AND(ISNUMBER(C727),ISNUMBER(D727)),D727-C727,"N/A")</f>
        <v>-104.5</v>
      </c>
      <c r="G727" s="6" t="n">
        <f aca="false">IF(ISNUMBER(F727),F727/C727*100,"N/A")</f>
        <v>-2.10113602091083</v>
      </c>
      <c r="H727" s="3" t="str">
        <f aca="false">IF(NOT(ISNUMBER(F727)),"NO CURRENT DATA",IF(F727&gt;0,"RISEN",IF(F727&lt;0,"FALLEN","UNCHANGED")))</f>
        <v>FALLEN</v>
      </c>
      <c r="I727" s="3" t="s">
        <v>1480</v>
      </c>
      <c r="J727" s="3" t="n">
        <v>4</v>
      </c>
    </row>
    <row r="728" customFormat="false" ht="15" hidden="false" customHeight="false" outlineLevel="0" collapsed="false">
      <c r="A728" s="3" t="s">
        <v>1305</v>
      </c>
      <c r="B728" s="3" t="s">
        <v>1007</v>
      </c>
      <c r="C728" s="4" t="n">
        <v>417.95</v>
      </c>
      <c r="D728" s="4" t="n">
        <v>411.9</v>
      </c>
      <c r="E728" s="3" t="s">
        <v>1479</v>
      </c>
      <c r="F728" s="4" t="n">
        <f aca="false">IF(AND(ISNUMBER(C728),ISNUMBER(D728)),D728-C728,"N/A")</f>
        <v>-6.05000000000001</v>
      </c>
      <c r="G728" s="6" t="n">
        <f aca="false">IF(ISNUMBER(F728),F728/C728*100,"N/A")</f>
        <v>-1.44754157195837</v>
      </c>
      <c r="H728" s="3" t="str">
        <f aca="false">IF(NOT(ISNUMBER(F728)),"NO CURRENT DATA",IF(F728&gt;0,"RISEN",IF(F728&lt;0,"FALLEN","UNCHANGED")))</f>
        <v>FALLEN</v>
      </c>
      <c r="I728" s="3" t="s">
        <v>1480</v>
      </c>
      <c r="J728" s="3" t="n">
        <v>1</v>
      </c>
    </row>
    <row r="729" customFormat="false" ht="15" hidden="false" customHeight="false" outlineLevel="0" collapsed="false">
      <c r="A729" s="3" t="s">
        <v>1305</v>
      </c>
      <c r="B729" s="3" t="s">
        <v>66</v>
      </c>
      <c r="C729" s="4" t="n">
        <v>7273</v>
      </c>
      <c r="D729" s="4" t="n">
        <v>9550</v>
      </c>
      <c r="E729" s="3" t="s">
        <v>1479</v>
      </c>
      <c r="F729" s="4" t="n">
        <f aca="false">IF(AND(ISNUMBER(C729),ISNUMBER(D729)),D729-C729,"N/A")</f>
        <v>2277</v>
      </c>
      <c r="G729" s="6" t="n">
        <f aca="false">IF(ISNUMBER(F729),F729/C729*100,"N/A")</f>
        <v>31.3075759659013</v>
      </c>
      <c r="H729" s="3" t="str">
        <f aca="false">IF(NOT(ISNUMBER(F729)),"NO CURRENT DATA",IF(F729&gt;0,"RISEN",IF(F729&lt;0,"FALLEN","UNCHANGED")))</f>
        <v>RISEN</v>
      </c>
      <c r="I729" s="3" t="s">
        <v>1480</v>
      </c>
      <c r="J729" s="3" t="n">
        <v>5</v>
      </c>
    </row>
    <row r="730" customFormat="false" ht="15" hidden="false" customHeight="false" outlineLevel="0" collapsed="false">
      <c r="A730" s="3" t="s">
        <v>1305</v>
      </c>
      <c r="B730" s="3" t="s">
        <v>101</v>
      </c>
      <c r="C730" s="4" t="n">
        <v>2729.2</v>
      </c>
      <c r="D730" s="4" t="n">
        <v>2302.3</v>
      </c>
      <c r="E730" s="3" t="s">
        <v>1479</v>
      </c>
      <c r="F730" s="4" t="n">
        <f aca="false">IF(AND(ISNUMBER(C730),ISNUMBER(D730)),D730-C730,"N/A")</f>
        <v>-426.9</v>
      </c>
      <c r="G730" s="6" t="n">
        <f aca="false">IF(ISNUMBER(F730),F730/C730*100,"N/A")</f>
        <v>-15.6419463579071</v>
      </c>
      <c r="H730" s="3" t="str">
        <f aca="false">IF(NOT(ISNUMBER(F730)),"NO CURRENT DATA",IF(F730&gt;0,"RISEN",IF(F730&lt;0,"FALLEN","UNCHANGED")))</f>
        <v>FALLEN</v>
      </c>
      <c r="I730" s="3" t="s">
        <v>1480</v>
      </c>
      <c r="J730" s="3" t="n">
        <v>6</v>
      </c>
    </row>
    <row r="731" customFormat="false" ht="15" hidden="false" customHeight="false" outlineLevel="0" collapsed="false">
      <c r="A731" s="3" t="s">
        <v>1305</v>
      </c>
      <c r="B731" s="3" t="s">
        <v>136</v>
      </c>
      <c r="C731" s="4" t="n">
        <v>140.24</v>
      </c>
      <c r="D731" s="4" t="n">
        <v>133.32</v>
      </c>
      <c r="E731" s="3" t="s">
        <v>1479</v>
      </c>
      <c r="F731" s="4" t="n">
        <f aca="false">IF(AND(ISNUMBER(C731),ISNUMBER(D731)),D731-C731,"N/A")</f>
        <v>-6.92000000000002</v>
      </c>
      <c r="G731" s="6" t="n">
        <f aca="false">IF(ISNUMBER(F731),F731/C731*100,"N/A")</f>
        <v>-4.93439817455791</v>
      </c>
      <c r="H731" s="3" t="str">
        <f aca="false">IF(NOT(ISNUMBER(F731)),"NO CURRENT DATA",IF(F731&gt;0,"RISEN",IF(F731&lt;0,"FALLEN","UNCHANGED")))</f>
        <v>FALLEN</v>
      </c>
      <c r="I731" s="3" t="s">
        <v>1480</v>
      </c>
      <c r="J731" s="3" t="n">
        <v>14</v>
      </c>
    </row>
    <row r="732" customFormat="false" ht="15" hidden="false" customHeight="false" outlineLevel="0" collapsed="false">
      <c r="A732" s="3" t="s">
        <v>1305</v>
      </c>
      <c r="B732" s="3" t="s">
        <v>164</v>
      </c>
      <c r="C732" s="4" t="n">
        <v>1568.8</v>
      </c>
      <c r="D732" s="4" t="n">
        <v>1503</v>
      </c>
      <c r="E732" s="3" t="s">
        <v>1479</v>
      </c>
      <c r="F732" s="4" t="n">
        <f aca="false">IF(AND(ISNUMBER(C732),ISNUMBER(D732)),D732-C732,"N/A")</f>
        <v>-65.8</v>
      </c>
      <c r="G732" s="6" t="n">
        <f aca="false">IF(ISNUMBER(F732),F732/C732*100,"N/A")</f>
        <v>-4.19428862825089</v>
      </c>
      <c r="H732" s="3" t="str">
        <f aca="false">IF(NOT(ISNUMBER(F732)),"NO CURRENT DATA",IF(F732&gt;0,"RISEN",IF(F732&lt;0,"FALLEN","UNCHANGED")))</f>
        <v>FALLEN</v>
      </c>
      <c r="I732" s="3" t="s">
        <v>1480</v>
      </c>
      <c r="J732" s="3" t="n">
        <v>7</v>
      </c>
    </row>
    <row r="733" customFormat="false" ht="15" hidden="false" customHeight="false" outlineLevel="0" collapsed="false">
      <c r="A733" s="3" t="s">
        <v>1305</v>
      </c>
      <c r="B733" s="3" t="s">
        <v>148</v>
      </c>
      <c r="C733" s="4" t="n">
        <v>5017.8</v>
      </c>
      <c r="D733" s="4" t="n">
        <v>4869</v>
      </c>
      <c r="E733" s="3" t="s">
        <v>1479</v>
      </c>
      <c r="F733" s="4" t="n">
        <f aca="false">IF(AND(ISNUMBER(C733),ISNUMBER(D733)),D733-C733,"N/A")</f>
        <v>-148.8</v>
      </c>
      <c r="G733" s="6" t="n">
        <f aca="false">IF(ISNUMBER(F733),F733/C733*100,"N/A")</f>
        <v>-2.9654430228387</v>
      </c>
      <c r="H733" s="3" t="str">
        <f aca="false">IF(NOT(ISNUMBER(F733)),"NO CURRENT DATA",IF(F733&gt;0,"RISEN",IF(F733&lt;0,"FALLEN","UNCHANGED")))</f>
        <v>FALLEN</v>
      </c>
      <c r="I733" s="3" t="s">
        <v>1480</v>
      </c>
      <c r="J733" s="3" t="n">
        <v>4</v>
      </c>
    </row>
    <row r="734" customFormat="false" ht="15" hidden="false" customHeight="false" outlineLevel="0" collapsed="false">
      <c r="A734" s="3" t="s">
        <v>1305</v>
      </c>
      <c r="B734" s="3" t="s">
        <v>655</v>
      </c>
      <c r="C734" s="4" t="n">
        <v>11812</v>
      </c>
      <c r="D734" s="4" t="n">
        <v>11025</v>
      </c>
      <c r="E734" s="3" t="s">
        <v>1479</v>
      </c>
      <c r="F734" s="4" t="n">
        <f aca="false">IF(AND(ISNUMBER(C734),ISNUMBER(D734)),D734-C734,"N/A")</f>
        <v>-787</v>
      </c>
      <c r="G734" s="6" t="n">
        <f aca="false">IF(ISNUMBER(F734),F734/C734*100,"N/A")</f>
        <v>-6.66271588215374</v>
      </c>
      <c r="H734" s="3" t="str">
        <f aca="false">IF(NOT(ISNUMBER(F734)),"NO CURRENT DATA",IF(F734&gt;0,"RISEN",IF(F734&lt;0,"FALLEN","UNCHANGED")))</f>
        <v>FALLEN</v>
      </c>
      <c r="I734" s="3" t="s">
        <v>1480</v>
      </c>
      <c r="J734" s="3" t="n">
        <v>1</v>
      </c>
    </row>
    <row r="735" customFormat="false" ht="15" hidden="false" customHeight="false" outlineLevel="0" collapsed="false">
      <c r="A735" s="3" t="s">
        <v>1313</v>
      </c>
      <c r="B735" s="3" t="s">
        <v>522</v>
      </c>
      <c r="C735" s="4" t="n">
        <v>260.3</v>
      </c>
      <c r="D735" s="4" t="n">
        <v>218.8</v>
      </c>
      <c r="E735" s="3" t="s">
        <v>1479</v>
      </c>
      <c r="F735" s="4" t="n">
        <f aca="false">IF(AND(ISNUMBER(C735),ISNUMBER(D735)),D735-C735,"N/A")</f>
        <v>-41.5</v>
      </c>
      <c r="G735" s="6" t="n">
        <f aca="false">IF(ISNUMBER(F735),F735/C735*100,"N/A")</f>
        <v>-15.9431425278525</v>
      </c>
      <c r="H735" s="3" t="str">
        <f aca="false">IF(NOT(ISNUMBER(F735)),"NO CURRENT DATA",IF(F735&gt;0,"RISEN",IF(F735&lt;0,"FALLEN","UNCHANGED")))</f>
        <v>FALLEN</v>
      </c>
      <c r="I735" s="3" t="s">
        <v>1480</v>
      </c>
      <c r="J735" s="3" t="n">
        <v>3</v>
      </c>
    </row>
    <row r="736" customFormat="false" ht="15" hidden="false" customHeight="false" outlineLevel="0" collapsed="false">
      <c r="A736" s="3" t="s">
        <v>1313</v>
      </c>
      <c r="B736" s="3" t="s">
        <v>309</v>
      </c>
      <c r="C736" s="4" t="n">
        <v>5592</v>
      </c>
      <c r="D736" s="4" t="n">
        <v>4855</v>
      </c>
      <c r="E736" s="3" t="s">
        <v>1479</v>
      </c>
      <c r="F736" s="4" t="n">
        <f aca="false">IF(AND(ISNUMBER(C736),ISNUMBER(D736)),D736-C736,"N/A")</f>
        <v>-737</v>
      </c>
      <c r="G736" s="6" t="n">
        <f aca="false">IF(ISNUMBER(F736),F736/C736*100,"N/A")</f>
        <v>-13.1795422031474</v>
      </c>
      <c r="H736" s="3" t="str">
        <f aca="false">IF(NOT(ISNUMBER(F736)),"NO CURRENT DATA",IF(F736&gt;0,"RISEN",IF(F736&lt;0,"FALLEN","UNCHANGED")))</f>
        <v>FALLEN</v>
      </c>
      <c r="I736" s="3" t="s">
        <v>1480</v>
      </c>
      <c r="J736" s="3" t="n">
        <v>4</v>
      </c>
    </row>
    <row r="737" customFormat="false" ht="15" hidden="false" customHeight="false" outlineLevel="0" collapsed="false">
      <c r="A737" s="3" t="s">
        <v>1313</v>
      </c>
      <c r="B737" s="3" t="s">
        <v>136</v>
      </c>
      <c r="C737" s="4" t="n">
        <v>141.8</v>
      </c>
      <c r="D737" s="4" t="n">
        <v>133.32</v>
      </c>
      <c r="E737" s="3" t="s">
        <v>1479</v>
      </c>
      <c r="F737" s="4" t="n">
        <f aca="false">IF(AND(ISNUMBER(C737),ISNUMBER(D737)),D737-C737,"N/A")</f>
        <v>-8.48000000000002</v>
      </c>
      <c r="G737" s="6" t="n">
        <f aca="false">IF(ISNUMBER(F737),F737/C737*100,"N/A")</f>
        <v>-5.98025387870241</v>
      </c>
      <c r="H737" s="3" t="str">
        <f aca="false">IF(NOT(ISNUMBER(F737)),"NO CURRENT DATA",IF(F737&gt;0,"RISEN",IF(F737&lt;0,"FALLEN","UNCHANGED")))</f>
        <v>FALLEN</v>
      </c>
      <c r="I737" s="3" t="s">
        <v>1480</v>
      </c>
      <c r="J737" s="3" t="n">
        <v>14</v>
      </c>
    </row>
    <row r="738" customFormat="false" ht="15" hidden="false" customHeight="false" outlineLevel="0" collapsed="false">
      <c r="A738" s="3" t="s">
        <v>1313</v>
      </c>
      <c r="B738" s="3" t="s">
        <v>453</v>
      </c>
      <c r="C738" s="4" t="n">
        <v>683.4</v>
      </c>
      <c r="D738" s="4" t="n">
        <v>807.9</v>
      </c>
      <c r="E738" s="3" t="s">
        <v>1479</v>
      </c>
      <c r="F738" s="4" t="n">
        <f aca="false">IF(AND(ISNUMBER(C738),ISNUMBER(D738)),D738-C738,"N/A")</f>
        <v>124.5</v>
      </c>
      <c r="G738" s="6" t="n">
        <f aca="false">IF(ISNUMBER(F738),F738/C738*100,"N/A")</f>
        <v>18.2177348551361</v>
      </c>
      <c r="H738" s="3" t="str">
        <f aca="false">IF(NOT(ISNUMBER(F738)),"NO CURRENT DATA",IF(F738&gt;0,"RISEN",IF(F738&lt;0,"FALLEN","UNCHANGED")))</f>
        <v>RISEN</v>
      </c>
      <c r="I738" s="3" t="s">
        <v>1480</v>
      </c>
      <c r="J738" s="3" t="n">
        <v>6</v>
      </c>
    </row>
    <row r="739" customFormat="false" ht="15" hidden="false" customHeight="false" outlineLevel="0" collapsed="false">
      <c r="A739" s="3" t="s">
        <v>1318</v>
      </c>
      <c r="B739" s="3" t="s">
        <v>794</v>
      </c>
      <c r="C739" s="4" t="n">
        <v>2042.4</v>
      </c>
      <c r="D739" s="4" t="n">
        <v>1845.9</v>
      </c>
      <c r="E739" s="3" t="s">
        <v>1479</v>
      </c>
      <c r="F739" s="4" t="n">
        <f aca="false">IF(AND(ISNUMBER(C739),ISNUMBER(D739)),D739-C739,"N/A")</f>
        <v>-196.5</v>
      </c>
      <c r="G739" s="6" t="n">
        <f aca="false">IF(ISNUMBER(F739),F739/C739*100,"N/A")</f>
        <v>-9.62103407755582</v>
      </c>
      <c r="H739" s="3" t="str">
        <f aca="false">IF(NOT(ISNUMBER(F739)),"NO CURRENT DATA",IF(F739&gt;0,"RISEN",IF(F739&lt;0,"FALLEN","UNCHANGED")))</f>
        <v>FALLEN</v>
      </c>
      <c r="I739" s="3" t="s">
        <v>1480</v>
      </c>
      <c r="J739" s="3" t="n">
        <v>2</v>
      </c>
    </row>
    <row r="740" customFormat="false" ht="15" hidden="false" customHeight="false" outlineLevel="0" collapsed="false">
      <c r="A740" s="3" t="s">
        <v>1318</v>
      </c>
      <c r="B740" s="3" t="s">
        <v>164</v>
      </c>
      <c r="C740" s="4" t="n">
        <v>1566.1</v>
      </c>
      <c r="D740" s="4" t="n">
        <v>1503</v>
      </c>
      <c r="E740" s="3" t="s">
        <v>1479</v>
      </c>
      <c r="F740" s="4" t="n">
        <f aca="false">IF(AND(ISNUMBER(C740),ISNUMBER(D740)),D740-C740,"N/A")</f>
        <v>-63.0999999999999</v>
      </c>
      <c r="G740" s="6" t="n">
        <f aca="false">IF(ISNUMBER(F740),F740/C740*100,"N/A")</f>
        <v>-4.02911691462869</v>
      </c>
      <c r="H740" s="3" t="str">
        <f aca="false">IF(NOT(ISNUMBER(F740)),"NO CURRENT DATA",IF(F740&gt;0,"RISEN",IF(F740&lt;0,"FALLEN","UNCHANGED")))</f>
        <v>FALLEN</v>
      </c>
      <c r="I740" s="3" t="s">
        <v>1480</v>
      </c>
      <c r="J740" s="3" t="n">
        <v>8</v>
      </c>
    </row>
    <row r="741" customFormat="false" ht="15" hidden="false" customHeight="false" outlineLevel="0" collapsed="false">
      <c r="A741" s="3" t="s">
        <v>1321</v>
      </c>
      <c r="B741" s="3" t="s">
        <v>490</v>
      </c>
      <c r="C741" s="4" t="n">
        <v>317.6</v>
      </c>
      <c r="D741" s="4" t="n">
        <v>302.25</v>
      </c>
      <c r="E741" s="3" t="s">
        <v>1479</v>
      </c>
      <c r="F741" s="4" t="n">
        <f aca="false">IF(AND(ISNUMBER(C741),ISNUMBER(D741)),D741-C741,"N/A")</f>
        <v>-15.35</v>
      </c>
      <c r="G741" s="6" t="n">
        <f aca="false">IF(ISNUMBER(F741),F741/C741*100,"N/A")</f>
        <v>-4.8331234256927</v>
      </c>
      <c r="H741" s="3" t="str">
        <f aca="false">IF(NOT(ISNUMBER(F741)),"NO CURRENT DATA",IF(F741&gt;0,"RISEN",IF(F741&lt;0,"FALLEN","UNCHANGED")))</f>
        <v>FALLEN</v>
      </c>
      <c r="I741" s="3" t="s">
        <v>1480</v>
      </c>
      <c r="J741" s="3" t="n">
        <v>4</v>
      </c>
    </row>
    <row r="742" customFormat="false" ht="15" hidden="false" customHeight="false" outlineLevel="0" collapsed="false">
      <c r="A742" s="3" t="s">
        <v>1321</v>
      </c>
      <c r="B742" s="3" t="s">
        <v>346</v>
      </c>
      <c r="C742" s="4" t="n">
        <v>337.1</v>
      </c>
      <c r="D742" s="4" t="n">
        <v>313</v>
      </c>
      <c r="E742" s="3" t="s">
        <v>1479</v>
      </c>
      <c r="F742" s="4" t="n">
        <f aca="false">IF(AND(ISNUMBER(C742),ISNUMBER(D742)),D742-C742,"N/A")</f>
        <v>-24.1</v>
      </c>
      <c r="G742" s="6" t="n">
        <f aca="false">IF(ISNUMBER(F742),F742/C742*100,"N/A")</f>
        <v>-7.14921388312074</v>
      </c>
      <c r="H742" s="3" t="str">
        <f aca="false">IF(NOT(ISNUMBER(F742)),"NO CURRENT DATA",IF(F742&gt;0,"RISEN",IF(F742&lt;0,"FALLEN","UNCHANGED")))</f>
        <v>FALLEN</v>
      </c>
      <c r="I742" s="3" t="s">
        <v>1480</v>
      </c>
      <c r="J742" s="3" t="n">
        <v>2</v>
      </c>
    </row>
    <row r="743" customFormat="false" ht="15" hidden="false" customHeight="false" outlineLevel="0" collapsed="false">
      <c r="A743" s="3" t="s">
        <v>1321</v>
      </c>
      <c r="B743" s="3" t="s">
        <v>1145</v>
      </c>
      <c r="C743" s="4" t="n">
        <v>4132.4</v>
      </c>
      <c r="D743" s="4" t="n">
        <v>4478.3</v>
      </c>
      <c r="E743" s="3" t="s">
        <v>1479</v>
      </c>
      <c r="F743" s="4" t="n">
        <f aca="false">IF(AND(ISNUMBER(C743),ISNUMBER(D743)),D743-C743,"N/A")</f>
        <v>345.900000000001</v>
      </c>
      <c r="G743" s="6" t="n">
        <f aca="false">IF(ISNUMBER(F743),F743/C743*100,"N/A")</f>
        <v>8.37043848610978</v>
      </c>
      <c r="H743" s="3" t="str">
        <f aca="false">IF(NOT(ISNUMBER(F743)),"NO CURRENT DATA",IF(F743&gt;0,"RISEN",IF(F743&lt;0,"FALLEN","UNCHANGED")))</f>
        <v>RISEN</v>
      </c>
      <c r="I743" s="3" t="s">
        <v>1480</v>
      </c>
      <c r="J743" s="3" t="n">
        <v>2</v>
      </c>
    </row>
    <row r="744" customFormat="false" ht="15" hidden="false" customHeight="false" outlineLevel="0" collapsed="false">
      <c r="A744" s="3" t="s">
        <v>1325</v>
      </c>
      <c r="B744" s="3" t="s">
        <v>923</v>
      </c>
      <c r="C744" s="4" t="n">
        <v>2398</v>
      </c>
      <c r="D744" s="4" t="n">
        <v>2070.7</v>
      </c>
      <c r="E744" s="3" t="s">
        <v>1479</v>
      </c>
      <c r="F744" s="4" t="n">
        <f aca="false">IF(AND(ISNUMBER(C744),ISNUMBER(D744)),D744-C744,"N/A")</f>
        <v>-327.3</v>
      </c>
      <c r="G744" s="6" t="n">
        <f aca="false">IF(ISNUMBER(F744),F744/C744*100,"N/A")</f>
        <v>-13.6488740617181</v>
      </c>
      <c r="H744" s="3" t="str">
        <f aca="false">IF(NOT(ISNUMBER(F744)),"NO CURRENT DATA",IF(F744&gt;0,"RISEN",IF(F744&lt;0,"FALLEN","UNCHANGED")))</f>
        <v>FALLEN</v>
      </c>
      <c r="I744" s="3" t="s">
        <v>1480</v>
      </c>
      <c r="J744" s="3" t="n">
        <v>3</v>
      </c>
    </row>
    <row r="745" customFormat="false" ht="15" hidden="false" customHeight="false" outlineLevel="0" collapsed="false">
      <c r="A745" s="3" t="s">
        <v>1327</v>
      </c>
      <c r="B745" s="3" t="s">
        <v>1328</v>
      </c>
      <c r="C745" s="4" t="n">
        <v>1235.4</v>
      </c>
      <c r="D745" s="4" t="n">
        <v>1209.9</v>
      </c>
      <c r="E745" s="3" t="s">
        <v>1479</v>
      </c>
      <c r="F745" s="4" t="n">
        <f aca="false">IF(AND(ISNUMBER(C745),ISNUMBER(D745)),D745-C745,"N/A")</f>
        <v>-25.5</v>
      </c>
      <c r="G745" s="6" t="n">
        <f aca="false">IF(ISNUMBER(F745),F745/C745*100,"N/A")</f>
        <v>-2.06410879067508</v>
      </c>
      <c r="H745" s="3" t="str">
        <f aca="false">IF(NOT(ISNUMBER(F745)),"NO CURRENT DATA",IF(F745&gt;0,"RISEN",IF(F745&lt;0,"FALLEN","UNCHANGED")))</f>
        <v>FALLEN</v>
      </c>
      <c r="I745" s="3" t="s">
        <v>1480</v>
      </c>
      <c r="J745" s="3" t="n">
        <v>0</v>
      </c>
    </row>
    <row r="746" customFormat="false" ht="15" hidden="false" customHeight="false" outlineLevel="0" collapsed="false">
      <c r="A746" s="3" t="s">
        <v>1327</v>
      </c>
      <c r="B746" s="3" t="s">
        <v>328</v>
      </c>
      <c r="C746" s="4" t="n">
        <v>5517.5</v>
      </c>
      <c r="D746" s="4" t="n">
        <v>4915</v>
      </c>
      <c r="E746" s="3" t="s">
        <v>1479</v>
      </c>
      <c r="F746" s="4" t="n">
        <f aca="false">IF(AND(ISNUMBER(C746),ISNUMBER(D746)),D746-C746,"N/A")</f>
        <v>-602.5</v>
      </c>
      <c r="G746" s="6" t="n">
        <f aca="false">IF(ISNUMBER(F746),F746/C746*100,"N/A")</f>
        <v>-10.9198006343453</v>
      </c>
      <c r="H746" s="3" t="str">
        <f aca="false">IF(NOT(ISNUMBER(F746)),"NO CURRENT DATA",IF(F746&gt;0,"RISEN",IF(F746&lt;0,"FALLEN","UNCHANGED")))</f>
        <v>FALLEN</v>
      </c>
      <c r="I746" s="3" t="s">
        <v>1480</v>
      </c>
      <c r="J746" s="3" t="n">
        <v>6</v>
      </c>
    </row>
    <row r="747" customFormat="false" ht="15" hidden="false" customHeight="false" outlineLevel="0" collapsed="false">
      <c r="A747" s="3" t="s">
        <v>1327</v>
      </c>
      <c r="B747" s="3" t="s">
        <v>216</v>
      </c>
      <c r="C747" s="4" t="n">
        <v>1474.3</v>
      </c>
      <c r="D747" s="4" t="n">
        <v>1383.7</v>
      </c>
      <c r="E747" s="3" t="s">
        <v>1479</v>
      </c>
      <c r="F747" s="4" t="n">
        <f aca="false">IF(AND(ISNUMBER(C747),ISNUMBER(D747)),D747-C747,"N/A")</f>
        <v>-90.5999999999999</v>
      </c>
      <c r="G747" s="6" t="n">
        <f aca="false">IF(ISNUMBER(F747),F747/C747*100,"N/A")</f>
        <v>-6.14528928983246</v>
      </c>
      <c r="H747" s="3" t="str">
        <f aca="false">IF(NOT(ISNUMBER(F747)),"NO CURRENT DATA",IF(F747&gt;0,"RISEN",IF(F747&lt;0,"FALLEN","UNCHANGED")))</f>
        <v>FALLEN</v>
      </c>
      <c r="I747" s="3" t="s">
        <v>1480</v>
      </c>
      <c r="J747" s="3" t="n">
        <v>6</v>
      </c>
    </row>
    <row r="748" customFormat="false" ht="15" hidden="false" customHeight="false" outlineLevel="0" collapsed="false">
      <c r="A748" s="3" t="s">
        <v>1327</v>
      </c>
      <c r="B748" s="3" t="s">
        <v>403</v>
      </c>
      <c r="C748" s="4" t="n">
        <v>553.45</v>
      </c>
      <c r="D748" s="4" t="n">
        <v>564.15</v>
      </c>
      <c r="E748" s="3" t="s">
        <v>1479</v>
      </c>
      <c r="F748" s="4" t="n">
        <f aca="false">IF(AND(ISNUMBER(C748),ISNUMBER(D748)),D748-C748,"N/A")</f>
        <v>10.6999999999999</v>
      </c>
      <c r="G748" s="6" t="n">
        <f aca="false">IF(ISNUMBER(F748),F748/C748*100,"N/A")</f>
        <v>1.93332731050681</v>
      </c>
      <c r="H748" s="3" t="str">
        <f aca="false">IF(NOT(ISNUMBER(F748)),"NO CURRENT DATA",IF(F748&gt;0,"RISEN",IF(F748&lt;0,"FALLEN","UNCHANGED")))</f>
        <v>RISEN</v>
      </c>
      <c r="I748" s="3" t="s">
        <v>1480</v>
      </c>
      <c r="J748" s="3" t="n">
        <v>4</v>
      </c>
    </row>
    <row r="749" customFormat="false" ht="15" hidden="false" customHeight="false" outlineLevel="0" collapsed="false">
      <c r="A749" s="3" t="s">
        <v>1327</v>
      </c>
      <c r="B749" s="3" t="s">
        <v>296</v>
      </c>
      <c r="C749" s="4" t="n">
        <v>2447</v>
      </c>
      <c r="D749" s="4" t="n">
        <v>2062</v>
      </c>
      <c r="E749" s="3" t="s">
        <v>1479</v>
      </c>
      <c r="F749" s="4" t="n">
        <f aca="false">IF(AND(ISNUMBER(C749),ISNUMBER(D749)),D749-C749,"N/A")</f>
        <v>-385</v>
      </c>
      <c r="G749" s="6" t="n">
        <f aca="false">IF(ISNUMBER(F749),F749/C749*100,"N/A")</f>
        <v>-15.7335512872906</v>
      </c>
      <c r="H749" s="3" t="str">
        <f aca="false">IF(NOT(ISNUMBER(F749)),"NO CURRENT DATA",IF(F749&gt;0,"RISEN",IF(F749&lt;0,"FALLEN","UNCHANGED")))</f>
        <v>FALLEN</v>
      </c>
      <c r="I749" s="3" t="s">
        <v>1480</v>
      </c>
      <c r="J749" s="3" t="n">
        <v>5</v>
      </c>
    </row>
    <row r="750" customFormat="false" ht="15" hidden="false" customHeight="false" outlineLevel="0" collapsed="false">
      <c r="A750" s="3" t="s">
        <v>1327</v>
      </c>
      <c r="B750" s="3" t="s">
        <v>80</v>
      </c>
      <c r="C750" s="4" t="n">
        <v>1515.1</v>
      </c>
      <c r="D750" s="4" t="n">
        <v>1444</v>
      </c>
      <c r="E750" s="3" t="s">
        <v>1479</v>
      </c>
      <c r="F750" s="4" t="n">
        <f aca="false">IF(AND(ISNUMBER(C750),ISNUMBER(D750)),D750-C750,"N/A")</f>
        <v>-71.0999999999999</v>
      </c>
      <c r="G750" s="6" t="n">
        <f aca="false">IF(ISNUMBER(F750),F750/C750*100,"N/A")</f>
        <v>-4.69275955382482</v>
      </c>
      <c r="H750" s="3" t="str">
        <f aca="false">IF(NOT(ISNUMBER(F750)),"NO CURRENT DATA",IF(F750&gt;0,"RISEN",IF(F750&lt;0,"FALLEN","UNCHANGED")))</f>
        <v>FALLEN</v>
      </c>
      <c r="I750" s="3" t="s">
        <v>1480</v>
      </c>
      <c r="J750" s="3" t="n">
        <v>6</v>
      </c>
    </row>
    <row r="751" customFormat="false" ht="15" hidden="false" customHeight="false" outlineLevel="0" collapsed="false">
      <c r="A751" s="3" t="s">
        <v>1327</v>
      </c>
      <c r="B751" s="3" t="s">
        <v>120</v>
      </c>
      <c r="C751" s="4" t="n">
        <v>427.1</v>
      </c>
      <c r="D751" s="4" t="n">
        <v>330</v>
      </c>
      <c r="E751" s="3" t="s">
        <v>1479</v>
      </c>
      <c r="F751" s="4" t="n">
        <f aca="false">IF(AND(ISNUMBER(C751),ISNUMBER(D751)),D751-C751,"N/A")</f>
        <v>-97.1</v>
      </c>
      <c r="G751" s="6" t="n">
        <f aca="false">IF(ISNUMBER(F751),F751/C751*100,"N/A")</f>
        <v>-22.7347225474128</v>
      </c>
      <c r="H751" s="3" t="str">
        <f aca="false">IF(NOT(ISNUMBER(F751)),"NO CURRENT DATA",IF(F751&gt;0,"RISEN",IF(F751&lt;0,"FALLEN","UNCHANGED")))</f>
        <v>FALLEN</v>
      </c>
      <c r="I751" s="3" t="s">
        <v>1480</v>
      </c>
      <c r="J751" s="3" t="n">
        <v>5</v>
      </c>
    </row>
    <row r="752" customFormat="false" ht="15" hidden="false" customHeight="false" outlineLevel="0" collapsed="false">
      <c r="A752" s="3" t="s">
        <v>1327</v>
      </c>
      <c r="B752" s="3" t="s">
        <v>574</v>
      </c>
      <c r="C752" s="4" t="n">
        <v>374.25</v>
      </c>
      <c r="D752" s="4" t="n">
        <v>303.25</v>
      </c>
      <c r="E752" s="3" t="s">
        <v>1479</v>
      </c>
      <c r="F752" s="4" t="n">
        <f aca="false">IF(AND(ISNUMBER(C752),ISNUMBER(D752)),D752-C752,"N/A")</f>
        <v>-71</v>
      </c>
      <c r="G752" s="6" t="n">
        <f aca="false">IF(ISNUMBER(F752),F752/C752*100,"N/A")</f>
        <v>-18.9712758851035</v>
      </c>
      <c r="H752" s="3" t="str">
        <f aca="false">IF(NOT(ISNUMBER(F752)),"NO CURRENT DATA",IF(F752&gt;0,"RISEN",IF(F752&lt;0,"FALLEN","UNCHANGED")))</f>
        <v>FALLEN</v>
      </c>
      <c r="I752" s="3" t="s">
        <v>1480</v>
      </c>
      <c r="J752" s="3" t="n">
        <v>2</v>
      </c>
    </row>
    <row r="753" customFormat="false" ht="15" hidden="false" customHeight="false" outlineLevel="0" collapsed="false">
      <c r="A753" s="3" t="s">
        <v>1338</v>
      </c>
      <c r="B753" s="3" t="s">
        <v>686</v>
      </c>
      <c r="C753" s="4" t="n">
        <v>417.2</v>
      </c>
      <c r="D753" s="4" t="n">
        <v>422.5</v>
      </c>
      <c r="E753" s="3" t="s">
        <v>1479</v>
      </c>
      <c r="F753" s="4" t="n">
        <f aca="false">IF(AND(ISNUMBER(C753),ISNUMBER(D753)),D753-C753,"N/A")</f>
        <v>5.30000000000001</v>
      </c>
      <c r="G753" s="6" t="n">
        <f aca="false">IF(ISNUMBER(F753),F753/C753*100,"N/A")</f>
        <v>1.27037392138064</v>
      </c>
      <c r="H753" s="3" t="str">
        <f aca="false">IF(NOT(ISNUMBER(F753)),"NO CURRENT DATA",IF(F753&gt;0,"RISEN",IF(F753&lt;0,"FALLEN","UNCHANGED")))</f>
        <v>RISEN</v>
      </c>
      <c r="I753" s="3" t="s">
        <v>1480</v>
      </c>
      <c r="J753" s="3" t="n">
        <v>4</v>
      </c>
    </row>
    <row r="754" customFormat="false" ht="15" hidden="false" customHeight="false" outlineLevel="0" collapsed="false">
      <c r="A754" s="3" t="s">
        <v>1338</v>
      </c>
      <c r="B754" s="3" t="s">
        <v>66</v>
      </c>
      <c r="C754" s="4" t="n">
        <v>7835</v>
      </c>
      <c r="D754" s="4" t="n">
        <v>9550</v>
      </c>
      <c r="E754" s="3" t="s">
        <v>1479</v>
      </c>
      <c r="F754" s="4" t="n">
        <f aca="false">IF(AND(ISNUMBER(C754),ISNUMBER(D754)),D754-C754,"N/A")</f>
        <v>1715</v>
      </c>
      <c r="G754" s="6" t="n">
        <f aca="false">IF(ISNUMBER(F754),F754/C754*100,"N/A")</f>
        <v>21.8889597957881</v>
      </c>
      <c r="H754" s="3" t="str">
        <f aca="false">IF(NOT(ISNUMBER(F754)),"NO CURRENT DATA",IF(F754&gt;0,"RISEN",IF(F754&lt;0,"FALLEN","UNCHANGED")))</f>
        <v>RISEN</v>
      </c>
      <c r="I754" s="3" t="s">
        <v>1480</v>
      </c>
      <c r="J754" s="3" t="n">
        <v>6</v>
      </c>
    </row>
    <row r="755" customFormat="false" ht="15" hidden="false" customHeight="false" outlineLevel="0" collapsed="false">
      <c r="A755" s="3" t="s">
        <v>1338</v>
      </c>
      <c r="B755" s="3" t="s">
        <v>765</v>
      </c>
      <c r="C755" s="4" t="n">
        <v>333.75</v>
      </c>
      <c r="D755" s="4" t="n">
        <v>325.5</v>
      </c>
      <c r="E755" s="3" t="s">
        <v>1479</v>
      </c>
      <c r="F755" s="4" t="n">
        <f aca="false">IF(AND(ISNUMBER(C755),ISNUMBER(D755)),D755-C755,"N/A")</f>
        <v>-8.25</v>
      </c>
      <c r="G755" s="6" t="n">
        <f aca="false">IF(ISNUMBER(F755),F755/C755*100,"N/A")</f>
        <v>-2.47191011235955</v>
      </c>
      <c r="H755" s="3" t="str">
        <f aca="false">IF(NOT(ISNUMBER(F755)),"NO CURRENT DATA",IF(F755&gt;0,"RISEN",IF(F755&lt;0,"FALLEN","UNCHANGED")))</f>
        <v>FALLEN</v>
      </c>
      <c r="I755" s="3" t="s">
        <v>1480</v>
      </c>
      <c r="J755" s="3" t="n">
        <v>5</v>
      </c>
    </row>
    <row r="756" customFormat="false" ht="15" hidden="false" customHeight="false" outlineLevel="0" collapsed="false">
      <c r="A756" s="3" t="s">
        <v>1338</v>
      </c>
      <c r="B756" s="3" t="s">
        <v>145</v>
      </c>
      <c r="C756" s="4" t="n">
        <v>1669</v>
      </c>
      <c r="D756" s="4" t="n">
        <v>1542.2</v>
      </c>
      <c r="E756" s="3" t="s">
        <v>1479</v>
      </c>
      <c r="F756" s="4" t="n">
        <f aca="false">IF(AND(ISNUMBER(C756),ISNUMBER(D756)),D756-C756,"N/A")</f>
        <v>-126.8</v>
      </c>
      <c r="G756" s="6" t="n">
        <f aca="false">IF(ISNUMBER(F756),F756/C756*100,"N/A")</f>
        <v>-7.59736369083283</v>
      </c>
      <c r="H756" s="3" t="str">
        <f aca="false">IF(NOT(ISNUMBER(F756)),"NO CURRENT DATA",IF(F756&gt;0,"RISEN",IF(F756&lt;0,"FALLEN","UNCHANGED")))</f>
        <v>FALLEN</v>
      </c>
      <c r="I756" s="3" t="s">
        <v>1480</v>
      </c>
      <c r="J756" s="3" t="n">
        <v>8</v>
      </c>
    </row>
    <row r="757" customFormat="false" ht="15" hidden="false" customHeight="false" outlineLevel="0" collapsed="false">
      <c r="A757" s="3" t="s">
        <v>1343</v>
      </c>
      <c r="B757" s="3" t="s">
        <v>396</v>
      </c>
      <c r="C757" s="4" t="n">
        <v>1047.3</v>
      </c>
      <c r="D757" s="4" t="n">
        <v>995.3</v>
      </c>
      <c r="E757" s="3" t="s">
        <v>1479</v>
      </c>
      <c r="F757" s="4" t="n">
        <f aca="false">IF(AND(ISNUMBER(C757),ISNUMBER(D757)),D757-C757,"N/A")</f>
        <v>-52</v>
      </c>
      <c r="G757" s="6" t="n">
        <f aca="false">IF(ISNUMBER(F757),F757/C757*100,"N/A")</f>
        <v>-4.96514847703619</v>
      </c>
      <c r="H757" s="3" t="str">
        <f aca="false">IF(NOT(ISNUMBER(F757)),"NO CURRENT DATA",IF(F757&gt;0,"RISEN",IF(F757&lt;0,"FALLEN","UNCHANGED")))</f>
        <v>FALLEN</v>
      </c>
      <c r="I757" s="3" t="s">
        <v>1480</v>
      </c>
      <c r="J757" s="3" t="n">
        <v>5</v>
      </c>
    </row>
    <row r="758" customFormat="false" ht="15" hidden="false" customHeight="false" outlineLevel="0" collapsed="false">
      <c r="A758" s="3" t="s">
        <v>1343</v>
      </c>
      <c r="B758" s="3" t="s">
        <v>664</v>
      </c>
      <c r="C758" s="4" t="n">
        <v>2199.8</v>
      </c>
      <c r="D758" s="4" t="n">
        <v>1957</v>
      </c>
      <c r="E758" s="3" t="s">
        <v>1479</v>
      </c>
      <c r="F758" s="4" t="n">
        <f aca="false">IF(AND(ISNUMBER(C758),ISNUMBER(D758)),D758-C758,"N/A")</f>
        <v>-242.8</v>
      </c>
      <c r="G758" s="6" t="n">
        <f aca="false">IF(ISNUMBER(F758),F758/C758*100,"N/A")</f>
        <v>-11.0373670333667</v>
      </c>
      <c r="H758" s="3" t="str">
        <f aca="false">IF(NOT(ISNUMBER(F758)),"NO CURRENT DATA",IF(F758&gt;0,"RISEN",IF(F758&lt;0,"FALLEN","UNCHANGED")))</f>
        <v>FALLEN</v>
      </c>
      <c r="I758" s="3" t="s">
        <v>1480</v>
      </c>
      <c r="J758" s="3" t="n">
        <v>6</v>
      </c>
    </row>
    <row r="759" customFormat="false" ht="15" hidden="false" customHeight="false" outlineLevel="0" collapsed="false">
      <c r="A759" s="3" t="s">
        <v>1343</v>
      </c>
      <c r="B759" s="3" t="s">
        <v>319</v>
      </c>
      <c r="C759" s="4" t="n">
        <v>1849.9</v>
      </c>
      <c r="D759" s="4" t="n">
        <v>1634.2</v>
      </c>
      <c r="E759" s="3" t="s">
        <v>1479</v>
      </c>
      <c r="F759" s="4" t="n">
        <f aca="false">IF(AND(ISNUMBER(C759),ISNUMBER(D759)),D759-C759,"N/A")</f>
        <v>-215.7</v>
      </c>
      <c r="G759" s="6" t="n">
        <f aca="false">IF(ISNUMBER(F759),F759/C759*100,"N/A")</f>
        <v>-11.6600897345803</v>
      </c>
      <c r="H759" s="3" t="str">
        <f aca="false">IF(NOT(ISNUMBER(F759)),"NO CURRENT DATA",IF(F759&gt;0,"RISEN",IF(F759&lt;0,"FALLEN","UNCHANGED")))</f>
        <v>FALLEN</v>
      </c>
      <c r="I759" s="3" t="s">
        <v>1480</v>
      </c>
      <c r="J759" s="3" t="n">
        <v>6</v>
      </c>
    </row>
    <row r="760" customFormat="false" ht="15" hidden="false" customHeight="false" outlineLevel="0" collapsed="false">
      <c r="A760" s="3" t="s">
        <v>1343</v>
      </c>
      <c r="B760" s="3" t="s">
        <v>66</v>
      </c>
      <c r="C760" s="4" t="n">
        <v>8056</v>
      </c>
      <c r="D760" s="4" t="n">
        <v>9550</v>
      </c>
      <c r="E760" s="3" t="s">
        <v>1479</v>
      </c>
      <c r="F760" s="4" t="n">
        <f aca="false">IF(AND(ISNUMBER(C760),ISNUMBER(D760)),D760-C760,"N/A")</f>
        <v>1494</v>
      </c>
      <c r="G760" s="6" t="n">
        <f aca="false">IF(ISNUMBER(F760),F760/C760*100,"N/A")</f>
        <v>18.545183714002</v>
      </c>
      <c r="H760" s="3" t="str">
        <f aca="false">IF(NOT(ISNUMBER(F760)),"NO CURRENT DATA",IF(F760&gt;0,"RISEN",IF(F760&lt;0,"FALLEN","UNCHANGED")))</f>
        <v>RISEN</v>
      </c>
      <c r="I760" s="3" t="s">
        <v>1480</v>
      </c>
      <c r="J760" s="3" t="n">
        <v>6</v>
      </c>
    </row>
    <row r="761" customFormat="false" ht="15" hidden="false" customHeight="false" outlineLevel="0" collapsed="false">
      <c r="A761" s="3" t="s">
        <v>1343</v>
      </c>
      <c r="B761" s="3" t="s">
        <v>399</v>
      </c>
      <c r="C761" s="4" t="n">
        <v>548.5</v>
      </c>
      <c r="D761" s="4" t="n">
        <v>531.6</v>
      </c>
      <c r="E761" s="3" t="s">
        <v>1479</v>
      </c>
      <c r="F761" s="4" t="n">
        <f aca="false">IF(AND(ISNUMBER(C761),ISNUMBER(D761)),D761-C761,"N/A")</f>
        <v>-16.9</v>
      </c>
      <c r="G761" s="6" t="n">
        <f aca="false">IF(ISNUMBER(F761),F761/C761*100,"N/A")</f>
        <v>-3.08113035551504</v>
      </c>
      <c r="H761" s="3" t="str">
        <f aca="false">IF(NOT(ISNUMBER(F761)),"NO CURRENT DATA",IF(F761&gt;0,"RISEN",IF(F761&lt;0,"FALLEN","UNCHANGED")))</f>
        <v>FALLEN</v>
      </c>
      <c r="I761" s="3" t="s">
        <v>1480</v>
      </c>
      <c r="J761" s="3" t="n">
        <v>5</v>
      </c>
    </row>
    <row r="762" customFormat="false" ht="15" hidden="false" customHeight="false" outlineLevel="0" collapsed="false">
      <c r="A762" s="3" t="s">
        <v>1343</v>
      </c>
      <c r="B762" s="3" t="s">
        <v>171</v>
      </c>
      <c r="C762" s="4" t="n">
        <v>974.45</v>
      </c>
      <c r="D762" s="4" t="n">
        <v>955.9</v>
      </c>
      <c r="E762" s="3" t="s">
        <v>1479</v>
      </c>
      <c r="F762" s="4" t="n">
        <f aca="false">IF(AND(ISNUMBER(C762),ISNUMBER(D762)),D762-C762,"N/A")</f>
        <v>-18.5500000000001</v>
      </c>
      <c r="G762" s="6" t="n">
        <f aca="false">IF(ISNUMBER(F762),F762/C762*100,"N/A")</f>
        <v>-1.90363794961261</v>
      </c>
      <c r="H762" s="3" t="str">
        <f aca="false">IF(NOT(ISNUMBER(F762)),"NO CURRENT DATA",IF(F762&gt;0,"RISEN",IF(F762&lt;0,"FALLEN","UNCHANGED")))</f>
        <v>FALLEN</v>
      </c>
      <c r="I762" s="3" t="s">
        <v>1480</v>
      </c>
      <c r="J762" s="3" t="n">
        <v>3</v>
      </c>
    </row>
    <row r="763" customFormat="false" ht="15" hidden="false" customHeight="false" outlineLevel="0" collapsed="false">
      <c r="A763" s="3" t="s">
        <v>1343</v>
      </c>
      <c r="B763" s="3" t="s">
        <v>525</v>
      </c>
      <c r="C763" s="4" t="n">
        <v>256.46</v>
      </c>
      <c r="D763" s="4" t="n">
        <v>220.5</v>
      </c>
      <c r="E763" s="3" t="s">
        <v>1479</v>
      </c>
      <c r="F763" s="4" t="n">
        <f aca="false">IF(AND(ISNUMBER(C763),ISNUMBER(D763)),D763-C763,"N/A")</f>
        <v>-35.96</v>
      </c>
      <c r="G763" s="6" t="n">
        <f aca="false">IF(ISNUMBER(F763),F763/C763*100,"N/A")</f>
        <v>-14.0216797941199</v>
      </c>
      <c r="H763" s="3" t="str">
        <f aca="false">IF(NOT(ISNUMBER(F763)),"NO CURRENT DATA",IF(F763&gt;0,"RISEN",IF(F763&lt;0,"FALLEN","UNCHANGED")))</f>
        <v>FALLEN</v>
      </c>
      <c r="I763" s="3" t="s">
        <v>1480</v>
      </c>
      <c r="J763" s="3" t="n">
        <v>4</v>
      </c>
    </row>
    <row r="764" customFormat="false" ht="15" hidden="false" customHeight="false" outlineLevel="0" collapsed="false">
      <c r="A764" s="3" t="s">
        <v>1343</v>
      </c>
      <c r="B764" s="3" t="s">
        <v>346</v>
      </c>
      <c r="C764" s="4" t="n">
        <v>371.85</v>
      </c>
      <c r="D764" s="4" t="n">
        <v>313</v>
      </c>
      <c r="E764" s="3" t="s">
        <v>1479</v>
      </c>
      <c r="F764" s="4" t="n">
        <f aca="false">IF(AND(ISNUMBER(C764),ISNUMBER(D764)),D764-C764,"N/A")</f>
        <v>-58.85</v>
      </c>
      <c r="G764" s="6" t="n">
        <f aca="false">IF(ISNUMBER(F764),F764/C764*100,"N/A")</f>
        <v>-15.8262740352293</v>
      </c>
      <c r="H764" s="3" t="str">
        <f aca="false">IF(NOT(ISNUMBER(F764)),"NO CURRENT DATA",IF(F764&gt;0,"RISEN",IF(F764&lt;0,"FALLEN","UNCHANGED")))</f>
        <v>FALLEN</v>
      </c>
      <c r="I764" s="3" t="s">
        <v>1480</v>
      </c>
      <c r="J764" s="3" t="n">
        <v>3</v>
      </c>
    </row>
    <row r="765" customFormat="false" ht="15" hidden="false" customHeight="false" outlineLevel="0" collapsed="false">
      <c r="A765" s="3" t="s">
        <v>1343</v>
      </c>
      <c r="B765" s="3" t="s">
        <v>368</v>
      </c>
      <c r="C765" s="4" t="n">
        <v>150.75</v>
      </c>
      <c r="D765" s="4" t="n">
        <v>162.37</v>
      </c>
      <c r="E765" s="3" t="s">
        <v>1479</v>
      </c>
      <c r="F765" s="4" t="n">
        <f aca="false">IF(AND(ISNUMBER(C765),ISNUMBER(D765)),D765-C765,"N/A")</f>
        <v>11.62</v>
      </c>
      <c r="G765" s="6" t="n">
        <f aca="false">IF(ISNUMBER(F765),F765/C765*100,"N/A")</f>
        <v>7.70812603648425</v>
      </c>
      <c r="H765" s="3" t="str">
        <f aca="false">IF(NOT(ISNUMBER(F765)),"NO CURRENT DATA",IF(F765&gt;0,"RISEN",IF(F765&lt;0,"FALLEN","UNCHANGED")))</f>
        <v>RISEN</v>
      </c>
      <c r="I765" s="3" t="s">
        <v>1480</v>
      </c>
      <c r="J765" s="3" t="n">
        <v>6</v>
      </c>
    </row>
    <row r="766" customFormat="false" ht="15" hidden="false" customHeight="false" outlineLevel="0" collapsed="false">
      <c r="A766" s="3" t="s">
        <v>1343</v>
      </c>
      <c r="B766" s="3" t="s">
        <v>541</v>
      </c>
      <c r="C766" s="4" t="n">
        <v>3119.6</v>
      </c>
      <c r="D766" s="4" t="n">
        <v>2760</v>
      </c>
      <c r="E766" s="3" t="s">
        <v>1479</v>
      </c>
      <c r="F766" s="4" t="n">
        <f aca="false">IF(AND(ISNUMBER(C766),ISNUMBER(D766)),D766-C766,"N/A")</f>
        <v>-359.6</v>
      </c>
      <c r="G766" s="6" t="n">
        <f aca="false">IF(ISNUMBER(F766),F766/C766*100,"N/A")</f>
        <v>-11.5271188613925</v>
      </c>
      <c r="H766" s="3" t="str">
        <f aca="false">IF(NOT(ISNUMBER(F766)),"NO CURRENT DATA",IF(F766&gt;0,"RISEN",IF(F766&lt;0,"FALLEN","UNCHANGED")))</f>
        <v>FALLEN</v>
      </c>
      <c r="I766" s="3" t="s">
        <v>1480</v>
      </c>
      <c r="J766" s="3" t="n">
        <v>5</v>
      </c>
    </row>
    <row r="767" customFormat="false" ht="15" hidden="false" customHeight="false" outlineLevel="0" collapsed="false">
      <c r="A767" s="3" t="s">
        <v>1343</v>
      </c>
      <c r="B767" s="3" t="s">
        <v>1354</v>
      </c>
      <c r="C767" s="4" t="n">
        <v>189.69</v>
      </c>
      <c r="D767" s="4" t="n">
        <v>186.3</v>
      </c>
      <c r="E767" s="3" t="s">
        <v>1479</v>
      </c>
      <c r="F767" s="4" t="n">
        <f aca="false">IF(AND(ISNUMBER(C767),ISNUMBER(D767)),D767-C767,"N/A")</f>
        <v>-3.38999999999999</v>
      </c>
      <c r="G767" s="6" t="n">
        <f aca="false">IF(ISNUMBER(F767),F767/C767*100,"N/A")</f>
        <v>-1.78712636406768</v>
      </c>
      <c r="H767" s="3" t="str">
        <f aca="false">IF(NOT(ISNUMBER(F767)),"NO CURRENT DATA",IF(F767&gt;0,"RISEN",IF(F767&lt;0,"FALLEN","UNCHANGED")))</f>
        <v>FALLEN</v>
      </c>
      <c r="I767" s="3" t="s">
        <v>1480</v>
      </c>
      <c r="J767" s="3" t="n">
        <v>0</v>
      </c>
    </row>
    <row r="768" customFormat="false" ht="15" hidden="false" customHeight="false" outlineLevel="0" collapsed="false">
      <c r="A768" s="3" t="s">
        <v>1357</v>
      </c>
      <c r="B768" s="3" t="s">
        <v>58</v>
      </c>
      <c r="C768" s="4" t="n">
        <v>1941.5</v>
      </c>
      <c r="D768" s="4" t="n">
        <v>2197</v>
      </c>
      <c r="E768" s="3" t="s">
        <v>1479</v>
      </c>
      <c r="F768" s="4" t="n">
        <f aca="false">IF(AND(ISNUMBER(C768),ISNUMBER(D768)),D768-C768,"N/A")</f>
        <v>255.5</v>
      </c>
      <c r="G768" s="6" t="n">
        <f aca="false">IF(ISNUMBER(F768),F768/C768*100,"N/A")</f>
        <v>13.1599278908061</v>
      </c>
      <c r="H768" s="3" t="str">
        <f aca="false">IF(NOT(ISNUMBER(F768)),"NO CURRENT DATA",IF(F768&gt;0,"RISEN",IF(F768&lt;0,"FALLEN","UNCHANGED")))</f>
        <v>RISEN</v>
      </c>
      <c r="I768" s="3" t="s">
        <v>1480</v>
      </c>
      <c r="J768" s="3" t="n">
        <v>5</v>
      </c>
    </row>
    <row r="769" customFormat="false" ht="15" hidden="false" customHeight="false" outlineLevel="0" collapsed="false">
      <c r="A769" s="3" t="s">
        <v>1357</v>
      </c>
      <c r="B769" s="3" t="s">
        <v>516</v>
      </c>
      <c r="C769" s="4" t="n">
        <v>1729.2</v>
      </c>
      <c r="D769" s="4" t="n">
        <v>1575.4</v>
      </c>
      <c r="E769" s="3" t="s">
        <v>1479</v>
      </c>
      <c r="F769" s="4" t="n">
        <f aca="false">IF(AND(ISNUMBER(C769),ISNUMBER(D769)),D769-C769,"N/A")</f>
        <v>-153.8</v>
      </c>
      <c r="G769" s="6" t="n">
        <f aca="false">IF(ISNUMBER(F769),F769/C769*100,"N/A")</f>
        <v>-8.8942863752024</v>
      </c>
      <c r="H769" s="3" t="str">
        <f aca="false">IF(NOT(ISNUMBER(F769)),"NO CURRENT DATA",IF(F769&gt;0,"RISEN",IF(F769&lt;0,"FALLEN","UNCHANGED")))</f>
        <v>FALLEN</v>
      </c>
      <c r="I769" s="3" t="s">
        <v>1480</v>
      </c>
      <c r="J769" s="3" t="n">
        <v>4</v>
      </c>
    </row>
    <row r="770" customFormat="false" ht="15" hidden="false" customHeight="false" outlineLevel="0" collapsed="false">
      <c r="A770" s="3" t="s">
        <v>1357</v>
      </c>
      <c r="B770" s="3" t="s">
        <v>319</v>
      </c>
      <c r="C770" s="4" t="n">
        <v>1888.2</v>
      </c>
      <c r="D770" s="4" t="n">
        <v>1634.2</v>
      </c>
      <c r="E770" s="3" t="s">
        <v>1479</v>
      </c>
      <c r="F770" s="4" t="n">
        <f aca="false">IF(AND(ISNUMBER(C770),ISNUMBER(D770)),D770-C770,"N/A")</f>
        <v>-254</v>
      </c>
      <c r="G770" s="6" t="n">
        <f aca="false">IF(ISNUMBER(F770),F770/C770*100,"N/A")</f>
        <v>-13.4519648342337</v>
      </c>
      <c r="H770" s="3" t="str">
        <f aca="false">IF(NOT(ISNUMBER(F770)),"NO CURRENT DATA",IF(F770&gt;0,"RISEN",IF(F770&lt;0,"FALLEN","UNCHANGED")))</f>
        <v>FALLEN</v>
      </c>
      <c r="I770" s="3" t="s">
        <v>1480</v>
      </c>
      <c r="J770" s="3" t="n">
        <v>6</v>
      </c>
    </row>
    <row r="771" customFormat="false" ht="15" hidden="false" customHeight="false" outlineLevel="0" collapsed="false">
      <c r="A771" s="3" t="s">
        <v>1357</v>
      </c>
      <c r="B771" s="3" t="s">
        <v>171</v>
      </c>
      <c r="C771" s="4" t="n">
        <v>994.9</v>
      </c>
      <c r="D771" s="4" t="n">
        <v>955.9</v>
      </c>
      <c r="E771" s="3" t="s">
        <v>1479</v>
      </c>
      <c r="F771" s="4" t="n">
        <f aca="false">IF(AND(ISNUMBER(C771),ISNUMBER(D771)),D771-C771,"N/A")</f>
        <v>-39</v>
      </c>
      <c r="G771" s="6" t="n">
        <f aca="false">IF(ISNUMBER(F771),F771/C771*100,"N/A")</f>
        <v>-3.91999195899085</v>
      </c>
      <c r="H771" s="3" t="str">
        <f aca="false">IF(NOT(ISNUMBER(F771)),"NO CURRENT DATA",IF(F771&gt;0,"RISEN",IF(F771&lt;0,"FALLEN","UNCHANGED")))</f>
        <v>FALLEN</v>
      </c>
      <c r="I771" s="3" t="s">
        <v>1480</v>
      </c>
      <c r="J771" s="3" t="n">
        <v>3</v>
      </c>
    </row>
    <row r="772" customFormat="false" ht="15" hidden="false" customHeight="false" outlineLevel="0" collapsed="false">
      <c r="A772" s="3" t="s">
        <v>1357</v>
      </c>
      <c r="B772" s="3" t="s">
        <v>897</v>
      </c>
      <c r="C772" s="4" t="n">
        <v>880.95</v>
      </c>
      <c r="D772" s="4" t="n">
        <v>813.25</v>
      </c>
      <c r="E772" s="3" t="s">
        <v>1479</v>
      </c>
      <c r="F772" s="4" t="n">
        <f aca="false">IF(AND(ISNUMBER(C772),ISNUMBER(D772)),D772-C772,"N/A")</f>
        <v>-67.7000000000001</v>
      </c>
      <c r="G772" s="6" t="n">
        <f aca="false">IF(ISNUMBER(F772),F772/C772*100,"N/A")</f>
        <v>-7.68488563482604</v>
      </c>
      <c r="H772" s="3" t="str">
        <f aca="false">IF(NOT(ISNUMBER(F772)),"NO CURRENT DATA",IF(F772&gt;0,"RISEN",IF(F772&lt;0,"FALLEN","UNCHANGED")))</f>
        <v>FALLEN</v>
      </c>
      <c r="I772" s="3" t="s">
        <v>1480</v>
      </c>
      <c r="J772" s="3" t="n">
        <v>1</v>
      </c>
    </row>
    <row r="773" customFormat="false" ht="15" hidden="false" customHeight="false" outlineLevel="0" collapsed="false">
      <c r="A773" s="3" t="s">
        <v>1357</v>
      </c>
      <c r="B773" s="3" t="s">
        <v>1354</v>
      </c>
      <c r="C773" s="4" t="n">
        <v>191</v>
      </c>
      <c r="D773" s="4" t="n">
        <v>186.3</v>
      </c>
      <c r="E773" s="3" t="s">
        <v>1479</v>
      </c>
      <c r="F773" s="4" t="n">
        <f aca="false">IF(AND(ISNUMBER(C773),ISNUMBER(D773)),D773-C773,"N/A")</f>
        <v>-4.69999999999999</v>
      </c>
      <c r="G773" s="6" t="n">
        <f aca="false">IF(ISNUMBER(F773),F773/C773*100,"N/A")</f>
        <v>-2.46073298429319</v>
      </c>
      <c r="H773" s="3" t="str">
        <f aca="false">IF(NOT(ISNUMBER(F773)),"NO CURRENT DATA",IF(F773&gt;0,"RISEN",IF(F773&lt;0,"FALLEN","UNCHANGED")))</f>
        <v>FALLEN</v>
      </c>
      <c r="I773" s="3" t="s">
        <v>1480</v>
      </c>
      <c r="J773" s="3" t="n">
        <v>0</v>
      </c>
    </row>
    <row r="774" customFormat="false" ht="15" hidden="false" customHeight="false" outlineLevel="0" collapsed="false">
      <c r="A774" s="3" t="s">
        <v>1364</v>
      </c>
      <c r="B774" s="3" t="s">
        <v>380</v>
      </c>
      <c r="C774" s="4" t="n">
        <v>1585.9</v>
      </c>
      <c r="D774" s="4" t="n">
        <v>1697.5</v>
      </c>
      <c r="E774" s="3" t="s">
        <v>1479</v>
      </c>
      <c r="F774" s="4" t="n">
        <f aca="false">IF(AND(ISNUMBER(C774),ISNUMBER(D774)),D774-C774,"N/A")</f>
        <v>111.6</v>
      </c>
      <c r="G774" s="6" t="n">
        <f aca="false">IF(ISNUMBER(F774),F774/C774*100,"N/A")</f>
        <v>7.03701368308216</v>
      </c>
      <c r="H774" s="3" t="str">
        <f aca="false">IF(NOT(ISNUMBER(F774)),"NO CURRENT DATA",IF(F774&gt;0,"RISEN",IF(F774&lt;0,"FALLEN","UNCHANGED")))</f>
        <v>RISEN</v>
      </c>
      <c r="I774" s="3" t="s">
        <v>1480</v>
      </c>
      <c r="J774" s="3" t="n">
        <v>5</v>
      </c>
    </row>
    <row r="775" customFormat="false" ht="15" hidden="false" customHeight="false" outlineLevel="0" collapsed="false">
      <c r="A775" s="3" t="s">
        <v>1364</v>
      </c>
      <c r="B775" s="3" t="s">
        <v>868</v>
      </c>
      <c r="C775" s="4" t="n">
        <v>5548</v>
      </c>
      <c r="D775" s="4" t="n">
        <v>5390</v>
      </c>
      <c r="E775" s="3" t="s">
        <v>1479</v>
      </c>
      <c r="F775" s="4" t="n">
        <f aca="false">IF(AND(ISNUMBER(C775),ISNUMBER(D775)),D775-C775,"N/A")</f>
        <v>-158</v>
      </c>
      <c r="G775" s="6" t="n">
        <f aca="false">IF(ISNUMBER(F775),F775/C775*100,"N/A")</f>
        <v>-2.8478731074261</v>
      </c>
      <c r="H775" s="3" t="str">
        <f aca="false">IF(NOT(ISNUMBER(F775)),"NO CURRENT DATA",IF(F775&gt;0,"RISEN",IF(F775&lt;0,"FALLEN","UNCHANGED")))</f>
        <v>FALLEN</v>
      </c>
      <c r="I775" s="3" t="s">
        <v>1480</v>
      </c>
      <c r="J775" s="3" t="n">
        <v>3</v>
      </c>
    </row>
    <row r="776" customFormat="false" ht="15" hidden="false" customHeight="false" outlineLevel="0" collapsed="false">
      <c r="A776" s="3" t="s">
        <v>1364</v>
      </c>
      <c r="B776" s="3" t="s">
        <v>901</v>
      </c>
      <c r="C776" s="4" t="n">
        <v>1202</v>
      </c>
      <c r="D776" s="4" t="n">
        <v>1093.9</v>
      </c>
      <c r="E776" s="3" t="s">
        <v>1479</v>
      </c>
      <c r="F776" s="4" t="n">
        <f aca="false">IF(AND(ISNUMBER(C776),ISNUMBER(D776)),D776-C776,"N/A")</f>
        <v>-108.1</v>
      </c>
      <c r="G776" s="6" t="n">
        <f aca="false">IF(ISNUMBER(F776),F776/C776*100,"N/A")</f>
        <v>-8.99334442595673</v>
      </c>
      <c r="H776" s="3" t="str">
        <f aca="false">IF(NOT(ISNUMBER(F776)),"NO CURRENT DATA",IF(F776&gt;0,"RISEN",IF(F776&lt;0,"FALLEN","UNCHANGED")))</f>
        <v>FALLEN</v>
      </c>
      <c r="I776" s="3" t="s">
        <v>1480</v>
      </c>
      <c r="J776" s="3" t="n">
        <v>6</v>
      </c>
    </row>
    <row r="777" customFormat="false" ht="15" hidden="false" customHeight="false" outlineLevel="0" collapsed="false">
      <c r="A777" s="3" t="s">
        <v>1364</v>
      </c>
      <c r="B777" s="3" t="s">
        <v>114</v>
      </c>
      <c r="C777" s="4" t="n">
        <v>84.2</v>
      </c>
      <c r="D777" s="4" t="n">
        <v>77.43</v>
      </c>
      <c r="E777" s="3" t="s">
        <v>1479</v>
      </c>
      <c r="F777" s="4" t="n">
        <f aca="false">IF(AND(ISNUMBER(C777),ISNUMBER(D777)),D777-C777,"N/A")</f>
        <v>-6.77</v>
      </c>
      <c r="G777" s="6" t="n">
        <f aca="false">IF(ISNUMBER(F777),F777/C777*100,"N/A")</f>
        <v>-8.04038004750593</v>
      </c>
      <c r="H777" s="3" t="str">
        <f aca="false">IF(NOT(ISNUMBER(F777)),"NO CURRENT DATA",IF(F777&gt;0,"RISEN",IF(F777&lt;0,"FALLEN","UNCHANGED")))</f>
        <v>FALLEN</v>
      </c>
      <c r="I777" s="3" t="s">
        <v>1480</v>
      </c>
      <c r="J777" s="3" t="n">
        <v>6</v>
      </c>
    </row>
    <row r="778" customFormat="false" ht="15" hidden="false" customHeight="false" outlineLevel="0" collapsed="false">
      <c r="A778" s="3" t="s">
        <v>1369</v>
      </c>
      <c r="B778" s="3" t="s">
        <v>207</v>
      </c>
      <c r="C778" s="4" t="n">
        <v>1192</v>
      </c>
      <c r="D778" s="4" t="n">
        <v>1045</v>
      </c>
      <c r="E778" s="3" t="s">
        <v>1479</v>
      </c>
      <c r="F778" s="4" t="n">
        <f aca="false">IF(AND(ISNUMBER(C778),ISNUMBER(D778)),D778-C778,"N/A")</f>
        <v>-147</v>
      </c>
      <c r="G778" s="6" t="n">
        <f aca="false">IF(ISNUMBER(F778),F778/C778*100,"N/A")</f>
        <v>-12.3322147651007</v>
      </c>
      <c r="H778" s="3" t="str">
        <f aca="false">IF(NOT(ISNUMBER(F778)),"NO CURRENT DATA",IF(F778&gt;0,"RISEN",IF(F778&lt;0,"FALLEN","UNCHANGED")))</f>
        <v>FALLEN</v>
      </c>
      <c r="I778" s="3" t="s">
        <v>1480</v>
      </c>
      <c r="J778" s="3" t="n">
        <v>9</v>
      </c>
    </row>
    <row r="779" customFormat="false" ht="15" hidden="false" customHeight="false" outlineLevel="0" collapsed="false">
      <c r="A779" s="3" t="s">
        <v>1369</v>
      </c>
      <c r="B779" s="3" t="s">
        <v>437</v>
      </c>
      <c r="C779" s="4" t="n">
        <v>445</v>
      </c>
      <c r="D779" s="4" t="n">
        <v>374.35</v>
      </c>
      <c r="E779" s="3" t="s">
        <v>1479</v>
      </c>
      <c r="F779" s="4" t="n">
        <f aca="false">IF(AND(ISNUMBER(C779),ISNUMBER(D779)),D779-C779,"N/A")</f>
        <v>-70.65</v>
      </c>
      <c r="G779" s="6" t="n">
        <f aca="false">IF(ISNUMBER(F779),F779/C779*100,"N/A")</f>
        <v>-15.876404494382</v>
      </c>
      <c r="H779" s="3" t="str">
        <f aca="false">IF(NOT(ISNUMBER(F779)),"NO CURRENT DATA",IF(F779&gt;0,"RISEN",IF(F779&lt;0,"FALLEN","UNCHANGED")))</f>
        <v>FALLEN</v>
      </c>
      <c r="I779" s="3" t="s">
        <v>1480</v>
      </c>
      <c r="J779" s="3" t="n">
        <v>2</v>
      </c>
    </row>
    <row r="780" customFormat="false" ht="15" hidden="false" customHeight="false" outlineLevel="0" collapsed="false">
      <c r="A780" s="3" t="s">
        <v>1369</v>
      </c>
      <c r="B780" s="3" t="s">
        <v>380</v>
      </c>
      <c r="C780" s="4" t="n">
        <v>1613.4</v>
      </c>
      <c r="D780" s="4" t="n">
        <v>1697.5</v>
      </c>
      <c r="E780" s="3" t="s">
        <v>1479</v>
      </c>
      <c r="F780" s="4" t="n">
        <f aca="false">IF(AND(ISNUMBER(C780),ISNUMBER(D780)),D780-C780,"N/A")</f>
        <v>84.0999999999999</v>
      </c>
      <c r="G780" s="6" t="n">
        <f aca="false">IF(ISNUMBER(F780),F780/C780*100,"N/A")</f>
        <v>5.21259452088756</v>
      </c>
      <c r="H780" s="3" t="str">
        <f aca="false">IF(NOT(ISNUMBER(F780)),"NO CURRENT DATA",IF(F780&gt;0,"RISEN",IF(F780&lt;0,"FALLEN","UNCHANGED")))</f>
        <v>RISEN</v>
      </c>
      <c r="I780" s="3" t="s">
        <v>1480</v>
      </c>
      <c r="J780" s="3" t="n">
        <v>5</v>
      </c>
    </row>
    <row r="781" customFormat="false" ht="15" hidden="false" customHeight="false" outlineLevel="0" collapsed="false">
      <c r="A781" s="3" t="s">
        <v>1369</v>
      </c>
      <c r="B781" s="3" t="s">
        <v>257</v>
      </c>
      <c r="C781" s="4" t="n">
        <v>176.96</v>
      </c>
      <c r="D781" s="4" t="n">
        <v>172.45</v>
      </c>
      <c r="E781" s="3" t="s">
        <v>1479</v>
      </c>
      <c r="F781" s="4" t="n">
        <f aca="false">IF(AND(ISNUMBER(C781),ISNUMBER(D781)),D781-C781,"N/A")</f>
        <v>-4.51000000000002</v>
      </c>
      <c r="G781" s="6" t="n">
        <f aca="false">IF(ISNUMBER(F781),F781/C781*100,"N/A")</f>
        <v>-2.5485985533454</v>
      </c>
      <c r="H781" s="3" t="str">
        <f aca="false">IF(NOT(ISNUMBER(F781)),"NO CURRENT DATA",IF(F781&gt;0,"RISEN",IF(F781&lt;0,"FALLEN","UNCHANGED")))</f>
        <v>FALLEN</v>
      </c>
      <c r="I781" s="3" t="s">
        <v>1480</v>
      </c>
      <c r="J781" s="3" t="n">
        <v>4</v>
      </c>
    </row>
    <row r="782" customFormat="false" ht="15" hidden="false" customHeight="false" outlineLevel="0" collapsed="false">
      <c r="A782" s="3" t="s">
        <v>1369</v>
      </c>
      <c r="B782" s="3" t="s">
        <v>496</v>
      </c>
      <c r="C782" s="4" t="n">
        <v>1069</v>
      </c>
      <c r="D782" s="4" t="n">
        <v>868</v>
      </c>
      <c r="E782" s="3" t="s">
        <v>1479</v>
      </c>
      <c r="F782" s="4" t="n">
        <f aca="false">IF(AND(ISNUMBER(C782),ISNUMBER(D782)),D782-C782,"N/A")</f>
        <v>-201</v>
      </c>
      <c r="G782" s="6" t="n">
        <f aca="false">IF(ISNUMBER(F782),F782/C782*100,"N/A")</f>
        <v>-18.8026192703461</v>
      </c>
      <c r="H782" s="3" t="str">
        <f aca="false">IF(NOT(ISNUMBER(F782)),"NO CURRENT DATA",IF(F782&gt;0,"RISEN",IF(F782&lt;0,"FALLEN","UNCHANGED")))</f>
        <v>FALLEN</v>
      </c>
      <c r="I782" s="3" t="s">
        <v>1480</v>
      </c>
      <c r="J782" s="3" t="n">
        <v>2</v>
      </c>
    </row>
    <row r="783" customFormat="false" ht="15" hidden="false" customHeight="false" outlineLevel="0" collapsed="false">
      <c r="A783" s="3" t="s">
        <v>1369</v>
      </c>
      <c r="B783" s="3" t="s">
        <v>399</v>
      </c>
      <c r="C783" s="4" t="n">
        <v>545</v>
      </c>
      <c r="D783" s="4" t="n">
        <v>531.6</v>
      </c>
      <c r="E783" s="3" t="s">
        <v>1479</v>
      </c>
      <c r="F783" s="4" t="n">
        <f aca="false">IF(AND(ISNUMBER(C783),ISNUMBER(D783)),D783-C783,"N/A")</f>
        <v>-13.4</v>
      </c>
      <c r="G783" s="6" t="n">
        <f aca="false">IF(ISNUMBER(F783),F783/C783*100,"N/A")</f>
        <v>-2.45871559633027</v>
      </c>
      <c r="H783" s="3" t="str">
        <f aca="false">IF(NOT(ISNUMBER(F783)),"NO CURRENT DATA",IF(F783&gt;0,"RISEN",IF(F783&lt;0,"FALLEN","UNCHANGED")))</f>
        <v>FALLEN</v>
      </c>
      <c r="I783" s="3" t="s">
        <v>1480</v>
      </c>
      <c r="J783" s="3" t="n">
        <v>6</v>
      </c>
    </row>
    <row r="784" customFormat="false" ht="15" hidden="false" customHeight="false" outlineLevel="0" collapsed="false">
      <c r="A784" s="3" t="s">
        <v>1369</v>
      </c>
      <c r="B784" s="3" t="s">
        <v>74</v>
      </c>
      <c r="C784" s="4" t="n">
        <v>1684</v>
      </c>
      <c r="D784" s="4" t="n">
        <v>1540</v>
      </c>
      <c r="E784" s="3" t="s">
        <v>1479</v>
      </c>
      <c r="F784" s="4" t="n">
        <f aca="false">IF(AND(ISNUMBER(C784),ISNUMBER(D784)),D784-C784,"N/A")</f>
        <v>-144</v>
      </c>
      <c r="G784" s="6" t="n">
        <f aca="false">IF(ISNUMBER(F784),F784/C784*100,"N/A")</f>
        <v>-8.55106888361045</v>
      </c>
      <c r="H784" s="3" t="str">
        <f aca="false">IF(NOT(ISNUMBER(F784)),"NO CURRENT DATA",IF(F784&gt;0,"RISEN",IF(F784&lt;0,"FALLEN","UNCHANGED")))</f>
        <v>FALLEN</v>
      </c>
      <c r="I784" s="3" t="s">
        <v>1480</v>
      </c>
      <c r="J784" s="3" t="n">
        <v>5</v>
      </c>
    </row>
    <row r="785" customFormat="false" ht="15" hidden="false" customHeight="false" outlineLevel="0" collapsed="false">
      <c r="A785" s="3" t="s">
        <v>1369</v>
      </c>
      <c r="B785" s="3" t="s">
        <v>175</v>
      </c>
      <c r="C785" s="4" t="n">
        <v>1330</v>
      </c>
      <c r="D785" s="4" t="n">
        <v>1264.1</v>
      </c>
      <c r="E785" s="3" t="s">
        <v>1479</v>
      </c>
      <c r="F785" s="4" t="n">
        <f aca="false">IF(AND(ISNUMBER(C785),ISNUMBER(D785)),D785-C785,"N/A")</f>
        <v>-65.9000000000001</v>
      </c>
      <c r="G785" s="6" t="n">
        <f aca="false">IF(ISNUMBER(F785),F785/C785*100,"N/A")</f>
        <v>-4.95488721804512</v>
      </c>
      <c r="H785" s="3" t="str">
        <f aca="false">IF(NOT(ISNUMBER(F785)),"NO CURRENT DATA",IF(F785&gt;0,"RISEN",IF(F785&lt;0,"FALLEN","UNCHANGED")))</f>
        <v>FALLEN</v>
      </c>
      <c r="I785" s="3" t="s">
        <v>1480</v>
      </c>
      <c r="J785" s="3" t="n">
        <v>6</v>
      </c>
    </row>
    <row r="786" customFormat="false" ht="15" hidden="false" customHeight="false" outlineLevel="0" collapsed="false">
      <c r="A786" s="3" t="s">
        <v>1369</v>
      </c>
      <c r="B786" s="3" t="s">
        <v>820</v>
      </c>
      <c r="C786" s="4" t="n">
        <v>485</v>
      </c>
      <c r="D786" s="4" t="n">
        <v>478.7</v>
      </c>
      <c r="E786" s="3" t="s">
        <v>1479</v>
      </c>
      <c r="F786" s="4" t="n">
        <f aca="false">IF(AND(ISNUMBER(C786),ISNUMBER(D786)),D786-C786,"N/A")</f>
        <v>-6.30000000000001</v>
      </c>
      <c r="G786" s="6" t="n">
        <f aca="false">IF(ISNUMBER(F786),F786/C786*100,"N/A")</f>
        <v>-1.29896907216495</v>
      </c>
      <c r="H786" s="3" t="str">
        <f aca="false">IF(NOT(ISNUMBER(F786)),"NO CURRENT DATA",IF(F786&gt;0,"RISEN",IF(F786&lt;0,"FALLEN","UNCHANGED")))</f>
        <v>FALLEN</v>
      </c>
      <c r="I786" s="3" t="s">
        <v>1480</v>
      </c>
      <c r="J786" s="3" t="n">
        <v>1</v>
      </c>
    </row>
    <row r="787" customFormat="false" ht="15" hidden="false" customHeight="false" outlineLevel="0" collapsed="false">
      <c r="A787" s="3" t="s">
        <v>1369</v>
      </c>
      <c r="B787" s="3" t="s">
        <v>901</v>
      </c>
      <c r="C787" s="4" t="n">
        <v>1215</v>
      </c>
      <c r="D787" s="4" t="n">
        <v>1093.9</v>
      </c>
      <c r="E787" s="3" t="s">
        <v>1479</v>
      </c>
      <c r="F787" s="4" t="n">
        <f aca="false">IF(AND(ISNUMBER(C787),ISNUMBER(D787)),D787-C787,"N/A")</f>
        <v>-121.1</v>
      </c>
      <c r="G787" s="6" t="n">
        <f aca="false">IF(ISNUMBER(F787),F787/C787*100,"N/A")</f>
        <v>-9.96707818930041</v>
      </c>
      <c r="H787" s="3" t="str">
        <f aca="false">IF(NOT(ISNUMBER(F787)),"NO CURRENT DATA",IF(F787&gt;0,"RISEN",IF(F787&lt;0,"FALLEN","UNCHANGED")))</f>
        <v>FALLEN</v>
      </c>
      <c r="I787" s="3" t="s">
        <v>1480</v>
      </c>
      <c r="J787" s="3" t="n">
        <v>6</v>
      </c>
    </row>
    <row r="788" customFormat="false" ht="15" hidden="false" customHeight="false" outlineLevel="0" collapsed="false">
      <c r="A788" s="3" t="s">
        <v>1369</v>
      </c>
      <c r="B788" s="3" t="s">
        <v>114</v>
      </c>
      <c r="C788" s="4" t="n">
        <v>85.8</v>
      </c>
      <c r="D788" s="4" t="n">
        <v>77.43</v>
      </c>
      <c r="E788" s="3" t="s">
        <v>1479</v>
      </c>
      <c r="F788" s="4" t="n">
        <f aca="false">IF(AND(ISNUMBER(C788),ISNUMBER(D788)),D788-C788,"N/A")</f>
        <v>-8.36999999999999</v>
      </c>
      <c r="G788" s="6" t="n">
        <f aca="false">IF(ISNUMBER(F788),F788/C788*100,"N/A")</f>
        <v>-9.75524475524474</v>
      </c>
      <c r="H788" s="3" t="str">
        <f aca="false">IF(NOT(ISNUMBER(F788)),"NO CURRENT DATA",IF(F788&gt;0,"RISEN",IF(F788&lt;0,"FALLEN","UNCHANGED")))</f>
        <v>FALLEN</v>
      </c>
      <c r="I788" s="3" t="s">
        <v>1480</v>
      </c>
      <c r="J788" s="3" t="n">
        <v>6</v>
      </c>
    </row>
    <row r="789" customFormat="false" ht="15" hidden="false" customHeight="false" outlineLevel="0" collapsed="false">
      <c r="A789" s="3" t="s">
        <v>1369</v>
      </c>
      <c r="B789" s="3" t="s">
        <v>272</v>
      </c>
      <c r="C789" s="4" t="n">
        <v>349.9</v>
      </c>
      <c r="D789" s="4" t="n">
        <v>321.1</v>
      </c>
      <c r="E789" s="3" t="s">
        <v>1479</v>
      </c>
      <c r="F789" s="4" t="n">
        <f aca="false">IF(AND(ISNUMBER(C789),ISNUMBER(D789)),D789-C789,"N/A")</f>
        <v>-28.8</v>
      </c>
      <c r="G789" s="6" t="n">
        <f aca="false">IF(ISNUMBER(F789),F789/C789*100,"N/A")</f>
        <v>-8.23092312089167</v>
      </c>
      <c r="H789" s="3" t="str">
        <f aca="false">IF(NOT(ISNUMBER(F789)),"NO CURRENT DATA",IF(F789&gt;0,"RISEN",IF(F789&lt;0,"FALLEN","UNCHANGED")))</f>
        <v>FALLEN</v>
      </c>
      <c r="I789" s="3" t="s">
        <v>1480</v>
      </c>
      <c r="J789" s="3" t="n">
        <v>7</v>
      </c>
    </row>
    <row r="790" customFormat="false" ht="15" hidden="false" customHeight="false" outlineLevel="0" collapsed="false">
      <c r="A790" s="3" t="s">
        <v>1369</v>
      </c>
      <c r="B790" s="3" t="s">
        <v>876</v>
      </c>
      <c r="C790" s="4" t="n">
        <v>2810</v>
      </c>
      <c r="D790" s="4" t="n">
        <v>2349</v>
      </c>
      <c r="E790" s="3" t="s">
        <v>1479</v>
      </c>
      <c r="F790" s="4" t="n">
        <f aca="false">IF(AND(ISNUMBER(C790),ISNUMBER(D790)),D790-C790,"N/A")</f>
        <v>-461</v>
      </c>
      <c r="G790" s="6" t="n">
        <f aca="false">IF(ISNUMBER(F790),F790/C790*100,"N/A")</f>
        <v>-16.4056939501779</v>
      </c>
      <c r="H790" s="3" t="str">
        <f aca="false">IF(NOT(ISNUMBER(F790)),"NO CURRENT DATA",IF(F790&gt;0,"RISEN",IF(F790&lt;0,"FALLEN","UNCHANGED")))</f>
        <v>FALLEN</v>
      </c>
      <c r="I790" s="3" t="s">
        <v>1480</v>
      </c>
      <c r="J790" s="3" t="n">
        <v>3</v>
      </c>
    </row>
    <row r="791" customFormat="false" ht="15" hidden="false" customHeight="false" outlineLevel="0" collapsed="false">
      <c r="A791" s="3" t="s">
        <v>1369</v>
      </c>
      <c r="B791" s="3" t="s">
        <v>406</v>
      </c>
      <c r="C791" s="4" t="n">
        <v>175.5</v>
      </c>
      <c r="D791" s="4" t="n">
        <v>184.2</v>
      </c>
      <c r="E791" s="3" t="s">
        <v>1479</v>
      </c>
      <c r="F791" s="4" t="n">
        <f aca="false">IF(AND(ISNUMBER(C791),ISNUMBER(D791)),D791-C791,"N/A")</f>
        <v>8.69999999999999</v>
      </c>
      <c r="G791" s="6" t="n">
        <f aca="false">IF(ISNUMBER(F791),F791/C791*100,"N/A")</f>
        <v>4.95726495726495</v>
      </c>
      <c r="H791" s="3" t="str">
        <f aca="false">IF(NOT(ISNUMBER(F791)),"NO CURRENT DATA",IF(F791&gt;0,"RISEN",IF(F791&lt;0,"FALLEN","UNCHANGED")))</f>
        <v>RISEN</v>
      </c>
      <c r="I791" s="3" t="s">
        <v>1480</v>
      </c>
      <c r="J791" s="3" t="n">
        <v>4</v>
      </c>
    </row>
    <row r="792" customFormat="false" ht="15" hidden="false" customHeight="false" outlineLevel="0" collapsed="false">
      <c r="A792" s="3" t="s">
        <v>1369</v>
      </c>
      <c r="B792" s="3" t="s">
        <v>126</v>
      </c>
      <c r="C792" s="4" t="n">
        <v>277</v>
      </c>
      <c r="D792" s="4" t="n">
        <v>259</v>
      </c>
      <c r="E792" s="3" t="s">
        <v>1479</v>
      </c>
      <c r="F792" s="4" t="n">
        <f aca="false">IF(AND(ISNUMBER(C792),ISNUMBER(D792)),D792-C792,"N/A")</f>
        <v>-18</v>
      </c>
      <c r="G792" s="6" t="n">
        <f aca="false">IF(ISNUMBER(F792),F792/C792*100,"N/A")</f>
        <v>-6.49819494584837</v>
      </c>
      <c r="H792" s="3" t="str">
        <f aca="false">IF(NOT(ISNUMBER(F792)),"NO CURRENT DATA",IF(F792&gt;0,"RISEN",IF(F792&lt;0,"FALLEN","UNCHANGED")))</f>
        <v>FALLEN</v>
      </c>
      <c r="I792" s="3" t="s">
        <v>1480</v>
      </c>
      <c r="J792" s="3" t="n">
        <v>3</v>
      </c>
    </row>
    <row r="793" customFormat="false" ht="15" hidden="false" customHeight="false" outlineLevel="0" collapsed="false">
      <c r="A793" s="3" t="s">
        <v>1385</v>
      </c>
      <c r="B793" s="3" t="s">
        <v>1386</v>
      </c>
      <c r="C793" s="4" t="n">
        <v>174.66</v>
      </c>
      <c r="D793" s="4" t="n">
        <v>181</v>
      </c>
      <c r="E793" s="3" t="s">
        <v>1479</v>
      </c>
      <c r="F793" s="4" t="n">
        <f aca="false">IF(AND(ISNUMBER(C793),ISNUMBER(D793)),D793-C793,"N/A")</f>
        <v>6.34</v>
      </c>
      <c r="G793" s="6" t="n">
        <f aca="false">IF(ISNUMBER(F793),F793/C793*100,"N/A")</f>
        <v>3.62990953853201</v>
      </c>
      <c r="H793" s="3" t="str">
        <f aca="false">IF(NOT(ISNUMBER(F793)),"NO CURRENT DATA",IF(F793&gt;0,"RISEN",IF(F793&lt;0,"FALLEN","UNCHANGED")))</f>
        <v>RISEN</v>
      </c>
      <c r="I793" s="3" t="s">
        <v>1480</v>
      </c>
      <c r="J793" s="3" t="n">
        <v>0</v>
      </c>
    </row>
    <row r="794" customFormat="false" ht="15" hidden="false" customHeight="false" outlineLevel="0" collapsed="false">
      <c r="A794" s="3" t="s">
        <v>1385</v>
      </c>
      <c r="B794" s="3" t="s">
        <v>319</v>
      </c>
      <c r="C794" s="4" t="n">
        <v>1940</v>
      </c>
      <c r="D794" s="4" t="n">
        <v>1634.2</v>
      </c>
      <c r="E794" s="3" t="s">
        <v>1479</v>
      </c>
      <c r="F794" s="4" t="n">
        <f aca="false">IF(AND(ISNUMBER(C794),ISNUMBER(D794)),D794-C794,"N/A")</f>
        <v>-305.8</v>
      </c>
      <c r="G794" s="6" t="n">
        <f aca="false">IF(ISNUMBER(F794),F794/C794*100,"N/A")</f>
        <v>-15.7628865979381</v>
      </c>
      <c r="H794" s="3" t="str">
        <f aca="false">IF(NOT(ISNUMBER(F794)),"NO CURRENT DATA",IF(F794&gt;0,"RISEN",IF(F794&lt;0,"FALLEN","UNCHANGED")))</f>
        <v>FALLEN</v>
      </c>
      <c r="I794" s="3" t="s">
        <v>1480</v>
      </c>
      <c r="J794" s="3" t="n">
        <v>7</v>
      </c>
    </row>
    <row r="795" customFormat="false" ht="15" hidden="false" customHeight="false" outlineLevel="0" collapsed="false">
      <c r="A795" s="3" t="s">
        <v>1385</v>
      </c>
      <c r="B795" s="3" t="s">
        <v>671</v>
      </c>
      <c r="C795" s="4" t="n">
        <v>4920</v>
      </c>
      <c r="D795" s="4" t="n">
        <v>4738</v>
      </c>
      <c r="E795" s="3" t="s">
        <v>1479</v>
      </c>
      <c r="F795" s="4" t="n">
        <f aca="false">IF(AND(ISNUMBER(C795),ISNUMBER(D795)),D795-C795,"N/A")</f>
        <v>-182</v>
      </c>
      <c r="G795" s="6" t="n">
        <f aca="false">IF(ISNUMBER(F795),F795/C795*100,"N/A")</f>
        <v>-3.69918699186992</v>
      </c>
      <c r="H795" s="3" t="str">
        <f aca="false">IF(NOT(ISNUMBER(F795)),"NO CURRENT DATA",IF(F795&gt;0,"RISEN",IF(F795&lt;0,"FALLEN","UNCHANGED")))</f>
        <v>FALLEN</v>
      </c>
      <c r="I795" s="3" t="s">
        <v>1480</v>
      </c>
      <c r="J795" s="3" t="n">
        <v>1</v>
      </c>
    </row>
    <row r="796" customFormat="false" ht="15" hidden="false" customHeight="false" outlineLevel="0" collapsed="false">
      <c r="A796" s="3" t="s">
        <v>1385</v>
      </c>
      <c r="B796" s="3" t="s">
        <v>880</v>
      </c>
      <c r="C796" s="4" t="n">
        <v>1325</v>
      </c>
      <c r="D796" s="4" t="n">
        <v>1197.6</v>
      </c>
      <c r="E796" s="3" t="s">
        <v>1479</v>
      </c>
      <c r="F796" s="4" t="n">
        <f aca="false">IF(AND(ISNUMBER(C796),ISNUMBER(D796)),D796-C796,"N/A")</f>
        <v>-127.4</v>
      </c>
      <c r="G796" s="6" t="n">
        <f aca="false">IF(ISNUMBER(F796),F796/C796*100,"N/A")</f>
        <v>-9.61509433962265</v>
      </c>
      <c r="H796" s="3" t="str">
        <f aca="false">IF(NOT(ISNUMBER(F796)),"NO CURRENT DATA",IF(F796&gt;0,"RISEN",IF(F796&lt;0,"FALLEN","UNCHANGED")))</f>
        <v>FALLEN</v>
      </c>
      <c r="I796" s="3" t="s">
        <v>1480</v>
      </c>
      <c r="J796" s="3" t="n">
        <v>1</v>
      </c>
    </row>
    <row r="797" customFormat="false" ht="15" hidden="false" customHeight="false" outlineLevel="0" collapsed="false">
      <c r="A797" s="3" t="s">
        <v>1385</v>
      </c>
      <c r="B797" s="3" t="s">
        <v>926</v>
      </c>
      <c r="C797" s="4" t="n">
        <v>4998</v>
      </c>
      <c r="D797" s="4" t="n">
        <v>4819.5</v>
      </c>
      <c r="E797" s="3" t="s">
        <v>1479</v>
      </c>
      <c r="F797" s="4" t="n">
        <f aca="false">IF(AND(ISNUMBER(C797),ISNUMBER(D797)),D797-C797,"N/A")</f>
        <v>-178.5</v>
      </c>
      <c r="G797" s="6" t="n">
        <f aca="false">IF(ISNUMBER(F797),F797/C797*100,"N/A")</f>
        <v>-3.57142857142857</v>
      </c>
      <c r="H797" s="3" t="str">
        <f aca="false">IF(NOT(ISNUMBER(F797)),"NO CURRENT DATA",IF(F797&gt;0,"RISEN",IF(F797&lt;0,"FALLEN","UNCHANGED")))</f>
        <v>FALLEN</v>
      </c>
      <c r="I797" s="3" t="s">
        <v>1480</v>
      </c>
      <c r="J797" s="3" t="n">
        <v>1</v>
      </c>
    </row>
    <row r="798" customFormat="false" ht="15" hidden="false" customHeight="false" outlineLevel="0" collapsed="false">
      <c r="A798" s="3" t="s">
        <v>1393</v>
      </c>
      <c r="B798" s="3" t="s">
        <v>562</v>
      </c>
      <c r="C798" s="4" t="n">
        <v>3323</v>
      </c>
      <c r="D798" s="4" t="n">
        <v>3150</v>
      </c>
      <c r="E798" s="3" t="s">
        <v>1479</v>
      </c>
      <c r="F798" s="4" t="n">
        <f aca="false">IF(AND(ISNUMBER(C798),ISNUMBER(D798)),D798-C798,"N/A")</f>
        <v>-173</v>
      </c>
      <c r="G798" s="6" t="n">
        <f aca="false">IF(ISNUMBER(F798),F798/C798*100,"N/A")</f>
        <v>-5.20613903099609</v>
      </c>
      <c r="H798" s="3" t="str">
        <f aca="false">IF(NOT(ISNUMBER(F798)),"NO CURRENT DATA",IF(F798&gt;0,"RISEN",IF(F798&lt;0,"FALLEN","UNCHANGED")))</f>
        <v>FALLEN</v>
      </c>
      <c r="I798" s="3" t="s">
        <v>1480</v>
      </c>
      <c r="J798" s="3" t="n">
        <v>4</v>
      </c>
    </row>
    <row r="799" customFormat="false" ht="15" hidden="false" customHeight="false" outlineLevel="0" collapsed="false">
      <c r="A799" s="3" t="s">
        <v>1393</v>
      </c>
      <c r="B799" s="3" t="s">
        <v>820</v>
      </c>
      <c r="C799" s="4" t="n">
        <v>486.5</v>
      </c>
      <c r="D799" s="4" t="n">
        <v>478.7</v>
      </c>
      <c r="E799" s="3" t="s">
        <v>1479</v>
      </c>
      <c r="F799" s="4" t="n">
        <f aca="false">IF(AND(ISNUMBER(C799),ISNUMBER(D799)),D799-C799,"N/A")</f>
        <v>-7.80000000000001</v>
      </c>
      <c r="G799" s="6" t="n">
        <f aca="false">IF(ISNUMBER(F799),F799/C799*100,"N/A")</f>
        <v>-1.6032887975334</v>
      </c>
      <c r="H799" s="3" t="str">
        <f aca="false">IF(NOT(ISNUMBER(F799)),"NO CURRENT DATA",IF(F799&gt;0,"RISEN",IF(F799&lt;0,"FALLEN","UNCHANGED")))</f>
        <v>FALLEN</v>
      </c>
      <c r="I799" s="3" t="s">
        <v>1480</v>
      </c>
      <c r="J799" s="3" t="n">
        <v>2</v>
      </c>
    </row>
    <row r="800" customFormat="false" ht="15" hidden="false" customHeight="false" outlineLevel="0" collapsed="false">
      <c r="A800" s="3" t="s">
        <v>1396</v>
      </c>
      <c r="B800" s="3" t="s">
        <v>1354</v>
      </c>
      <c r="C800" s="4" t="n">
        <v>190.24</v>
      </c>
      <c r="D800" s="4" t="n">
        <v>186.3</v>
      </c>
      <c r="E800" s="3" t="s">
        <v>1479</v>
      </c>
      <c r="F800" s="4" t="n">
        <f aca="false">IF(AND(ISNUMBER(C800),ISNUMBER(D800)),D800-C800,"N/A")</f>
        <v>-3.94</v>
      </c>
      <c r="G800" s="6" t="n">
        <f aca="false">IF(ISNUMBER(F800),F800/C800*100,"N/A")</f>
        <v>-2.07106812447435</v>
      </c>
      <c r="H800" s="3" t="str">
        <f aca="false">IF(NOT(ISNUMBER(F800)),"NO CURRENT DATA",IF(F800&gt;0,"RISEN",IF(F800&lt;0,"FALLEN","UNCHANGED")))</f>
        <v>FALLEN</v>
      </c>
      <c r="I800" s="3" t="s">
        <v>1480</v>
      </c>
      <c r="J800" s="3" t="n">
        <v>1</v>
      </c>
    </row>
    <row r="801" customFormat="false" ht="15" hidden="false" customHeight="false" outlineLevel="0" collapsed="false">
      <c r="A801" s="3" t="s">
        <v>1398</v>
      </c>
      <c r="B801" s="3" t="s">
        <v>686</v>
      </c>
      <c r="C801" s="4" t="n">
        <v>412.6</v>
      </c>
      <c r="D801" s="4" t="n">
        <v>422.5</v>
      </c>
      <c r="E801" s="3" t="s">
        <v>1479</v>
      </c>
      <c r="F801" s="4" t="n">
        <f aca="false">IF(AND(ISNUMBER(C801),ISNUMBER(D801)),D801-C801,"N/A")</f>
        <v>9.89999999999998</v>
      </c>
      <c r="G801" s="6" t="n">
        <f aca="false">IF(ISNUMBER(F801),F801/C801*100,"N/A")</f>
        <v>2.39941832283082</v>
      </c>
      <c r="H801" s="3" t="str">
        <f aca="false">IF(NOT(ISNUMBER(F801)),"NO CURRENT DATA",IF(F801&gt;0,"RISEN",IF(F801&lt;0,"FALLEN","UNCHANGED")))</f>
        <v>RISEN</v>
      </c>
      <c r="I801" s="3" t="s">
        <v>1480</v>
      </c>
      <c r="J801" s="3" t="n">
        <v>5</v>
      </c>
    </row>
    <row r="802" customFormat="false" ht="15" hidden="false" customHeight="false" outlineLevel="0" collapsed="false">
      <c r="A802" s="3" t="s">
        <v>1398</v>
      </c>
      <c r="B802" s="3" t="s">
        <v>312</v>
      </c>
      <c r="C802" s="4" t="n">
        <v>406</v>
      </c>
      <c r="D802" s="4" t="n">
        <v>400.65</v>
      </c>
      <c r="E802" s="3" t="s">
        <v>1479</v>
      </c>
      <c r="F802" s="4" t="n">
        <f aca="false">IF(AND(ISNUMBER(C802),ISNUMBER(D802)),D802-C802,"N/A")</f>
        <v>-5.35000000000002</v>
      </c>
      <c r="G802" s="6" t="n">
        <f aca="false">IF(ISNUMBER(F802),F802/C802*100,"N/A")</f>
        <v>-1.31773399014779</v>
      </c>
      <c r="H802" s="3" t="str">
        <f aca="false">IF(NOT(ISNUMBER(F802)),"NO CURRENT DATA",IF(F802&gt;0,"RISEN",IF(F802&lt;0,"FALLEN","UNCHANGED")))</f>
        <v>FALLEN</v>
      </c>
      <c r="I802" s="3" t="s">
        <v>1480</v>
      </c>
      <c r="J802" s="3" t="n">
        <v>2</v>
      </c>
    </row>
    <row r="803" customFormat="false" ht="15" hidden="false" customHeight="false" outlineLevel="0" collapsed="false">
      <c r="A803" s="3" t="s">
        <v>1401</v>
      </c>
      <c r="B803" s="3" t="s">
        <v>605</v>
      </c>
      <c r="C803" s="4" t="n">
        <v>383.4</v>
      </c>
      <c r="D803" s="4" t="n">
        <v>360</v>
      </c>
      <c r="E803" s="3" t="s">
        <v>1479</v>
      </c>
      <c r="F803" s="4" t="n">
        <f aca="false">IF(AND(ISNUMBER(C803),ISNUMBER(D803)),D803-C803,"N/A")</f>
        <v>-23.4</v>
      </c>
      <c r="G803" s="6" t="n">
        <f aca="false">IF(ISNUMBER(F803),F803/C803*100,"N/A")</f>
        <v>-6.10328638497652</v>
      </c>
      <c r="H803" s="3" t="str">
        <f aca="false">IF(NOT(ISNUMBER(F803)),"NO CURRENT DATA",IF(F803&gt;0,"RISEN",IF(F803&lt;0,"FALLEN","UNCHANGED")))</f>
        <v>FALLEN</v>
      </c>
      <c r="I803" s="3" t="s">
        <v>1480</v>
      </c>
      <c r="J803" s="3" t="n">
        <v>3</v>
      </c>
    </row>
    <row r="804" customFormat="false" ht="15" hidden="false" customHeight="false" outlineLevel="0" collapsed="false">
      <c r="A804" s="3" t="s">
        <v>1401</v>
      </c>
      <c r="B804" s="3" t="s">
        <v>312</v>
      </c>
      <c r="C804" s="4" t="n">
        <v>417</v>
      </c>
      <c r="D804" s="4" t="n">
        <v>400.65</v>
      </c>
      <c r="E804" s="3" t="s">
        <v>1479</v>
      </c>
      <c r="F804" s="4" t="n">
        <f aca="false">IF(AND(ISNUMBER(C804),ISNUMBER(D804)),D804-C804,"N/A")</f>
        <v>-16.35</v>
      </c>
      <c r="G804" s="6" t="n">
        <f aca="false">IF(ISNUMBER(F804),F804/C804*100,"N/A")</f>
        <v>-3.92086330935252</v>
      </c>
      <c r="H804" s="3" t="str">
        <f aca="false">IF(NOT(ISNUMBER(F804)),"NO CURRENT DATA",IF(F804&gt;0,"RISEN",IF(F804&lt;0,"FALLEN","UNCHANGED")))</f>
        <v>FALLEN</v>
      </c>
      <c r="I804" s="3" t="s">
        <v>1480</v>
      </c>
      <c r="J804" s="3" t="n">
        <v>2</v>
      </c>
    </row>
    <row r="805" customFormat="false" ht="15" hidden="false" customHeight="false" outlineLevel="0" collapsed="false">
      <c r="A805" s="3" t="s">
        <v>1401</v>
      </c>
      <c r="B805" s="3" t="s">
        <v>660</v>
      </c>
      <c r="C805" s="4" t="n">
        <v>187</v>
      </c>
      <c r="D805" s="4" t="n">
        <v>171.75</v>
      </c>
      <c r="E805" s="3" t="s">
        <v>1479</v>
      </c>
      <c r="F805" s="4" t="n">
        <f aca="false">IF(AND(ISNUMBER(C805),ISNUMBER(D805)),D805-C805,"N/A")</f>
        <v>-15.25</v>
      </c>
      <c r="G805" s="6" t="n">
        <f aca="false">IF(ISNUMBER(F805),F805/C805*100,"N/A")</f>
        <v>-8.15508021390374</v>
      </c>
      <c r="H805" s="3" t="str">
        <f aca="false">IF(NOT(ISNUMBER(F805)),"NO CURRENT DATA",IF(F805&gt;0,"RISEN",IF(F805&lt;0,"FALLEN","UNCHANGED")))</f>
        <v>FALLEN</v>
      </c>
      <c r="I805" s="3" t="s">
        <v>1480</v>
      </c>
      <c r="J805" s="3" t="n">
        <v>2</v>
      </c>
    </row>
    <row r="806" customFormat="false" ht="15" hidden="false" customHeight="false" outlineLevel="0" collapsed="false">
      <c r="A806" s="3" t="s">
        <v>1405</v>
      </c>
      <c r="B806" s="3" t="s">
        <v>1014</v>
      </c>
      <c r="C806" s="4" t="n">
        <v>1616</v>
      </c>
      <c r="D806" s="4" t="n">
        <v>1287.9</v>
      </c>
      <c r="E806" s="3" t="s">
        <v>1479</v>
      </c>
      <c r="F806" s="4" t="n">
        <f aca="false">IF(AND(ISNUMBER(C806),ISNUMBER(D806)),D806-C806,"N/A")</f>
        <v>-328.1</v>
      </c>
      <c r="G806" s="6" t="n">
        <f aca="false">IF(ISNUMBER(F806),F806/C806*100,"N/A")</f>
        <v>-20.3032178217822</v>
      </c>
      <c r="H806" s="3" t="str">
        <f aca="false">IF(NOT(ISNUMBER(F806)),"NO CURRENT DATA",IF(F806&gt;0,"RISEN",IF(F806&lt;0,"FALLEN","UNCHANGED")))</f>
        <v>FALLEN</v>
      </c>
      <c r="I806" s="3" t="s">
        <v>1480</v>
      </c>
      <c r="J806" s="3" t="n">
        <v>1</v>
      </c>
    </row>
    <row r="807" customFormat="false" ht="15" hidden="false" customHeight="false" outlineLevel="0" collapsed="false">
      <c r="A807" s="3" t="s">
        <v>1405</v>
      </c>
      <c r="B807" s="3" t="s">
        <v>605</v>
      </c>
      <c r="C807" s="4" t="n">
        <v>384.35</v>
      </c>
      <c r="D807" s="4" t="n">
        <v>360</v>
      </c>
      <c r="E807" s="3" t="s">
        <v>1479</v>
      </c>
      <c r="F807" s="4" t="n">
        <f aca="false">IF(AND(ISNUMBER(C807),ISNUMBER(D807)),D807-C807,"N/A")</f>
        <v>-24.35</v>
      </c>
      <c r="G807" s="6" t="n">
        <f aca="false">IF(ISNUMBER(F807),F807/C807*100,"N/A")</f>
        <v>-6.33537140627033</v>
      </c>
      <c r="H807" s="3" t="str">
        <f aca="false">IF(NOT(ISNUMBER(F807)),"NO CURRENT DATA",IF(F807&gt;0,"RISEN",IF(F807&lt;0,"FALLEN","UNCHANGED")))</f>
        <v>FALLEN</v>
      </c>
      <c r="I807" s="3" t="s">
        <v>1480</v>
      </c>
      <c r="J807" s="3" t="n">
        <v>4</v>
      </c>
    </row>
    <row r="808" customFormat="false" ht="15" hidden="false" customHeight="false" outlineLevel="0" collapsed="false">
      <c r="A808" s="3" t="s">
        <v>1408</v>
      </c>
      <c r="B808" s="3" t="s">
        <v>595</v>
      </c>
      <c r="C808" s="4" t="n">
        <v>1355.8</v>
      </c>
      <c r="D808" s="4" t="n">
        <v>1253.9</v>
      </c>
      <c r="E808" s="3" t="s">
        <v>1479</v>
      </c>
      <c r="F808" s="4" t="n">
        <f aca="false">IF(AND(ISNUMBER(C808),ISNUMBER(D808)),D808-C808,"N/A")</f>
        <v>-101.9</v>
      </c>
      <c r="G808" s="6" t="n">
        <f aca="false">IF(ISNUMBER(F808),F808/C808*100,"N/A")</f>
        <v>-7.51585779613511</v>
      </c>
      <c r="H808" s="3" t="str">
        <f aca="false">IF(NOT(ISNUMBER(F808)),"NO CURRENT DATA",IF(F808&gt;0,"RISEN",IF(F808&lt;0,"FALLEN","UNCHANGED")))</f>
        <v>FALLEN</v>
      </c>
      <c r="I808" s="3" t="s">
        <v>1480</v>
      </c>
      <c r="J808" s="3" t="n">
        <v>1</v>
      </c>
    </row>
    <row r="809" customFormat="false" ht="15" hidden="false" customHeight="false" outlineLevel="0" collapsed="false">
      <c r="A809" s="3" t="s">
        <v>1408</v>
      </c>
      <c r="B809" s="3" t="s">
        <v>156</v>
      </c>
      <c r="C809" s="4" t="n">
        <v>1269.9</v>
      </c>
      <c r="D809" s="4" t="n">
        <v>1173</v>
      </c>
      <c r="E809" s="3" t="s">
        <v>1479</v>
      </c>
      <c r="F809" s="4" t="n">
        <f aca="false">IF(AND(ISNUMBER(C809),ISNUMBER(D809)),D809-C809,"N/A")</f>
        <v>-96.9000000000001</v>
      </c>
      <c r="G809" s="6" t="n">
        <f aca="false">IF(ISNUMBER(F809),F809/C809*100,"N/A")</f>
        <v>-7.63052208835342</v>
      </c>
      <c r="H809" s="3" t="str">
        <f aca="false">IF(NOT(ISNUMBER(F809)),"NO CURRENT DATA",IF(F809&gt;0,"RISEN",IF(F809&lt;0,"FALLEN","UNCHANGED")))</f>
        <v>FALLEN</v>
      </c>
      <c r="I809" s="3" t="s">
        <v>1480</v>
      </c>
      <c r="J809" s="3" t="n">
        <v>6</v>
      </c>
    </row>
    <row r="810" customFormat="false" ht="15" hidden="false" customHeight="false" outlineLevel="0" collapsed="false">
      <c r="A810" s="3" t="s">
        <v>1411</v>
      </c>
      <c r="B810" s="3" t="s">
        <v>1412</v>
      </c>
      <c r="C810" s="4" t="n">
        <v>7350</v>
      </c>
      <c r="D810" s="4" t="n">
        <v>6990</v>
      </c>
      <c r="E810" s="3" t="s">
        <v>1479</v>
      </c>
      <c r="F810" s="4" t="n">
        <f aca="false">IF(AND(ISNUMBER(C810),ISNUMBER(D810)),D810-C810,"N/A")</f>
        <v>-360</v>
      </c>
      <c r="G810" s="6" t="n">
        <f aca="false">IF(ISNUMBER(F810),F810/C810*100,"N/A")</f>
        <v>-4.89795918367347</v>
      </c>
      <c r="H810" s="3" t="str">
        <f aca="false">IF(NOT(ISNUMBER(F810)),"NO CURRENT DATA",IF(F810&gt;0,"RISEN",IF(F810&lt;0,"FALLEN","UNCHANGED")))</f>
        <v>FALLEN</v>
      </c>
      <c r="I810" s="3" t="s">
        <v>1480</v>
      </c>
      <c r="J810" s="3" t="n">
        <v>0</v>
      </c>
    </row>
    <row r="811" customFormat="false" ht="15" hidden="false" customHeight="false" outlineLevel="0" collapsed="false">
      <c r="A811" s="3" t="s">
        <v>1415</v>
      </c>
      <c r="B811" s="3" t="s">
        <v>901</v>
      </c>
      <c r="C811" s="4" t="n">
        <v>1217</v>
      </c>
      <c r="D811" s="4" t="n">
        <v>1093.9</v>
      </c>
      <c r="E811" s="3" t="s">
        <v>1479</v>
      </c>
      <c r="F811" s="4" t="n">
        <f aca="false">IF(AND(ISNUMBER(C811),ISNUMBER(D811)),D811-C811,"N/A")</f>
        <v>-123.1</v>
      </c>
      <c r="G811" s="6" t="n">
        <f aca="false">IF(ISNUMBER(F811),F811/C811*100,"N/A")</f>
        <v>-10.1150369761709</v>
      </c>
      <c r="H811" s="3" t="str">
        <f aca="false">IF(NOT(ISNUMBER(F811)),"NO CURRENT DATA",IF(F811&gt;0,"RISEN",IF(F811&lt;0,"FALLEN","UNCHANGED")))</f>
        <v>FALLEN</v>
      </c>
      <c r="I811" s="3" t="s">
        <v>1480</v>
      </c>
      <c r="J811" s="3" t="n">
        <v>7</v>
      </c>
    </row>
    <row r="812" customFormat="false" ht="15" hidden="false" customHeight="false" outlineLevel="0" collapsed="false">
      <c r="A812" s="3" t="s">
        <v>1417</v>
      </c>
      <c r="B812" s="3" t="s">
        <v>66</v>
      </c>
      <c r="C812" s="4" t="n">
        <v>9025</v>
      </c>
      <c r="D812" s="4" t="n">
        <v>9550</v>
      </c>
      <c r="E812" s="3" t="s">
        <v>1479</v>
      </c>
      <c r="F812" s="4" t="n">
        <f aca="false">IF(AND(ISNUMBER(C812),ISNUMBER(D812)),D812-C812,"N/A")</f>
        <v>525</v>
      </c>
      <c r="G812" s="6" t="n">
        <f aca="false">IF(ISNUMBER(F812),F812/C812*100,"N/A")</f>
        <v>5.81717451523546</v>
      </c>
      <c r="H812" s="3" t="str">
        <f aca="false">IF(NOT(ISNUMBER(F812)),"NO CURRENT DATA",IF(F812&gt;0,"RISEN",IF(F812&lt;0,"FALLEN","UNCHANGED")))</f>
        <v>RISEN</v>
      </c>
      <c r="I812" s="3" t="s">
        <v>1480</v>
      </c>
      <c r="J812" s="3" t="n">
        <v>7</v>
      </c>
    </row>
    <row r="813" customFormat="false" ht="15" hidden="false" customHeight="false" outlineLevel="0" collapsed="false">
      <c r="A813" s="3" t="s">
        <v>1417</v>
      </c>
      <c r="B813" s="3" t="s">
        <v>234</v>
      </c>
      <c r="C813" s="4" t="n">
        <v>416.7</v>
      </c>
      <c r="D813" s="4" t="n">
        <v>401.55</v>
      </c>
      <c r="E813" s="3" t="s">
        <v>1479</v>
      </c>
      <c r="F813" s="4" t="n">
        <f aca="false">IF(AND(ISNUMBER(C813),ISNUMBER(D813)),D813-C813,"N/A")</f>
        <v>-15.15</v>
      </c>
      <c r="G813" s="6" t="n">
        <f aca="false">IF(ISNUMBER(F813),F813/C813*100,"N/A")</f>
        <v>-3.63570914326853</v>
      </c>
      <c r="H813" s="3" t="str">
        <f aca="false">IF(NOT(ISNUMBER(F813)),"NO CURRENT DATA",IF(F813&gt;0,"RISEN",IF(F813&lt;0,"FALLEN","UNCHANGED")))</f>
        <v>FALLEN</v>
      </c>
      <c r="I813" s="3" t="s">
        <v>1480</v>
      </c>
      <c r="J813" s="3" t="n">
        <v>2</v>
      </c>
    </row>
    <row r="814" customFormat="false" ht="15" hidden="false" customHeight="false" outlineLevel="0" collapsed="false">
      <c r="A814" s="3" t="s">
        <v>1417</v>
      </c>
      <c r="B814" s="3" t="s">
        <v>203</v>
      </c>
      <c r="C814" s="4" t="n">
        <v>1887</v>
      </c>
      <c r="D814" s="4" t="n">
        <v>2010.7</v>
      </c>
      <c r="E814" s="3" t="s">
        <v>1479</v>
      </c>
      <c r="F814" s="4" t="n">
        <f aca="false">IF(AND(ISNUMBER(C814),ISNUMBER(D814)),D814-C814,"N/A")</f>
        <v>123.7</v>
      </c>
      <c r="G814" s="6" t="n">
        <f aca="false">IF(ISNUMBER(F814),F814/C814*100,"N/A")</f>
        <v>6.55537890832009</v>
      </c>
      <c r="H814" s="3" t="str">
        <f aca="false">IF(NOT(ISNUMBER(F814)),"NO CURRENT DATA",IF(F814&gt;0,"RISEN",IF(F814&lt;0,"FALLEN","UNCHANGED")))</f>
        <v>RISEN</v>
      </c>
      <c r="I814" s="3" t="s">
        <v>1480</v>
      </c>
      <c r="J814" s="3" t="n">
        <v>5</v>
      </c>
    </row>
    <row r="815" customFormat="false" ht="15" hidden="false" customHeight="false" outlineLevel="0" collapsed="false">
      <c r="A815" s="3" t="s">
        <v>1417</v>
      </c>
      <c r="B815" s="3" t="s">
        <v>403</v>
      </c>
      <c r="C815" s="4" t="n">
        <v>524.4</v>
      </c>
      <c r="D815" s="4" t="n">
        <v>564.15</v>
      </c>
      <c r="E815" s="3" t="s">
        <v>1479</v>
      </c>
      <c r="F815" s="4" t="n">
        <f aca="false">IF(AND(ISNUMBER(C815),ISNUMBER(D815)),D815-C815,"N/A")</f>
        <v>39.75</v>
      </c>
      <c r="G815" s="6" t="n">
        <f aca="false">IF(ISNUMBER(F815),F815/C815*100,"N/A")</f>
        <v>7.58009153318078</v>
      </c>
      <c r="H815" s="3" t="str">
        <f aca="false">IF(NOT(ISNUMBER(F815)),"NO CURRENT DATA",IF(F815&gt;0,"RISEN",IF(F815&lt;0,"FALLEN","UNCHANGED")))</f>
        <v>RISEN</v>
      </c>
      <c r="I815" s="3" t="s">
        <v>1480</v>
      </c>
      <c r="J815" s="3" t="n">
        <v>5</v>
      </c>
    </row>
    <row r="816" customFormat="false" ht="15" hidden="false" customHeight="false" outlineLevel="0" collapsed="false">
      <c r="A816" s="3" t="s">
        <v>1417</v>
      </c>
      <c r="B816" s="3" t="s">
        <v>1354</v>
      </c>
      <c r="C816" s="4" t="n">
        <v>188.01</v>
      </c>
      <c r="D816" s="4" t="n">
        <v>186.3</v>
      </c>
      <c r="E816" s="3" t="s">
        <v>1479</v>
      </c>
      <c r="F816" s="4" t="n">
        <f aca="false">IF(AND(ISNUMBER(C816),ISNUMBER(D816)),D816-C816,"N/A")</f>
        <v>-1.70999999999998</v>
      </c>
      <c r="G816" s="6" t="n">
        <f aca="false">IF(ISNUMBER(F816),F816/C816*100,"N/A")</f>
        <v>-0.909526089037806</v>
      </c>
      <c r="H816" s="3" t="str">
        <f aca="false">IF(NOT(ISNUMBER(F816)),"NO CURRENT DATA",IF(F816&gt;0,"RISEN",IF(F816&lt;0,"FALLEN","UNCHANGED")))</f>
        <v>FALLEN</v>
      </c>
      <c r="I816" s="3" t="s">
        <v>1480</v>
      </c>
      <c r="J816" s="3" t="n">
        <v>2</v>
      </c>
    </row>
    <row r="817" customFormat="false" ht="15" hidden="false" customHeight="false" outlineLevel="0" collapsed="false">
      <c r="A817" s="3" t="s">
        <v>1417</v>
      </c>
      <c r="B817" s="3" t="s">
        <v>126</v>
      </c>
      <c r="C817" s="4" t="n">
        <v>286.5</v>
      </c>
      <c r="D817" s="4" t="n">
        <v>259</v>
      </c>
      <c r="E817" s="3" t="s">
        <v>1479</v>
      </c>
      <c r="F817" s="4" t="n">
        <f aca="false">IF(AND(ISNUMBER(C817),ISNUMBER(D817)),D817-C817,"N/A")</f>
        <v>-27.5</v>
      </c>
      <c r="G817" s="6" t="n">
        <f aca="false">IF(ISNUMBER(F817),F817/C817*100,"N/A")</f>
        <v>-9.59860383944154</v>
      </c>
      <c r="H817" s="3" t="str">
        <f aca="false">IF(NOT(ISNUMBER(F817)),"NO CURRENT DATA",IF(F817&gt;0,"RISEN",IF(F817&lt;0,"FALLEN","UNCHANGED")))</f>
        <v>FALLEN</v>
      </c>
      <c r="I817" s="3" t="s">
        <v>1480</v>
      </c>
      <c r="J817" s="3" t="n">
        <v>4</v>
      </c>
    </row>
    <row r="818" customFormat="false" ht="15" hidden="false" customHeight="false" outlineLevel="0" collapsed="false">
      <c r="A818" s="3" t="s">
        <v>1424</v>
      </c>
      <c r="B818" s="3" t="s">
        <v>333</v>
      </c>
      <c r="C818" s="4" t="n">
        <v>5320</v>
      </c>
      <c r="D818" s="4" t="n">
        <v>5175</v>
      </c>
      <c r="E818" s="3" t="s">
        <v>1479</v>
      </c>
      <c r="F818" s="4" t="n">
        <f aca="false">IF(AND(ISNUMBER(C818),ISNUMBER(D818)),D818-C818,"N/A")</f>
        <v>-145</v>
      </c>
      <c r="G818" s="6" t="n">
        <f aca="false">IF(ISNUMBER(F818),F818/C818*100,"N/A")</f>
        <v>-2.72556390977444</v>
      </c>
      <c r="H818" s="3" t="str">
        <f aca="false">IF(NOT(ISNUMBER(F818)),"NO CURRENT DATA",IF(F818&gt;0,"RISEN",IF(F818&lt;0,"FALLEN","UNCHANGED")))</f>
        <v>FALLEN</v>
      </c>
      <c r="I818" s="3" t="s">
        <v>1480</v>
      </c>
      <c r="J818" s="3" t="n">
        <v>10</v>
      </c>
    </row>
    <row r="819" customFormat="false" ht="15" hidden="false" customHeight="false" outlineLevel="0" collapsed="false">
      <c r="A819" s="3" t="s">
        <v>1424</v>
      </c>
      <c r="B819" s="3" t="s">
        <v>360</v>
      </c>
      <c r="C819" s="4" t="n">
        <v>328.5</v>
      </c>
      <c r="D819" s="4" t="n">
        <v>330.95</v>
      </c>
      <c r="E819" s="3" t="s">
        <v>1479</v>
      </c>
      <c r="F819" s="4" t="n">
        <f aca="false">IF(AND(ISNUMBER(C819),ISNUMBER(D819)),D819-C819,"N/A")</f>
        <v>2.44999999999999</v>
      </c>
      <c r="G819" s="6" t="n">
        <f aca="false">IF(ISNUMBER(F819),F819/C819*100,"N/A")</f>
        <v>0.74581430745814</v>
      </c>
      <c r="H819" s="3" t="str">
        <f aca="false">IF(NOT(ISNUMBER(F819)),"NO CURRENT DATA",IF(F819&gt;0,"RISEN",IF(F819&lt;0,"FALLEN","UNCHANGED")))</f>
        <v>RISEN</v>
      </c>
      <c r="I819" s="3" t="s">
        <v>1480</v>
      </c>
      <c r="J819" s="3" t="n">
        <v>4</v>
      </c>
    </row>
    <row r="820" customFormat="false" ht="15" hidden="false" customHeight="false" outlineLevel="0" collapsed="false">
      <c r="A820" s="3" t="s">
        <v>1424</v>
      </c>
      <c r="B820" s="3" t="s">
        <v>1427</v>
      </c>
      <c r="C820" s="4" t="n">
        <v>2069.4</v>
      </c>
      <c r="D820" s="4" t="n">
        <v>1669.8</v>
      </c>
      <c r="E820" s="3" t="s">
        <v>1479</v>
      </c>
      <c r="F820" s="4" t="n">
        <f aca="false">IF(AND(ISNUMBER(C820),ISNUMBER(D820)),D820-C820,"N/A")</f>
        <v>-399.6</v>
      </c>
      <c r="G820" s="6" t="n">
        <f aca="false">IF(ISNUMBER(F820),F820/C820*100,"N/A")</f>
        <v>-19.3099449115686</v>
      </c>
      <c r="H820" s="3" t="str">
        <f aca="false">IF(NOT(ISNUMBER(F820)),"NO CURRENT DATA",IF(F820&gt;0,"RISEN",IF(F820&lt;0,"FALLEN","UNCHANGED")))</f>
        <v>FALLEN</v>
      </c>
      <c r="I820" s="3" t="s">
        <v>1480</v>
      </c>
      <c r="J820" s="3" t="n">
        <v>0</v>
      </c>
    </row>
    <row r="821" customFormat="false" ht="15" hidden="false" customHeight="false" outlineLevel="0" collapsed="false">
      <c r="A821" s="3" t="s">
        <v>1424</v>
      </c>
      <c r="B821" s="3" t="s">
        <v>605</v>
      </c>
      <c r="C821" s="4" t="n">
        <v>379.95</v>
      </c>
      <c r="D821" s="4" t="n">
        <v>360</v>
      </c>
      <c r="E821" s="3" t="s">
        <v>1479</v>
      </c>
      <c r="F821" s="4" t="n">
        <f aca="false">IF(AND(ISNUMBER(C821),ISNUMBER(D821)),D821-C821,"N/A")</f>
        <v>-19.95</v>
      </c>
      <c r="G821" s="6" t="n">
        <f aca="false">IF(ISNUMBER(F821),F821/C821*100,"N/A")</f>
        <v>-5.25069088037899</v>
      </c>
      <c r="H821" s="3" t="str">
        <f aca="false">IF(NOT(ISNUMBER(F821)),"NO CURRENT DATA",IF(F821&gt;0,"RISEN",IF(F821&lt;0,"FALLEN","UNCHANGED")))</f>
        <v>FALLEN</v>
      </c>
      <c r="I821" s="3" t="s">
        <v>1480</v>
      </c>
      <c r="J821" s="3" t="n">
        <v>5</v>
      </c>
    </row>
    <row r="822" customFormat="false" ht="15" hidden="false" customHeight="false" outlineLevel="0" collapsed="false">
      <c r="A822" s="3" t="s">
        <v>1424</v>
      </c>
      <c r="B822" s="3" t="s">
        <v>234</v>
      </c>
      <c r="C822" s="4" t="n">
        <v>424.2</v>
      </c>
      <c r="D822" s="4" t="n">
        <v>401.55</v>
      </c>
      <c r="E822" s="3" t="s">
        <v>1479</v>
      </c>
      <c r="F822" s="4" t="n">
        <f aca="false">IF(AND(ISNUMBER(C822),ISNUMBER(D822)),D822-C822,"N/A")</f>
        <v>-22.65</v>
      </c>
      <c r="G822" s="6" t="n">
        <f aca="false">IF(ISNUMBER(F822),F822/C822*100,"N/A")</f>
        <v>-5.33946251768033</v>
      </c>
      <c r="H822" s="3" t="str">
        <f aca="false">IF(NOT(ISNUMBER(F822)),"NO CURRENT DATA",IF(F822&gt;0,"RISEN",IF(F822&lt;0,"FALLEN","UNCHANGED")))</f>
        <v>FALLEN</v>
      </c>
      <c r="I822" s="3" t="s">
        <v>1480</v>
      </c>
      <c r="J822" s="3" t="n">
        <v>2</v>
      </c>
    </row>
    <row r="823" customFormat="false" ht="15" hidden="false" customHeight="false" outlineLevel="0" collapsed="false">
      <c r="A823" s="3" t="s">
        <v>1424</v>
      </c>
      <c r="B823" s="3" t="s">
        <v>203</v>
      </c>
      <c r="C823" s="4" t="n">
        <v>1929.4</v>
      </c>
      <c r="D823" s="4" t="n">
        <v>2010.7</v>
      </c>
      <c r="E823" s="3" t="s">
        <v>1479</v>
      </c>
      <c r="F823" s="4" t="n">
        <f aca="false">IF(AND(ISNUMBER(C823),ISNUMBER(D823)),D823-C823,"N/A")</f>
        <v>81.3</v>
      </c>
      <c r="G823" s="6" t="n">
        <f aca="false">IF(ISNUMBER(F823),F823/C823*100,"N/A")</f>
        <v>4.21374520576345</v>
      </c>
      <c r="H823" s="3" t="str">
        <f aca="false">IF(NOT(ISNUMBER(F823)),"NO CURRENT DATA",IF(F823&gt;0,"RISEN",IF(F823&lt;0,"FALLEN","UNCHANGED")))</f>
        <v>RISEN</v>
      </c>
      <c r="I823" s="3" t="s">
        <v>1480</v>
      </c>
      <c r="J823" s="3" t="n">
        <v>5</v>
      </c>
    </row>
    <row r="824" customFormat="false" ht="15" hidden="false" customHeight="false" outlineLevel="0" collapsed="false">
      <c r="A824" s="3" t="s">
        <v>1424</v>
      </c>
      <c r="B824" s="3" t="s">
        <v>1433</v>
      </c>
      <c r="C824" s="4" t="n">
        <v>44.27</v>
      </c>
      <c r="D824" s="4" t="n">
        <v>43.45</v>
      </c>
      <c r="E824" s="3" t="s">
        <v>1479</v>
      </c>
      <c r="F824" s="4" t="n">
        <f aca="false">IF(AND(ISNUMBER(C824),ISNUMBER(D824)),D824-C824,"N/A")</f>
        <v>-0.82</v>
      </c>
      <c r="G824" s="6" t="n">
        <f aca="false">IF(ISNUMBER(F824),F824/C824*100,"N/A")</f>
        <v>-1.85227016037949</v>
      </c>
      <c r="H824" s="3" t="str">
        <f aca="false">IF(NOT(ISNUMBER(F824)),"NO CURRENT DATA",IF(F824&gt;0,"RISEN",IF(F824&lt;0,"FALLEN","UNCHANGED")))</f>
        <v>FALLEN</v>
      </c>
      <c r="I824" s="3" t="s">
        <v>1480</v>
      </c>
      <c r="J824" s="3" t="n">
        <v>0</v>
      </c>
    </row>
    <row r="825" customFormat="false" ht="15" hidden="false" customHeight="false" outlineLevel="0" collapsed="false">
      <c r="A825" s="3" t="s">
        <v>1424</v>
      </c>
      <c r="B825" s="3" t="s">
        <v>926</v>
      </c>
      <c r="C825" s="4" t="n">
        <v>5139.3</v>
      </c>
      <c r="D825" s="4" t="n">
        <v>4819.5</v>
      </c>
      <c r="E825" s="3" t="s">
        <v>1479</v>
      </c>
      <c r="F825" s="4" t="n">
        <f aca="false">IF(AND(ISNUMBER(C825),ISNUMBER(D825)),D825-C825,"N/A")</f>
        <v>-319.8</v>
      </c>
      <c r="G825" s="6" t="n">
        <f aca="false">IF(ISNUMBER(F825),F825/C825*100,"N/A")</f>
        <v>-6.22263732414921</v>
      </c>
      <c r="H825" s="3" t="str">
        <f aca="false">IF(NOT(ISNUMBER(F825)),"NO CURRENT DATA",IF(F825&gt;0,"RISEN",IF(F825&lt;0,"FALLEN","UNCHANGED")))</f>
        <v>FALLEN</v>
      </c>
      <c r="I825" s="3" t="s">
        <v>1480</v>
      </c>
      <c r="J825" s="3" t="n">
        <v>2</v>
      </c>
    </row>
    <row r="826" customFormat="false" ht="15" hidden="false" customHeight="false" outlineLevel="0" collapsed="false">
      <c r="A826" s="3" t="s">
        <v>1424</v>
      </c>
      <c r="B826" s="3" t="s">
        <v>1258</v>
      </c>
      <c r="C826" s="4" t="n">
        <v>1189.2</v>
      </c>
      <c r="D826" s="4" t="n">
        <v>1215</v>
      </c>
      <c r="E826" s="3" t="s">
        <v>1479</v>
      </c>
      <c r="F826" s="4" t="n">
        <f aca="false">IF(AND(ISNUMBER(C826),ISNUMBER(D826)),D826-C826,"N/A")</f>
        <v>25.8</v>
      </c>
      <c r="G826" s="6" t="n">
        <f aca="false">IF(ISNUMBER(F826),F826/C826*100,"N/A")</f>
        <v>2.16952573158425</v>
      </c>
      <c r="H826" s="3" t="str">
        <f aca="false">IF(NOT(ISNUMBER(F826)),"NO CURRENT DATA",IF(F826&gt;0,"RISEN",IF(F826&lt;0,"FALLEN","UNCHANGED")))</f>
        <v>RISEN</v>
      </c>
      <c r="I826" s="3" t="s">
        <v>1480</v>
      </c>
      <c r="J826" s="3" t="n">
        <v>1</v>
      </c>
    </row>
    <row r="827" customFormat="false" ht="15" hidden="false" customHeight="false" outlineLevel="0" collapsed="false">
      <c r="A827" s="3" t="s">
        <v>1438</v>
      </c>
      <c r="B827" s="3" t="s">
        <v>333</v>
      </c>
      <c r="C827" s="4" t="n">
        <v>5355</v>
      </c>
      <c r="D827" s="4" t="n">
        <v>5175</v>
      </c>
      <c r="E827" s="3" t="s">
        <v>1479</v>
      </c>
      <c r="F827" s="4" t="n">
        <f aca="false">IF(AND(ISNUMBER(C827),ISNUMBER(D827)),D827-C827,"N/A")</f>
        <v>-180</v>
      </c>
      <c r="G827" s="6" t="n">
        <f aca="false">IF(ISNUMBER(F827),F827/C827*100,"N/A")</f>
        <v>-3.36134453781513</v>
      </c>
      <c r="H827" s="3" t="str">
        <f aca="false">IF(NOT(ISNUMBER(F827)),"NO CURRENT DATA",IF(F827&gt;0,"RISEN",IF(F827&lt;0,"FALLEN","UNCHANGED")))</f>
        <v>FALLEN</v>
      </c>
      <c r="I827" s="3" t="s">
        <v>1480</v>
      </c>
      <c r="J827" s="3" t="n">
        <v>10</v>
      </c>
    </row>
    <row r="828" customFormat="false" ht="15" hidden="false" customHeight="false" outlineLevel="0" collapsed="false">
      <c r="A828" s="3" t="s">
        <v>1438</v>
      </c>
      <c r="B828" s="3" t="s">
        <v>58</v>
      </c>
      <c r="C828" s="4" t="n">
        <v>2265.6</v>
      </c>
      <c r="D828" s="4" t="n">
        <v>2197</v>
      </c>
      <c r="E828" s="3" t="s">
        <v>1479</v>
      </c>
      <c r="F828" s="4" t="n">
        <f aca="false">IF(AND(ISNUMBER(C828),ISNUMBER(D828)),D828-C828,"N/A")</f>
        <v>-68.5999999999999</v>
      </c>
      <c r="G828" s="6" t="n">
        <f aca="false">IF(ISNUMBER(F828),F828/C828*100,"N/A")</f>
        <v>-3.02789548022598</v>
      </c>
      <c r="H828" s="3" t="str">
        <f aca="false">IF(NOT(ISNUMBER(F828)),"NO CURRENT DATA",IF(F828&gt;0,"RISEN",IF(F828&lt;0,"FALLEN","UNCHANGED")))</f>
        <v>FALLEN</v>
      </c>
      <c r="I828" s="3" t="s">
        <v>1480</v>
      </c>
      <c r="J828" s="3" t="n">
        <v>6</v>
      </c>
    </row>
    <row r="829" customFormat="false" ht="15" hidden="false" customHeight="false" outlineLevel="0" collapsed="false">
      <c r="A829" s="3" t="s">
        <v>1438</v>
      </c>
      <c r="B829" s="3" t="s">
        <v>66</v>
      </c>
      <c r="C829" s="4" t="n">
        <v>9239</v>
      </c>
      <c r="D829" s="4" t="n">
        <v>9550</v>
      </c>
      <c r="E829" s="3" t="s">
        <v>1479</v>
      </c>
      <c r="F829" s="4" t="n">
        <f aca="false">IF(AND(ISNUMBER(C829),ISNUMBER(D829)),D829-C829,"N/A")</f>
        <v>311</v>
      </c>
      <c r="G829" s="6" t="n">
        <f aca="false">IF(ISNUMBER(F829),F829/C829*100,"N/A")</f>
        <v>3.36616516939063</v>
      </c>
      <c r="H829" s="3" t="str">
        <f aca="false">IF(NOT(ISNUMBER(F829)),"NO CURRENT DATA",IF(F829&gt;0,"RISEN",IF(F829&lt;0,"FALLEN","UNCHANGED")))</f>
        <v>RISEN</v>
      </c>
      <c r="I829" s="3" t="s">
        <v>1480</v>
      </c>
      <c r="J829" s="3" t="n">
        <v>8</v>
      </c>
    </row>
    <row r="830" customFormat="false" ht="15" hidden="false" customHeight="false" outlineLevel="0" collapsed="false">
      <c r="A830" s="3" t="s">
        <v>1438</v>
      </c>
      <c r="B830" s="3" t="s">
        <v>266</v>
      </c>
      <c r="C830" s="4" t="n">
        <v>2455</v>
      </c>
      <c r="D830" s="4" t="n">
        <v>2237.5</v>
      </c>
      <c r="E830" s="3" t="s">
        <v>1479</v>
      </c>
      <c r="F830" s="4" t="n">
        <f aca="false">IF(AND(ISNUMBER(C830),ISNUMBER(D830)),D830-C830,"N/A")</f>
        <v>-217.5</v>
      </c>
      <c r="G830" s="6" t="n">
        <f aca="false">IF(ISNUMBER(F830),F830/C830*100,"N/A")</f>
        <v>-8.85947046843177</v>
      </c>
      <c r="H830" s="3" t="str">
        <f aca="false">IF(NOT(ISNUMBER(F830)),"NO CURRENT DATA",IF(F830&gt;0,"RISEN",IF(F830&lt;0,"FALLEN","UNCHANGED")))</f>
        <v>FALLEN</v>
      </c>
      <c r="I830" s="3" t="s">
        <v>1480</v>
      </c>
      <c r="J830" s="3" t="n">
        <v>3</v>
      </c>
    </row>
    <row r="831" customFormat="false" ht="15" hidden="false" customHeight="false" outlineLevel="0" collapsed="false">
      <c r="A831" s="3" t="s">
        <v>1438</v>
      </c>
      <c r="B831" s="3" t="s">
        <v>145</v>
      </c>
      <c r="C831" s="4" t="n">
        <v>1640.9</v>
      </c>
      <c r="D831" s="4" t="n">
        <v>1542.2</v>
      </c>
      <c r="E831" s="3" t="s">
        <v>1479</v>
      </c>
      <c r="F831" s="4" t="n">
        <f aca="false">IF(AND(ISNUMBER(C831),ISNUMBER(D831)),D831-C831,"N/A")</f>
        <v>-98.7000000000001</v>
      </c>
      <c r="G831" s="6" t="n">
        <f aca="false">IF(ISNUMBER(F831),F831/C831*100,"N/A")</f>
        <v>-6.01499177280761</v>
      </c>
      <c r="H831" s="3" t="str">
        <f aca="false">IF(NOT(ISNUMBER(F831)),"NO CURRENT DATA",IF(F831&gt;0,"RISEN",IF(F831&lt;0,"FALLEN","UNCHANGED")))</f>
        <v>FALLEN</v>
      </c>
      <c r="I831" s="3" t="s">
        <v>1480</v>
      </c>
      <c r="J831" s="3" t="n">
        <v>9</v>
      </c>
    </row>
    <row r="832" customFormat="false" ht="15" hidden="false" customHeight="false" outlineLevel="0" collapsed="false">
      <c r="A832" s="3" t="s">
        <v>1438</v>
      </c>
      <c r="B832" s="3" t="s">
        <v>126</v>
      </c>
      <c r="C832" s="4" t="n">
        <v>287.95</v>
      </c>
      <c r="D832" s="4" t="n">
        <v>259</v>
      </c>
      <c r="E832" s="3" t="s">
        <v>1479</v>
      </c>
      <c r="F832" s="4" t="n">
        <f aca="false">IF(AND(ISNUMBER(C832),ISNUMBER(D832)),D832-C832,"N/A")</f>
        <v>-28.95</v>
      </c>
      <c r="G832" s="6" t="n">
        <f aca="false">IF(ISNUMBER(F832),F832/C832*100,"N/A")</f>
        <v>-10.0538287897204</v>
      </c>
      <c r="H832" s="3" t="str">
        <f aca="false">IF(NOT(ISNUMBER(F832)),"NO CURRENT DATA",IF(F832&gt;0,"RISEN",IF(F832&lt;0,"FALLEN","UNCHANGED")))</f>
        <v>FALLEN</v>
      </c>
      <c r="I832" s="3" t="s">
        <v>1480</v>
      </c>
      <c r="J832" s="3" t="n">
        <v>5</v>
      </c>
    </row>
    <row r="833" customFormat="false" ht="15" hidden="false" customHeight="false" outlineLevel="0" collapsed="false">
      <c r="A833" s="3" t="s">
        <v>1445</v>
      </c>
      <c r="B833" s="3" t="s">
        <v>380</v>
      </c>
      <c r="C833" s="4" t="n">
        <v>1717</v>
      </c>
      <c r="D833" s="4" t="n">
        <v>1697.5</v>
      </c>
      <c r="E833" s="3" t="s">
        <v>1479</v>
      </c>
      <c r="F833" s="4" t="n">
        <f aca="false">IF(AND(ISNUMBER(C833),ISNUMBER(D833)),D833-C833,"N/A")</f>
        <v>-19.5</v>
      </c>
      <c r="G833" s="6" t="n">
        <f aca="false">IF(ISNUMBER(F833),F833/C833*100,"N/A")</f>
        <v>-1.13570180547467</v>
      </c>
      <c r="H833" s="3" t="str">
        <f aca="false">IF(NOT(ISNUMBER(F833)),"NO CURRENT DATA",IF(F833&gt;0,"RISEN",IF(F833&lt;0,"FALLEN","UNCHANGED")))</f>
        <v>FALLEN</v>
      </c>
      <c r="I833" s="3" t="s">
        <v>1480</v>
      </c>
      <c r="J833" s="3" t="n">
        <v>6</v>
      </c>
    </row>
    <row r="834" customFormat="false" ht="15" hidden="false" customHeight="false" outlineLevel="0" collapsed="false">
      <c r="A834" s="3" t="s">
        <v>1445</v>
      </c>
      <c r="B834" s="3" t="s">
        <v>487</v>
      </c>
      <c r="C834" s="4" t="n">
        <v>11644</v>
      </c>
      <c r="D834" s="4" t="n">
        <v>10800</v>
      </c>
      <c r="E834" s="3" t="s">
        <v>1479</v>
      </c>
      <c r="F834" s="4" t="n">
        <f aca="false">IF(AND(ISNUMBER(C834),ISNUMBER(D834)),D834-C834,"N/A")</f>
        <v>-844</v>
      </c>
      <c r="G834" s="6" t="n">
        <f aca="false">IF(ISNUMBER(F834),F834/C834*100,"N/A")</f>
        <v>-7.24836825833047</v>
      </c>
      <c r="H834" s="3" t="str">
        <f aca="false">IF(NOT(ISNUMBER(F834)),"NO CURRENT DATA",IF(F834&gt;0,"RISEN",IF(F834&lt;0,"FALLEN","UNCHANGED")))</f>
        <v>FALLEN</v>
      </c>
      <c r="I834" s="3" t="s">
        <v>1480</v>
      </c>
      <c r="J834" s="3" t="n">
        <v>3</v>
      </c>
    </row>
    <row r="835" customFormat="false" ht="15" hidden="false" customHeight="false" outlineLevel="0" collapsed="false">
      <c r="A835" s="3" t="s">
        <v>1445</v>
      </c>
      <c r="B835" s="3" t="s">
        <v>1448</v>
      </c>
      <c r="C835" s="4" t="n">
        <v>50000</v>
      </c>
      <c r="D835" s="4" t="n">
        <v>47020</v>
      </c>
      <c r="E835" s="3" t="s">
        <v>1479</v>
      </c>
      <c r="F835" s="4" t="n">
        <f aca="false">IF(AND(ISNUMBER(C835),ISNUMBER(D835)),D835-C835,"N/A")</f>
        <v>-2980</v>
      </c>
      <c r="G835" s="6" t="n">
        <f aca="false">IF(ISNUMBER(F835),F835/C835*100,"N/A")</f>
        <v>-5.96</v>
      </c>
      <c r="H835" s="3" t="str">
        <f aca="false">IF(NOT(ISNUMBER(F835)),"NO CURRENT DATA",IF(F835&gt;0,"RISEN",IF(F835&lt;0,"FALLEN","UNCHANGED")))</f>
        <v>FALLEN</v>
      </c>
      <c r="I835" s="3" t="s">
        <v>1480</v>
      </c>
      <c r="J835" s="3" t="n">
        <v>0</v>
      </c>
    </row>
    <row r="836" customFormat="false" ht="15" hidden="false" customHeight="false" outlineLevel="0" collapsed="false">
      <c r="A836" s="3" t="s">
        <v>1445</v>
      </c>
      <c r="B836" s="3" t="s">
        <v>104</v>
      </c>
      <c r="C836" s="4" t="n">
        <v>365.75</v>
      </c>
      <c r="D836" s="4" t="n">
        <v>342.45</v>
      </c>
      <c r="E836" s="3" t="s">
        <v>1479</v>
      </c>
      <c r="F836" s="4" t="n">
        <f aca="false">IF(AND(ISNUMBER(C836),ISNUMBER(D836)),D836-C836,"N/A")</f>
        <v>-23.3</v>
      </c>
      <c r="G836" s="6" t="n">
        <f aca="false">IF(ISNUMBER(F836),F836/C836*100,"N/A")</f>
        <v>-6.37047163362953</v>
      </c>
      <c r="H836" s="3" t="str">
        <f aca="false">IF(NOT(ISNUMBER(F836)),"NO CURRENT DATA",IF(F836&gt;0,"RISEN",IF(F836&lt;0,"FALLEN","UNCHANGED")))</f>
        <v>FALLEN</v>
      </c>
      <c r="I836" s="3" t="s">
        <v>1480</v>
      </c>
      <c r="J836" s="3" t="n">
        <v>4</v>
      </c>
    </row>
    <row r="837" customFormat="false" ht="15" hidden="false" customHeight="false" outlineLevel="0" collapsed="false">
      <c r="A837" s="3" t="s">
        <v>1445</v>
      </c>
      <c r="B837" s="3" t="s">
        <v>602</v>
      </c>
      <c r="C837" s="4" t="n">
        <v>1454</v>
      </c>
      <c r="D837" s="4" t="n">
        <v>1302</v>
      </c>
      <c r="E837" s="3" t="s">
        <v>1479</v>
      </c>
      <c r="F837" s="4" t="n">
        <f aca="false">IF(AND(ISNUMBER(C837),ISNUMBER(D837)),D837-C837,"N/A")</f>
        <v>-152</v>
      </c>
      <c r="G837" s="6" t="n">
        <f aca="false">IF(ISNUMBER(F837),F837/C837*100,"N/A")</f>
        <v>-10.4539202200825</v>
      </c>
      <c r="H837" s="3" t="str">
        <f aca="false">IF(NOT(ISNUMBER(F837)),"NO CURRENT DATA",IF(F837&gt;0,"RISEN",IF(F837&lt;0,"FALLEN","UNCHANGED")))</f>
        <v>FALLEN</v>
      </c>
      <c r="I837" s="3" t="s">
        <v>1480</v>
      </c>
      <c r="J837" s="3" t="n">
        <v>4</v>
      </c>
    </row>
    <row r="838" customFormat="false" ht="15" hidden="false" customHeight="false" outlineLevel="0" collapsed="false">
      <c r="A838" s="3" t="s">
        <v>1445</v>
      </c>
      <c r="B838" s="3" t="s">
        <v>364</v>
      </c>
      <c r="C838" s="4" t="n">
        <v>517.05</v>
      </c>
      <c r="D838" s="4" t="n">
        <v>458.7</v>
      </c>
      <c r="E838" s="3" t="s">
        <v>1479</v>
      </c>
      <c r="F838" s="4" t="n">
        <f aca="false">IF(AND(ISNUMBER(C838),ISNUMBER(D838)),D838-C838,"N/A")</f>
        <v>-58.35</v>
      </c>
      <c r="G838" s="6" t="n">
        <f aca="false">IF(ISNUMBER(F838),F838/C838*100,"N/A")</f>
        <v>-11.2851755149405</v>
      </c>
      <c r="H838" s="3" t="str">
        <f aca="false">IF(NOT(ISNUMBER(F838)),"NO CURRENT DATA",IF(F838&gt;0,"RISEN",IF(F838&lt;0,"FALLEN","UNCHANGED")))</f>
        <v>FALLEN</v>
      </c>
      <c r="I838" s="3" t="s">
        <v>1480</v>
      </c>
      <c r="J838" s="3" t="n">
        <v>9</v>
      </c>
    </row>
    <row r="839" customFormat="false" ht="15" hidden="false" customHeight="false" outlineLevel="0" collapsed="false">
      <c r="A839" s="3" t="s">
        <v>1445</v>
      </c>
      <c r="B839" s="3" t="s">
        <v>525</v>
      </c>
      <c r="C839" s="4" t="n">
        <v>241.35</v>
      </c>
      <c r="D839" s="4" t="n">
        <v>220.5</v>
      </c>
      <c r="E839" s="3" t="s">
        <v>1479</v>
      </c>
      <c r="F839" s="4" t="n">
        <f aca="false">IF(AND(ISNUMBER(C839),ISNUMBER(D839)),D839-C839,"N/A")</f>
        <v>-20.85</v>
      </c>
      <c r="G839" s="6" t="n">
        <f aca="false">IF(ISNUMBER(F839),F839/C839*100,"N/A")</f>
        <v>-8.63890615288999</v>
      </c>
      <c r="H839" s="3" t="str">
        <f aca="false">IF(NOT(ISNUMBER(F839)),"NO CURRENT DATA",IF(F839&gt;0,"RISEN",IF(F839&lt;0,"FALLEN","UNCHANGED")))</f>
        <v>FALLEN</v>
      </c>
      <c r="I839" s="3" t="s">
        <v>1480</v>
      </c>
      <c r="J839" s="3" t="n">
        <v>5</v>
      </c>
    </row>
    <row r="840" customFormat="false" ht="15" hidden="false" customHeight="false" outlineLevel="0" collapsed="false">
      <c r="A840" s="3" t="s">
        <v>1445</v>
      </c>
      <c r="B840" s="3" t="s">
        <v>544</v>
      </c>
      <c r="C840" s="4" t="n">
        <v>1496.5</v>
      </c>
      <c r="D840" s="4" t="n">
        <v>1346</v>
      </c>
      <c r="E840" s="3" t="s">
        <v>1479</v>
      </c>
      <c r="F840" s="4" t="n">
        <f aca="false">IF(AND(ISNUMBER(C840),ISNUMBER(D840)),D840-C840,"N/A")</f>
        <v>-150.5</v>
      </c>
      <c r="G840" s="6" t="n">
        <f aca="false">IF(ISNUMBER(F840),F840/C840*100,"N/A")</f>
        <v>-10.056799198129</v>
      </c>
      <c r="H840" s="3" t="str">
        <f aca="false">IF(NOT(ISNUMBER(F840)),"NO CURRENT DATA",IF(F840&gt;0,"RISEN",IF(F840&lt;0,"FALLEN","UNCHANGED")))</f>
        <v>FALLEN</v>
      </c>
      <c r="I840" s="3" t="s">
        <v>1480</v>
      </c>
      <c r="J840" s="3" t="n">
        <v>3</v>
      </c>
    </row>
    <row r="841" customFormat="false" ht="15" hidden="false" customHeight="false" outlineLevel="0" collapsed="false">
      <c r="A841" s="3" t="s">
        <v>1445</v>
      </c>
      <c r="B841" s="3" t="s">
        <v>1036</v>
      </c>
      <c r="C841" s="4" t="n">
        <v>12540</v>
      </c>
      <c r="D841" s="4" t="n">
        <v>10800</v>
      </c>
      <c r="E841" s="3" t="s">
        <v>1479</v>
      </c>
      <c r="F841" s="4" t="n">
        <f aca="false">IF(AND(ISNUMBER(C841),ISNUMBER(D841)),D841-C841,"N/A")</f>
        <v>-1740</v>
      </c>
      <c r="G841" s="6" t="n">
        <f aca="false">IF(ISNUMBER(F841),F841/C841*100,"N/A")</f>
        <v>-13.8755980861244</v>
      </c>
      <c r="H841" s="3" t="str">
        <f aca="false">IF(NOT(ISNUMBER(F841)),"NO CURRENT DATA",IF(F841&gt;0,"RISEN",IF(F841&lt;0,"FALLEN","UNCHANGED")))</f>
        <v>FALLEN</v>
      </c>
      <c r="I841" s="3" t="s">
        <v>1480</v>
      </c>
      <c r="J841" s="3" t="n">
        <v>1</v>
      </c>
    </row>
    <row r="842" customFormat="false" ht="15" hidden="false" customHeight="false" outlineLevel="0" collapsed="false">
      <c r="A842" s="3" t="s">
        <v>1445</v>
      </c>
      <c r="B842" s="3" t="s">
        <v>117</v>
      </c>
      <c r="C842" s="4" t="n">
        <v>300.6</v>
      </c>
      <c r="D842" s="4" t="n">
        <v>289.85</v>
      </c>
      <c r="E842" s="3" t="s">
        <v>1479</v>
      </c>
      <c r="F842" s="4" t="n">
        <f aca="false">IF(AND(ISNUMBER(C842),ISNUMBER(D842)),D842-C842,"N/A")</f>
        <v>-10.75</v>
      </c>
      <c r="G842" s="6" t="n">
        <f aca="false">IF(ISNUMBER(F842),F842/C842*100,"N/A")</f>
        <v>-3.57618097139055</v>
      </c>
      <c r="H842" s="3" t="str">
        <f aca="false">IF(NOT(ISNUMBER(F842)),"NO CURRENT DATA",IF(F842&gt;0,"RISEN",IF(F842&lt;0,"FALLEN","UNCHANGED")))</f>
        <v>FALLEN</v>
      </c>
      <c r="I842" s="3" t="s">
        <v>1480</v>
      </c>
      <c r="J842" s="3" t="n">
        <v>5</v>
      </c>
    </row>
    <row r="843" customFormat="false" ht="15" hidden="false" customHeight="false" outlineLevel="0" collapsed="false">
      <c r="A843" s="3" t="s">
        <v>1445</v>
      </c>
      <c r="B843" s="3" t="s">
        <v>550</v>
      </c>
      <c r="C843" s="4" t="n">
        <v>1633</v>
      </c>
      <c r="D843" s="4" t="n">
        <v>1470.8</v>
      </c>
      <c r="E843" s="3" t="s">
        <v>1479</v>
      </c>
      <c r="F843" s="4" t="n">
        <f aca="false">IF(AND(ISNUMBER(C843),ISNUMBER(D843)),D843-C843,"N/A")</f>
        <v>-162.2</v>
      </c>
      <c r="G843" s="6" t="n">
        <f aca="false">IF(ISNUMBER(F843),F843/C843*100,"N/A")</f>
        <v>-9.93263931414575</v>
      </c>
      <c r="H843" s="3" t="str">
        <f aca="false">IF(NOT(ISNUMBER(F843)),"NO CURRENT DATA",IF(F843&gt;0,"RISEN",IF(F843&lt;0,"FALLEN","UNCHANGED")))</f>
        <v>FALLEN</v>
      </c>
      <c r="I843" s="3" t="s">
        <v>1480</v>
      </c>
      <c r="J843" s="3" t="n">
        <v>4</v>
      </c>
    </row>
    <row r="844" customFormat="false" ht="15" hidden="false" customHeight="false" outlineLevel="0" collapsed="false">
      <c r="A844" s="3" t="s">
        <v>1445</v>
      </c>
      <c r="B844" s="3" t="s">
        <v>623</v>
      </c>
      <c r="C844" s="4" t="n">
        <v>1984.8</v>
      </c>
      <c r="D844" s="4" t="n">
        <v>1838</v>
      </c>
      <c r="E844" s="3" t="s">
        <v>1479</v>
      </c>
      <c r="F844" s="4" t="n">
        <f aca="false">IF(AND(ISNUMBER(C844),ISNUMBER(D844)),D844-C844,"N/A")</f>
        <v>-146.8</v>
      </c>
      <c r="G844" s="6" t="n">
        <f aca="false">IF(ISNUMBER(F844),F844/C844*100,"N/A")</f>
        <v>-7.39621120515921</v>
      </c>
      <c r="H844" s="3" t="str">
        <f aca="false">IF(NOT(ISNUMBER(F844)),"NO CURRENT DATA",IF(F844&gt;0,"RISEN",IF(F844&lt;0,"FALLEN","UNCHANGED")))</f>
        <v>FALLEN</v>
      </c>
      <c r="I844" s="3" t="s">
        <v>1480</v>
      </c>
      <c r="J844" s="3" t="n">
        <v>6</v>
      </c>
    </row>
    <row r="845" customFormat="false" ht="15" hidden="false" customHeight="false" outlineLevel="0" collapsed="false">
      <c r="A845" s="3" t="s">
        <v>1445</v>
      </c>
      <c r="B845" s="3" t="s">
        <v>148</v>
      </c>
      <c r="C845" s="4" t="n">
        <v>5066</v>
      </c>
      <c r="D845" s="4" t="n">
        <v>4869</v>
      </c>
      <c r="E845" s="3" t="s">
        <v>1479</v>
      </c>
      <c r="F845" s="4" t="n">
        <f aca="false">IF(AND(ISNUMBER(C845),ISNUMBER(D845)),D845-C845,"N/A")</f>
        <v>-197</v>
      </c>
      <c r="G845" s="6" t="n">
        <f aca="false">IF(ISNUMBER(F845),F845/C845*100,"N/A")</f>
        <v>-3.88866956178445</v>
      </c>
      <c r="H845" s="3" t="str">
        <f aca="false">IF(NOT(ISNUMBER(F845)),"NO CURRENT DATA",IF(F845&gt;0,"RISEN",IF(F845&lt;0,"FALLEN","UNCHANGED")))</f>
        <v>FALLEN</v>
      </c>
      <c r="I845" s="3" t="s">
        <v>1480</v>
      </c>
      <c r="J845" s="3" t="n">
        <v>5</v>
      </c>
    </row>
    <row r="846" customFormat="false" ht="15" hidden="false" customHeight="false" outlineLevel="0" collapsed="false">
      <c r="A846" s="3" t="s">
        <v>1445</v>
      </c>
      <c r="B846" s="3" t="s">
        <v>223</v>
      </c>
      <c r="C846" s="4" t="n">
        <v>184.5</v>
      </c>
      <c r="D846" s="4" t="n">
        <v>161.56</v>
      </c>
      <c r="E846" s="3" t="s">
        <v>1479</v>
      </c>
      <c r="F846" s="4" t="n">
        <f aca="false">IF(AND(ISNUMBER(C846),ISNUMBER(D846)),D846-C846,"N/A")</f>
        <v>-22.94</v>
      </c>
      <c r="G846" s="6" t="n">
        <f aca="false">IF(ISNUMBER(F846),F846/C846*100,"N/A")</f>
        <v>-12.4336043360434</v>
      </c>
      <c r="H846" s="3" t="str">
        <f aca="false">IF(NOT(ISNUMBER(F846)),"NO CURRENT DATA",IF(F846&gt;0,"RISEN",IF(F846&lt;0,"FALLEN","UNCHANGED")))</f>
        <v>FALLEN</v>
      </c>
      <c r="I846" s="3" t="s">
        <v>1480</v>
      </c>
      <c r="J846" s="3" t="n">
        <v>5</v>
      </c>
    </row>
    <row r="847" customFormat="false" ht="15" hidden="false" customHeight="false" outlineLevel="0" collapsed="false">
      <c r="A847" s="3" t="s">
        <v>1462</v>
      </c>
      <c r="B847" s="3" t="s">
        <v>484</v>
      </c>
      <c r="C847" s="4" t="n">
        <v>397.05</v>
      </c>
      <c r="D847" s="4" t="n">
        <v>382.7</v>
      </c>
      <c r="E847" s="3" t="s">
        <v>1479</v>
      </c>
      <c r="F847" s="4" t="n">
        <f aca="false">IF(AND(ISNUMBER(C847),ISNUMBER(D847)),D847-C847,"N/A")</f>
        <v>-14.35</v>
      </c>
      <c r="G847" s="6" t="n">
        <f aca="false">IF(ISNUMBER(F847),F847/C847*100,"N/A")</f>
        <v>-3.61415438861605</v>
      </c>
      <c r="H847" s="3" t="str">
        <f aca="false">IF(NOT(ISNUMBER(F847)),"NO CURRENT DATA",IF(F847&gt;0,"RISEN",IF(F847&lt;0,"FALLEN","UNCHANGED")))</f>
        <v>FALLEN</v>
      </c>
      <c r="I847" s="3" t="s">
        <v>1480</v>
      </c>
      <c r="J847" s="3" t="n">
        <v>2</v>
      </c>
    </row>
    <row r="848" customFormat="false" ht="15" hidden="false" customHeight="false" outlineLevel="0" collapsed="false">
      <c r="A848" s="3" t="s">
        <v>1462</v>
      </c>
      <c r="B848" s="3" t="s">
        <v>490</v>
      </c>
      <c r="C848" s="4" t="n">
        <v>319.6</v>
      </c>
      <c r="D848" s="4" t="n">
        <v>302.25</v>
      </c>
      <c r="E848" s="3" t="s">
        <v>1479</v>
      </c>
      <c r="F848" s="4" t="n">
        <f aca="false">IF(AND(ISNUMBER(C848),ISNUMBER(D848)),D848-C848,"N/A")</f>
        <v>-17.35</v>
      </c>
      <c r="G848" s="6" t="n">
        <f aca="false">IF(ISNUMBER(F848),F848/C848*100,"N/A")</f>
        <v>-5.42866082603255</v>
      </c>
      <c r="H848" s="3" t="str">
        <f aca="false">IF(NOT(ISNUMBER(F848)),"NO CURRENT DATA",IF(F848&gt;0,"RISEN",IF(F848&lt;0,"FALLEN","UNCHANGED")))</f>
        <v>FALLEN</v>
      </c>
      <c r="I848" s="3" t="s">
        <v>1480</v>
      </c>
      <c r="J848" s="3" t="n">
        <v>5</v>
      </c>
    </row>
    <row r="849" customFormat="false" ht="15" hidden="false" customHeight="false" outlineLevel="0" collapsed="false">
      <c r="A849" s="3" t="s">
        <v>1465</v>
      </c>
      <c r="B849" s="3" t="s">
        <v>487</v>
      </c>
      <c r="C849" s="4" t="n">
        <v>11165</v>
      </c>
      <c r="D849" s="4" t="n">
        <v>10800</v>
      </c>
      <c r="E849" s="3" t="s">
        <v>1479</v>
      </c>
      <c r="F849" s="4" t="n">
        <f aca="false">IF(AND(ISNUMBER(C849),ISNUMBER(D849)),D849-C849,"N/A")</f>
        <v>-365</v>
      </c>
      <c r="G849" s="6" t="n">
        <f aca="false">IF(ISNUMBER(F849),F849/C849*100,"N/A")</f>
        <v>-3.26914464845499</v>
      </c>
      <c r="H849" s="3" t="str">
        <f aca="false">IF(NOT(ISNUMBER(F849)),"NO CURRENT DATA",IF(F849&gt;0,"RISEN",IF(F849&lt;0,"FALLEN","UNCHANGED")))</f>
        <v>FALLEN</v>
      </c>
      <c r="I849" s="3" t="s">
        <v>1480</v>
      </c>
      <c r="J849" s="3" t="n">
        <v>4</v>
      </c>
    </row>
    <row r="850" customFormat="false" ht="15" hidden="false" customHeight="false" outlineLevel="0" collapsed="false">
      <c r="A850" s="3" t="s">
        <v>1465</v>
      </c>
      <c r="B850" s="3" t="s">
        <v>187</v>
      </c>
      <c r="C850" s="4" t="n">
        <v>87.5</v>
      </c>
      <c r="D850" s="4" t="n">
        <v>80.55</v>
      </c>
      <c r="E850" s="3" t="s">
        <v>1479</v>
      </c>
      <c r="F850" s="4" t="n">
        <f aca="false">IF(AND(ISNUMBER(C850),ISNUMBER(D850)),D850-C850,"N/A")</f>
        <v>-6.95</v>
      </c>
      <c r="G850" s="6" t="n">
        <f aca="false">IF(ISNUMBER(F850),F850/C850*100,"N/A")</f>
        <v>-7.94285714285715</v>
      </c>
      <c r="H850" s="3" t="str">
        <f aca="false">IF(NOT(ISNUMBER(F850)),"NO CURRENT DATA",IF(F850&gt;0,"RISEN",IF(F850&lt;0,"FALLEN","UNCHANGED")))</f>
        <v>FALLEN</v>
      </c>
      <c r="I850" s="3" t="s">
        <v>1480</v>
      </c>
      <c r="J850" s="3" t="n">
        <v>3</v>
      </c>
    </row>
    <row r="851" customFormat="false" ht="15" hidden="false" customHeight="false" outlineLevel="0" collapsed="false">
      <c r="A851" s="3" t="s">
        <v>1465</v>
      </c>
      <c r="B851" s="3" t="s">
        <v>1468</v>
      </c>
      <c r="C851" s="4" t="n">
        <v>732</v>
      </c>
      <c r="D851" s="4" t="n">
        <v>711</v>
      </c>
      <c r="E851" s="3" t="s">
        <v>1479</v>
      </c>
      <c r="F851" s="4" t="n">
        <f aca="false">IF(AND(ISNUMBER(C851),ISNUMBER(D851)),D851-C851,"N/A")</f>
        <v>-21</v>
      </c>
      <c r="G851" s="6" t="n">
        <f aca="false">IF(ISNUMBER(F851),F851/C851*100,"N/A")</f>
        <v>-2.86885245901639</v>
      </c>
      <c r="H851" s="3" t="str">
        <f aca="false">IF(NOT(ISNUMBER(F851)),"NO CURRENT DATA",IF(F851&gt;0,"RISEN",IF(F851&lt;0,"FALLEN","UNCHANGED")))</f>
        <v>FALLEN</v>
      </c>
      <c r="I851" s="3" t="s">
        <v>1480</v>
      </c>
      <c r="J851" s="3" t="n">
        <v>0</v>
      </c>
    </row>
    <row r="852" customFormat="false" ht="15" hidden="false" customHeight="false" outlineLevel="0" collapsed="false">
      <c r="A852" s="3" t="s">
        <v>1465</v>
      </c>
      <c r="B852" s="3" t="s">
        <v>550</v>
      </c>
      <c r="C852" s="4" t="n">
        <v>1615.2</v>
      </c>
      <c r="D852" s="4" t="n">
        <v>1470.8</v>
      </c>
      <c r="E852" s="3" t="s">
        <v>1479</v>
      </c>
      <c r="F852" s="4" t="n">
        <f aca="false">IF(AND(ISNUMBER(C852),ISNUMBER(D852)),D852-C852,"N/A")</f>
        <v>-144.4</v>
      </c>
      <c r="G852" s="6" t="n">
        <f aca="false">IF(ISNUMBER(F852),F852/C852*100,"N/A")</f>
        <v>-8.94006934125805</v>
      </c>
      <c r="H852" s="3" t="str">
        <f aca="false">IF(NOT(ISNUMBER(F852)),"NO CURRENT DATA",IF(F852&gt;0,"RISEN",IF(F852&lt;0,"FALLEN","UNCHANGED")))</f>
        <v>FALLEN</v>
      </c>
      <c r="I852" s="3" t="s">
        <v>1480</v>
      </c>
      <c r="J852" s="3" t="n">
        <v>5</v>
      </c>
    </row>
    <row r="853" customFormat="false" ht="15" hidden="false" customHeight="false" outlineLevel="0" collapsed="false">
      <c r="A853" s="3" t="s">
        <v>1465</v>
      </c>
      <c r="B853" s="3" t="s">
        <v>912</v>
      </c>
      <c r="C853" s="4" t="n">
        <v>269.3</v>
      </c>
      <c r="D853" s="4" t="n">
        <v>256</v>
      </c>
      <c r="E853" s="3" t="s">
        <v>1479</v>
      </c>
      <c r="F853" s="4" t="n">
        <f aca="false">IF(AND(ISNUMBER(C853),ISNUMBER(D853)),D853-C853,"N/A")</f>
        <v>-13.3</v>
      </c>
      <c r="G853" s="6" t="n">
        <f aca="false">IF(ISNUMBER(F853),F853/C853*100,"N/A")</f>
        <v>-4.93873004084664</v>
      </c>
      <c r="H853" s="3" t="str">
        <f aca="false">IF(NOT(ISNUMBER(F853)),"NO CURRENT DATA",IF(F853&gt;0,"RISEN",IF(F853&lt;0,"FALLEN","UNCHANGED")))</f>
        <v>FALLEN</v>
      </c>
      <c r="I853" s="3" t="s">
        <v>1480</v>
      </c>
      <c r="J853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7" min="7" style="0" width="60"/>
    <col collapsed="false" customWidth="true" hidden="false" outlineLevel="0" max="8" min="8" style="0" width="52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5" min="14" style="0" width="9"/>
  </cols>
  <sheetData>
    <row r="1" customFormat="false" ht="46.25" hidden="false" customHeight="false" outlineLevel="0" collapsed="false">
      <c r="A1" s="1" t="s">
        <v>42</v>
      </c>
      <c r="B1" s="1" t="s">
        <v>43</v>
      </c>
      <c r="C1" s="1" t="s">
        <v>1489</v>
      </c>
      <c r="D1" s="1" t="s">
        <v>1490</v>
      </c>
      <c r="E1" s="1" t="s">
        <v>1491</v>
      </c>
      <c r="F1" s="1" t="s">
        <v>1492</v>
      </c>
      <c r="G1" s="1" t="s">
        <v>1493</v>
      </c>
      <c r="H1" s="1" t="s">
        <v>1494</v>
      </c>
      <c r="I1" s="1" t="s">
        <v>1495</v>
      </c>
      <c r="J1" s="1" t="s">
        <v>1496</v>
      </c>
      <c r="K1" s="1" t="s">
        <v>1497</v>
      </c>
      <c r="L1" s="1" t="s">
        <v>1498</v>
      </c>
      <c r="M1" s="1" t="s">
        <v>1499</v>
      </c>
      <c r="N1" s="1" t="s">
        <v>1500</v>
      </c>
      <c r="O1" s="1" t="s">
        <v>1501</v>
      </c>
    </row>
    <row r="2" customFormat="false" ht="15" hidden="false" customHeight="false" outlineLevel="0" collapsed="false">
      <c r="A2" s="3" t="s">
        <v>207</v>
      </c>
      <c r="B2" s="3" t="s">
        <v>208</v>
      </c>
      <c r="C2" s="3" t="s">
        <v>206</v>
      </c>
      <c r="D2" s="3" t="s">
        <v>1369</v>
      </c>
      <c r="E2" s="3" t="n">
        <v>10</v>
      </c>
      <c r="F2" s="3" t="n">
        <v>10</v>
      </c>
      <c r="G2" s="3" t="s">
        <v>1502</v>
      </c>
      <c r="H2" s="3" t="s">
        <v>1503</v>
      </c>
      <c r="I2" s="4" t="n">
        <v>1045</v>
      </c>
      <c r="J2" s="3" t="s">
        <v>1479</v>
      </c>
      <c r="K2" s="6" t="n">
        <v>-12.3322147651007</v>
      </c>
      <c r="L2" s="3" t="s">
        <v>1504</v>
      </c>
      <c r="M2" s="6" t="n">
        <v>-5.41466884697659</v>
      </c>
      <c r="N2" s="3" t="n">
        <v>1</v>
      </c>
      <c r="O2" s="3" t="n">
        <v>9</v>
      </c>
    </row>
    <row r="3" customFormat="false" ht="15" hidden="false" customHeight="false" outlineLevel="0" collapsed="false">
      <c r="A3" s="3" t="s">
        <v>708</v>
      </c>
      <c r="B3" s="3" t="s">
        <v>709</v>
      </c>
      <c r="C3" s="3" t="s">
        <v>707</v>
      </c>
      <c r="D3" s="3" t="s">
        <v>987</v>
      </c>
      <c r="E3" s="3" t="n">
        <v>5</v>
      </c>
      <c r="F3" s="3" t="n">
        <v>3</v>
      </c>
      <c r="G3" s="3" t="s">
        <v>1505</v>
      </c>
      <c r="H3" s="3" t="s">
        <v>1506</v>
      </c>
      <c r="I3" s="4" t="n">
        <v>6972.5</v>
      </c>
      <c r="J3" s="3" t="s">
        <v>1479</v>
      </c>
      <c r="K3" s="6" t="n">
        <v>1.4476938745817</v>
      </c>
      <c r="L3" s="3" t="s">
        <v>1507</v>
      </c>
      <c r="M3" s="6" t="n">
        <v>7.54536922105753</v>
      </c>
      <c r="N3" s="3" t="n">
        <v>5</v>
      </c>
      <c r="O3" s="3" t="n">
        <v>0</v>
      </c>
    </row>
    <row r="4" customFormat="false" ht="15" hidden="false" customHeight="false" outlineLevel="0" collapsed="false">
      <c r="A4" s="3" t="s">
        <v>484</v>
      </c>
      <c r="B4" s="3" t="s">
        <v>485</v>
      </c>
      <c r="C4" s="3" t="s">
        <v>483</v>
      </c>
      <c r="D4" s="3" t="s">
        <v>1462</v>
      </c>
      <c r="E4" s="3" t="n">
        <v>3</v>
      </c>
      <c r="F4" s="3" t="n">
        <v>3</v>
      </c>
      <c r="G4" s="3" t="s">
        <v>1508</v>
      </c>
      <c r="H4" s="3" t="s">
        <v>1509</v>
      </c>
      <c r="I4" s="4" t="n">
        <v>382.7</v>
      </c>
      <c r="J4" s="3" t="s">
        <v>1479</v>
      </c>
      <c r="K4" s="6" t="n">
        <v>-3.61415438861605</v>
      </c>
      <c r="L4" s="3" t="s">
        <v>1504</v>
      </c>
      <c r="M4" s="6" t="n">
        <v>3.91927899475107</v>
      </c>
      <c r="N4" s="3" t="n">
        <v>2</v>
      </c>
      <c r="O4" s="3" t="n">
        <v>1</v>
      </c>
    </row>
    <row r="5" customFormat="false" ht="15" hidden="false" customHeight="false" outlineLevel="0" collapsed="false">
      <c r="A5" s="3" t="s">
        <v>1014</v>
      </c>
      <c r="B5" s="3" t="s">
        <v>1015</v>
      </c>
      <c r="C5" s="3" t="s">
        <v>1012</v>
      </c>
      <c r="D5" s="3" t="s">
        <v>1405</v>
      </c>
      <c r="E5" s="3" t="n">
        <v>2</v>
      </c>
      <c r="F5" s="3" t="n">
        <v>2</v>
      </c>
      <c r="G5" s="3" t="s">
        <v>1510</v>
      </c>
      <c r="H5" s="3" t="s">
        <v>1511</v>
      </c>
      <c r="I5" s="4" t="n">
        <v>1287.9</v>
      </c>
      <c r="J5" s="3" t="s">
        <v>1479</v>
      </c>
      <c r="K5" s="6" t="n">
        <v>-20.3032178217822</v>
      </c>
      <c r="L5" s="3" t="s">
        <v>1504</v>
      </c>
      <c r="M5" s="6" t="n">
        <v>-9.03635252098792</v>
      </c>
      <c r="N5" s="3" t="n">
        <v>1</v>
      </c>
      <c r="O5" s="3" t="n">
        <v>1</v>
      </c>
    </row>
    <row r="6" customFormat="false" ht="15" hidden="false" customHeight="false" outlineLevel="0" collapsed="false">
      <c r="A6" s="3" t="s">
        <v>426</v>
      </c>
      <c r="B6" s="3" t="s">
        <v>427</v>
      </c>
      <c r="C6" s="3" t="s">
        <v>425</v>
      </c>
      <c r="D6" s="3" t="s">
        <v>1237</v>
      </c>
      <c r="E6" s="3" t="n">
        <v>2</v>
      </c>
      <c r="F6" s="3" t="n">
        <v>2</v>
      </c>
      <c r="G6" s="3" t="s">
        <v>1512</v>
      </c>
      <c r="H6" s="3" t="s">
        <v>1511</v>
      </c>
      <c r="I6" s="4" t="n">
        <v>2831.1</v>
      </c>
      <c r="J6" s="3" t="s">
        <v>1479</v>
      </c>
      <c r="K6" s="6" t="n">
        <v>-9.94083216694236</v>
      </c>
      <c r="L6" s="3" t="s">
        <v>1504</v>
      </c>
      <c r="M6" s="6" t="n">
        <v>8.85347137764068</v>
      </c>
      <c r="N6" s="3" t="n">
        <v>1</v>
      </c>
      <c r="O6" s="3" t="n">
        <v>1</v>
      </c>
    </row>
    <row r="7" customFormat="false" ht="15" hidden="false" customHeight="false" outlineLevel="0" collapsed="false">
      <c r="A7" s="3" t="s">
        <v>227</v>
      </c>
      <c r="B7" s="3" t="s">
        <v>228</v>
      </c>
      <c r="C7" s="3" t="s">
        <v>226</v>
      </c>
      <c r="D7" s="3" t="s">
        <v>1208</v>
      </c>
      <c r="E7" s="3" t="n">
        <v>3</v>
      </c>
      <c r="F7" s="3" t="n">
        <v>3</v>
      </c>
      <c r="G7" s="3" t="s">
        <v>1513</v>
      </c>
      <c r="H7" s="3" t="s">
        <v>1509</v>
      </c>
      <c r="I7" s="4" t="n">
        <v>1743.7</v>
      </c>
      <c r="J7" s="3" t="s">
        <v>1479</v>
      </c>
      <c r="K7" s="6" t="n">
        <v>-4.64289620474679</v>
      </c>
      <c r="L7" s="3" t="s">
        <v>1504</v>
      </c>
      <c r="M7" s="6" t="n">
        <v>13.0256849381367</v>
      </c>
      <c r="N7" s="3" t="n">
        <v>2</v>
      </c>
      <c r="O7" s="3" t="n">
        <v>1</v>
      </c>
    </row>
    <row r="8" customFormat="false" ht="15" hidden="false" customHeight="false" outlineLevel="0" collapsed="false">
      <c r="A8" s="3" t="s">
        <v>930</v>
      </c>
      <c r="B8" s="3" t="s">
        <v>931</v>
      </c>
      <c r="C8" s="3" t="s">
        <v>929</v>
      </c>
      <c r="D8" s="3" t="s">
        <v>929</v>
      </c>
      <c r="E8" s="3" t="n">
        <v>1</v>
      </c>
      <c r="F8" s="3" t="n">
        <v>1</v>
      </c>
      <c r="G8" s="3" t="s">
        <v>929</v>
      </c>
      <c r="H8" s="3" t="s">
        <v>1514</v>
      </c>
      <c r="I8" s="4" t="n">
        <v>196.14</v>
      </c>
      <c r="J8" s="3" t="s">
        <v>1479</v>
      </c>
      <c r="K8" s="6" t="n">
        <v>20.1396545387725</v>
      </c>
      <c r="L8" s="3" t="s">
        <v>1507</v>
      </c>
      <c r="M8" s="6" t="n">
        <v>20.1396545387725</v>
      </c>
      <c r="N8" s="3" t="n">
        <v>1</v>
      </c>
      <c r="O8" s="3" t="n">
        <v>0</v>
      </c>
    </row>
    <row r="9" customFormat="false" ht="15" hidden="false" customHeight="false" outlineLevel="0" collapsed="false">
      <c r="A9" s="3" t="s">
        <v>333</v>
      </c>
      <c r="B9" s="3" t="s">
        <v>334</v>
      </c>
      <c r="C9" s="3" t="s">
        <v>332</v>
      </c>
      <c r="D9" s="3" t="s">
        <v>1438</v>
      </c>
      <c r="E9" s="3" t="n">
        <v>12</v>
      </c>
      <c r="F9" s="3" t="n">
        <v>11</v>
      </c>
      <c r="G9" s="3" t="s">
        <v>1515</v>
      </c>
      <c r="H9" s="3" t="s">
        <v>1516</v>
      </c>
      <c r="I9" s="4" t="n">
        <v>5175</v>
      </c>
      <c r="J9" s="3" t="s">
        <v>1479</v>
      </c>
      <c r="K9" s="6" t="n">
        <v>-3.36134453781513</v>
      </c>
      <c r="L9" s="3" t="s">
        <v>1504</v>
      </c>
      <c r="M9" s="6" t="n">
        <v>-7.57426068768023</v>
      </c>
      <c r="N9" s="3" t="n">
        <v>0</v>
      </c>
      <c r="O9" s="3" t="n">
        <v>12</v>
      </c>
    </row>
    <row r="10" customFormat="false" ht="15" hidden="false" customHeight="false" outlineLevel="0" collapsed="false">
      <c r="A10" s="3" t="s">
        <v>1412</v>
      </c>
      <c r="B10" s="3" t="s">
        <v>1413</v>
      </c>
      <c r="C10" s="3" t="s">
        <v>1411</v>
      </c>
      <c r="D10" s="3" t="s">
        <v>1411</v>
      </c>
      <c r="E10" s="3" t="n">
        <v>1</v>
      </c>
      <c r="F10" s="3" t="n">
        <v>1</v>
      </c>
      <c r="G10" s="3" t="s">
        <v>1411</v>
      </c>
      <c r="H10" s="3" t="s">
        <v>1514</v>
      </c>
      <c r="I10" s="4" t="n">
        <v>6990</v>
      </c>
      <c r="J10" s="3" t="s">
        <v>1479</v>
      </c>
      <c r="K10" s="6" t="n">
        <v>-4.89795918367347</v>
      </c>
      <c r="L10" s="3" t="s">
        <v>1504</v>
      </c>
      <c r="M10" s="6" t="n">
        <v>-4.89795918367347</v>
      </c>
      <c r="N10" s="3" t="n">
        <v>0</v>
      </c>
      <c r="O10" s="3" t="n">
        <v>1</v>
      </c>
    </row>
    <row r="11" customFormat="false" ht="15" hidden="false" customHeight="false" outlineLevel="0" collapsed="false">
      <c r="A11" s="3" t="s">
        <v>437</v>
      </c>
      <c r="B11" s="3" t="s">
        <v>438</v>
      </c>
      <c r="C11" s="3" t="s">
        <v>436</v>
      </c>
      <c r="D11" s="3" t="s">
        <v>1369</v>
      </c>
      <c r="E11" s="3" t="n">
        <v>3</v>
      </c>
      <c r="F11" s="3" t="n">
        <v>3</v>
      </c>
      <c r="G11" s="3" t="s">
        <v>1517</v>
      </c>
      <c r="H11" s="3" t="s">
        <v>1509</v>
      </c>
      <c r="I11" s="4" t="n">
        <v>374.35</v>
      </c>
      <c r="J11" s="3" t="s">
        <v>1479</v>
      </c>
      <c r="K11" s="6" t="n">
        <v>-15.876404494382</v>
      </c>
      <c r="L11" s="3" t="s">
        <v>1504</v>
      </c>
      <c r="M11" s="6" t="n">
        <v>-25.4043702693933</v>
      </c>
      <c r="N11" s="3" t="n">
        <v>0</v>
      </c>
      <c r="O11" s="3" t="n">
        <v>3</v>
      </c>
    </row>
    <row r="12" customFormat="false" ht="15" hidden="false" customHeight="false" outlineLevel="0" collapsed="false">
      <c r="A12" s="3" t="s">
        <v>58</v>
      </c>
      <c r="B12" s="3" t="s">
        <v>59</v>
      </c>
      <c r="C12" s="3" t="s">
        <v>57</v>
      </c>
      <c r="D12" s="3" t="s">
        <v>1438</v>
      </c>
      <c r="E12" s="3" t="n">
        <v>7</v>
      </c>
      <c r="F12" s="3" t="n">
        <v>7</v>
      </c>
      <c r="G12" s="3" t="s">
        <v>1518</v>
      </c>
      <c r="H12" s="3" t="s">
        <v>1519</v>
      </c>
      <c r="I12" s="4" t="n">
        <v>2197</v>
      </c>
      <c r="J12" s="3" t="s">
        <v>1479</v>
      </c>
      <c r="K12" s="6" t="n">
        <v>-3.02789548022599</v>
      </c>
      <c r="L12" s="3" t="s">
        <v>1504</v>
      </c>
      <c r="M12" s="6" t="n">
        <v>15.2061594759047</v>
      </c>
      <c r="N12" s="3" t="n">
        <v>6</v>
      </c>
      <c r="O12" s="3" t="n">
        <v>1</v>
      </c>
    </row>
    <row r="13" customFormat="false" ht="15" hidden="false" customHeight="false" outlineLevel="0" collapsed="false">
      <c r="A13" s="3" t="s">
        <v>585</v>
      </c>
      <c r="B13" s="3" t="s">
        <v>586</v>
      </c>
      <c r="C13" s="3" t="s">
        <v>583</v>
      </c>
      <c r="D13" s="3" t="s">
        <v>1277</v>
      </c>
      <c r="E13" s="3" t="n">
        <v>4</v>
      </c>
      <c r="F13" s="3" t="n">
        <v>4</v>
      </c>
      <c r="G13" s="3" t="s">
        <v>1520</v>
      </c>
      <c r="H13" s="3" t="s">
        <v>1521</v>
      </c>
      <c r="I13" s="4" t="n">
        <v>8860</v>
      </c>
      <c r="J13" s="3" t="s">
        <v>1479</v>
      </c>
      <c r="K13" s="6" t="n">
        <v>0.163925159685716</v>
      </c>
      <c r="L13" s="3" t="s">
        <v>1507</v>
      </c>
      <c r="M13" s="6" t="n">
        <v>11.7361510698385</v>
      </c>
      <c r="N13" s="3" t="n">
        <v>4</v>
      </c>
      <c r="O13" s="3" t="n">
        <v>0</v>
      </c>
    </row>
    <row r="14" customFormat="false" ht="15" hidden="false" customHeight="false" outlineLevel="0" collapsed="false">
      <c r="A14" s="3" t="s">
        <v>289</v>
      </c>
      <c r="B14" s="3" t="s">
        <v>290</v>
      </c>
      <c r="C14" s="3" t="s">
        <v>288</v>
      </c>
      <c r="D14" s="3" t="s">
        <v>728</v>
      </c>
      <c r="E14" s="3" t="n">
        <v>2</v>
      </c>
      <c r="F14" s="3" t="n">
        <v>2</v>
      </c>
      <c r="G14" s="3" t="s">
        <v>1522</v>
      </c>
      <c r="H14" s="3" t="s">
        <v>1511</v>
      </c>
      <c r="I14" s="4" t="n">
        <v>155.22</v>
      </c>
      <c r="J14" s="3" t="s">
        <v>1479</v>
      </c>
      <c r="K14" s="6" t="n">
        <v>-22.7453712920565</v>
      </c>
      <c r="L14" s="3" t="s">
        <v>1504</v>
      </c>
      <c r="M14" s="6" t="n">
        <v>-6.53625520725204</v>
      </c>
      <c r="N14" s="3" t="n">
        <v>1</v>
      </c>
      <c r="O14" s="3" t="n">
        <v>1</v>
      </c>
    </row>
    <row r="15" customFormat="false" ht="15" hidden="false" customHeight="false" outlineLevel="0" collapsed="false">
      <c r="A15" s="3" t="s">
        <v>342</v>
      </c>
      <c r="B15" s="3" t="s">
        <v>343</v>
      </c>
      <c r="C15" s="3" t="s">
        <v>341</v>
      </c>
      <c r="D15" s="3" t="s">
        <v>472</v>
      </c>
      <c r="E15" s="3" t="n">
        <v>3</v>
      </c>
      <c r="F15" s="3" t="n">
        <v>3</v>
      </c>
      <c r="G15" s="3" t="s">
        <v>1523</v>
      </c>
      <c r="H15" s="3" t="s">
        <v>1509</v>
      </c>
      <c r="I15" s="4" t="n">
        <v>2420</v>
      </c>
      <c r="J15" s="3" t="s">
        <v>1479</v>
      </c>
      <c r="K15" s="6" t="n">
        <v>-13.5683417264902</v>
      </c>
      <c r="L15" s="3" t="s">
        <v>1504</v>
      </c>
      <c r="M15" s="6" t="n">
        <v>-12.9989498377792</v>
      </c>
      <c r="N15" s="3" t="n">
        <v>0</v>
      </c>
      <c r="O15" s="3" t="n">
        <v>3</v>
      </c>
    </row>
    <row r="16" customFormat="false" ht="15" hidden="false" customHeight="false" outlineLevel="0" collapsed="false">
      <c r="A16" s="3" t="s">
        <v>182</v>
      </c>
      <c r="B16" s="3" t="s">
        <v>183</v>
      </c>
      <c r="C16" s="3" t="s">
        <v>181</v>
      </c>
      <c r="D16" s="3" t="s">
        <v>1012</v>
      </c>
      <c r="E16" s="3" t="n">
        <v>6</v>
      </c>
      <c r="F16" s="3" t="n">
        <v>6</v>
      </c>
      <c r="G16" s="3" t="s">
        <v>1524</v>
      </c>
      <c r="H16" s="3" t="s">
        <v>1525</v>
      </c>
      <c r="I16" s="4" t="n">
        <v>1370.5</v>
      </c>
      <c r="J16" s="3" t="s">
        <v>1479</v>
      </c>
      <c r="K16" s="6" t="n">
        <v>-14.6105919003115</v>
      </c>
      <c r="L16" s="3" t="s">
        <v>1504</v>
      </c>
      <c r="M16" s="6" t="n">
        <v>-12.8715003296479</v>
      </c>
      <c r="N16" s="3" t="n">
        <v>0</v>
      </c>
      <c r="O16" s="3" t="n">
        <v>6</v>
      </c>
    </row>
    <row r="17" customFormat="false" ht="15" hidden="false" customHeight="false" outlineLevel="0" collapsed="false">
      <c r="A17" s="3" t="s">
        <v>396</v>
      </c>
      <c r="B17" s="3" t="s">
        <v>397</v>
      </c>
      <c r="C17" s="3" t="s">
        <v>395</v>
      </c>
      <c r="D17" s="3" t="s">
        <v>1343</v>
      </c>
      <c r="E17" s="3" t="n">
        <v>6</v>
      </c>
      <c r="F17" s="3" t="n">
        <v>6</v>
      </c>
      <c r="G17" s="3" t="s">
        <v>1526</v>
      </c>
      <c r="H17" s="3" t="s">
        <v>1525</v>
      </c>
      <c r="I17" s="4" t="n">
        <v>995.3</v>
      </c>
      <c r="J17" s="3" t="s">
        <v>1479</v>
      </c>
      <c r="K17" s="6" t="n">
        <v>-4.96514847703619</v>
      </c>
      <c r="L17" s="3" t="s">
        <v>1504</v>
      </c>
      <c r="M17" s="6" t="n">
        <v>-1.51763545879198</v>
      </c>
      <c r="N17" s="3" t="n">
        <v>3</v>
      </c>
      <c r="O17" s="3" t="n">
        <v>3</v>
      </c>
    </row>
    <row r="18" customFormat="false" ht="15" hidden="false" customHeight="false" outlineLevel="0" collapsed="false">
      <c r="A18" s="3" t="s">
        <v>380</v>
      </c>
      <c r="B18" s="3" t="s">
        <v>381</v>
      </c>
      <c r="C18" s="3" t="s">
        <v>378</v>
      </c>
      <c r="D18" s="3" t="s">
        <v>1445</v>
      </c>
      <c r="E18" s="3" t="n">
        <v>8</v>
      </c>
      <c r="F18" s="3" t="n">
        <v>7</v>
      </c>
      <c r="G18" s="3" t="s">
        <v>1527</v>
      </c>
      <c r="H18" s="3" t="s">
        <v>1528</v>
      </c>
      <c r="I18" s="4" t="n">
        <v>1697.5</v>
      </c>
      <c r="J18" s="3" t="s">
        <v>1479</v>
      </c>
      <c r="K18" s="6" t="n">
        <v>-1.13570180547467</v>
      </c>
      <c r="L18" s="3" t="s">
        <v>1504</v>
      </c>
      <c r="M18" s="6" t="n">
        <v>19.3443169356939</v>
      </c>
      <c r="N18" s="3" t="n">
        <v>7</v>
      </c>
      <c r="O18" s="3" t="n">
        <v>1</v>
      </c>
    </row>
    <row r="19" customFormat="false" ht="15" hidden="false" customHeight="false" outlineLevel="0" collapsed="false">
      <c r="A19" s="3" t="s">
        <v>1328</v>
      </c>
      <c r="B19" s="3" t="s">
        <v>1329</v>
      </c>
      <c r="C19" s="3" t="s">
        <v>1327</v>
      </c>
      <c r="D19" s="3" t="s">
        <v>1327</v>
      </c>
      <c r="E19" s="3" t="n">
        <v>1</v>
      </c>
      <c r="F19" s="3" t="n">
        <v>1</v>
      </c>
      <c r="G19" s="3" t="s">
        <v>1327</v>
      </c>
      <c r="H19" s="3" t="s">
        <v>1514</v>
      </c>
      <c r="I19" s="4" t="n">
        <v>1209.9</v>
      </c>
      <c r="J19" s="3" t="s">
        <v>1479</v>
      </c>
      <c r="K19" s="6" t="n">
        <v>-2.06410879067509</v>
      </c>
      <c r="L19" s="3" t="s">
        <v>1504</v>
      </c>
      <c r="M19" s="6" t="n">
        <v>-2.06410879067509</v>
      </c>
      <c r="N19" s="3" t="n">
        <v>0</v>
      </c>
      <c r="O19" s="3" t="n">
        <v>1</v>
      </c>
    </row>
    <row r="20" customFormat="false" ht="15" hidden="false" customHeight="false" outlineLevel="0" collapsed="false">
      <c r="A20" s="3" t="s">
        <v>90</v>
      </c>
      <c r="B20" s="3" t="s">
        <v>91</v>
      </c>
      <c r="C20" s="3" t="s">
        <v>89</v>
      </c>
      <c r="D20" s="3" t="s">
        <v>1296</v>
      </c>
      <c r="E20" s="3" t="n">
        <v>4</v>
      </c>
      <c r="F20" s="3" t="n">
        <v>4</v>
      </c>
      <c r="G20" s="3" t="s">
        <v>1529</v>
      </c>
      <c r="H20" s="3" t="s">
        <v>1521</v>
      </c>
      <c r="I20" s="4" t="n">
        <v>11024</v>
      </c>
      <c r="J20" s="3" t="s">
        <v>1479</v>
      </c>
      <c r="K20" s="6" t="n">
        <v>6.19400828436567</v>
      </c>
      <c r="L20" s="3" t="s">
        <v>1507</v>
      </c>
      <c r="M20" s="6" t="n">
        <v>16.7631016166031</v>
      </c>
      <c r="N20" s="3" t="n">
        <v>4</v>
      </c>
      <c r="O20" s="3" t="n">
        <v>0</v>
      </c>
    </row>
    <row r="21" customFormat="false" ht="15" hidden="false" customHeight="false" outlineLevel="0" collapsed="false">
      <c r="A21" s="3" t="s">
        <v>210</v>
      </c>
      <c r="B21" s="3" t="s">
        <v>211</v>
      </c>
      <c r="C21" s="3" t="s">
        <v>206</v>
      </c>
      <c r="D21" s="3" t="s">
        <v>1237</v>
      </c>
      <c r="E21" s="3" t="n">
        <v>6</v>
      </c>
      <c r="F21" s="3" t="n">
        <v>5</v>
      </c>
      <c r="G21" s="3" t="s">
        <v>1530</v>
      </c>
      <c r="H21" s="3" t="s">
        <v>1531</v>
      </c>
      <c r="I21" s="4" t="n">
        <v>1752</v>
      </c>
      <c r="J21" s="3" t="s">
        <v>1479</v>
      </c>
      <c r="K21" s="6" t="n">
        <v>-2.53671562082777</v>
      </c>
      <c r="L21" s="3" t="s">
        <v>1504</v>
      </c>
      <c r="M21" s="6" t="n">
        <v>-4.65900990333426</v>
      </c>
      <c r="N21" s="3" t="n">
        <v>2</v>
      </c>
      <c r="O21" s="3" t="n">
        <v>4</v>
      </c>
    </row>
    <row r="22" customFormat="false" ht="15" hidden="false" customHeight="false" outlineLevel="0" collapsed="false">
      <c r="A22" s="3" t="s">
        <v>487</v>
      </c>
      <c r="B22" s="3" t="s">
        <v>488</v>
      </c>
      <c r="C22" s="3" t="s">
        <v>483</v>
      </c>
      <c r="D22" s="3" t="s">
        <v>1465</v>
      </c>
      <c r="E22" s="3" t="n">
        <v>5</v>
      </c>
      <c r="F22" s="3" t="n">
        <v>5</v>
      </c>
      <c r="G22" s="3" t="s">
        <v>1532</v>
      </c>
      <c r="H22" s="3" t="s">
        <v>1533</v>
      </c>
      <c r="I22" s="4" t="n">
        <v>10800</v>
      </c>
      <c r="J22" s="3" t="s">
        <v>1479</v>
      </c>
      <c r="K22" s="6" t="n">
        <v>-3.26914464845499</v>
      </c>
      <c r="L22" s="3" t="s">
        <v>1504</v>
      </c>
      <c r="M22" s="6" t="n">
        <v>-1.71847741848279</v>
      </c>
      <c r="N22" s="3" t="n">
        <v>2</v>
      </c>
      <c r="O22" s="3" t="n">
        <v>3</v>
      </c>
    </row>
    <row r="23" customFormat="false" ht="15" hidden="false" customHeight="false" outlineLevel="0" collapsed="false">
      <c r="A23" s="3" t="s">
        <v>213</v>
      </c>
      <c r="B23" s="3" t="s">
        <v>214</v>
      </c>
      <c r="C23" s="3" t="s">
        <v>206</v>
      </c>
      <c r="D23" s="3" t="s">
        <v>1218</v>
      </c>
      <c r="E23" s="3" t="n">
        <v>3</v>
      </c>
      <c r="F23" s="3" t="n">
        <v>3</v>
      </c>
      <c r="G23" s="3" t="s">
        <v>1534</v>
      </c>
      <c r="H23" s="3" t="s">
        <v>1509</v>
      </c>
      <c r="I23" s="4" t="n">
        <v>985</v>
      </c>
      <c r="J23" s="3" t="s">
        <v>1479</v>
      </c>
      <c r="K23" s="6" t="n">
        <v>2.41214389686006</v>
      </c>
      <c r="L23" s="3" t="s">
        <v>1507</v>
      </c>
      <c r="M23" s="6" t="n">
        <v>5.28807361467343</v>
      </c>
      <c r="N23" s="3" t="n">
        <v>2</v>
      </c>
      <c r="O23" s="3" t="n">
        <v>1</v>
      </c>
    </row>
    <row r="24" customFormat="false" ht="15" hidden="false" customHeight="false" outlineLevel="0" collapsed="false">
      <c r="A24" s="3" t="s">
        <v>1386</v>
      </c>
      <c r="B24" s="3" t="s">
        <v>1387</v>
      </c>
      <c r="C24" s="3" t="s">
        <v>1385</v>
      </c>
      <c r="D24" s="3" t="s">
        <v>1385</v>
      </c>
      <c r="E24" s="3" t="n">
        <v>1</v>
      </c>
      <c r="F24" s="3" t="n">
        <v>1</v>
      </c>
      <c r="G24" s="3" t="s">
        <v>1385</v>
      </c>
      <c r="H24" s="3" t="s">
        <v>1514</v>
      </c>
      <c r="I24" s="4" t="n">
        <v>181</v>
      </c>
      <c r="J24" s="3" t="s">
        <v>1479</v>
      </c>
      <c r="K24" s="6" t="n">
        <v>3.62990953853201</v>
      </c>
      <c r="L24" s="3" t="s">
        <v>1507</v>
      </c>
      <c r="M24" s="6" t="n">
        <v>3.62990953853201</v>
      </c>
      <c r="N24" s="3" t="n">
        <v>1</v>
      </c>
      <c r="O24" s="3" t="n">
        <v>0</v>
      </c>
    </row>
    <row r="25" customFormat="false" ht="15" hidden="false" customHeight="false" outlineLevel="0" collapsed="false">
      <c r="A25" s="3" t="s">
        <v>513</v>
      </c>
      <c r="B25" s="3" t="s">
        <v>514</v>
      </c>
      <c r="C25" s="3" t="s">
        <v>512</v>
      </c>
      <c r="D25" s="3" t="s">
        <v>1168</v>
      </c>
      <c r="E25" s="3" t="n">
        <v>4</v>
      </c>
      <c r="F25" s="3" t="n">
        <v>4</v>
      </c>
      <c r="G25" s="3" t="s">
        <v>1535</v>
      </c>
      <c r="H25" s="3" t="s">
        <v>1521</v>
      </c>
      <c r="I25" s="4" t="n">
        <v>227.5</v>
      </c>
      <c r="J25" s="3" t="s">
        <v>1479</v>
      </c>
      <c r="K25" s="6" t="n">
        <v>-16.8949771689498</v>
      </c>
      <c r="L25" s="3" t="s">
        <v>1504</v>
      </c>
      <c r="M25" s="6" t="n">
        <v>-21.0539114372227</v>
      </c>
      <c r="N25" s="3" t="n">
        <v>0</v>
      </c>
      <c r="O25" s="3" t="n">
        <v>4</v>
      </c>
    </row>
    <row r="26" customFormat="false" ht="15" hidden="false" customHeight="false" outlineLevel="0" collapsed="false">
      <c r="A26" s="3" t="s">
        <v>639</v>
      </c>
      <c r="B26" s="3" t="s">
        <v>640</v>
      </c>
      <c r="C26" s="3" t="s">
        <v>636</v>
      </c>
      <c r="D26" s="3" t="s">
        <v>1168</v>
      </c>
      <c r="E26" s="3" t="n">
        <v>2</v>
      </c>
      <c r="F26" s="3" t="n">
        <v>2</v>
      </c>
      <c r="G26" s="3" t="s">
        <v>1536</v>
      </c>
      <c r="H26" s="3" t="s">
        <v>1511</v>
      </c>
      <c r="I26" s="4" t="n">
        <v>129.99</v>
      </c>
      <c r="J26" s="3" t="s">
        <v>1479</v>
      </c>
      <c r="K26" s="6" t="n">
        <v>-12.0024370430544</v>
      </c>
      <c r="L26" s="3" t="s">
        <v>1504</v>
      </c>
      <c r="M26" s="6" t="n">
        <v>-13.4847012192442</v>
      </c>
      <c r="N26" s="3" t="n">
        <v>0</v>
      </c>
      <c r="O26" s="3" t="n">
        <v>2</v>
      </c>
    </row>
    <row r="27" customFormat="false" ht="15" hidden="false" customHeight="false" outlineLevel="0" collapsed="false">
      <c r="A27" s="3" t="s">
        <v>642</v>
      </c>
      <c r="B27" s="3" t="s">
        <v>643</v>
      </c>
      <c r="C27" s="3" t="s">
        <v>636</v>
      </c>
      <c r="D27" s="3" t="s">
        <v>1208</v>
      </c>
      <c r="E27" s="3" t="n">
        <v>2</v>
      </c>
      <c r="F27" s="3" t="n">
        <v>2</v>
      </c>
      <c r="G27" s="3" t="s">
        <v>1537</v>
      </c>
      <c r="H27" s="3" t="s">
        <v>1511</v>
      </c>
      <c r="I27" s="4" t="n">
        <v>385.5</v>
      </c>
      <c r="J27" s="3" t="s">
        <v>1479</v>
      </c>
      <c r="K27" s="6" t="n">
        <v>-8.18149339049661</v>
      </c>
      <c r="L27" s="3" t="s">
        <v>1504</v>
      </c>
      <c r="M27" s="6" t="n">
        <v>-7.93413749984601</v>
      </c>
      <c r="N27" s="3" t="n">
        <v>0</v>
      </c>
      <c r="O27" s="3" t="n">
        <v>2</v>
      </c>
    </row>
    <row r="28" customFormat="false" ht="15" hidden="false" customHeight="false" outlineLevel="0" collapsed="false">
      <c r="A28" s="3" t="s">
        <v>664</v>
      </c>
      <c r="B28" s="3" t="s">
        <v>665</v>
      </c>
      <c r="C28" s="3" t="s">
        <v>663</v>
      </c>
      <c r="D28" s="3" t="s">
        <v>1343</v>
      </c>
      <c r="E28" s="3" t="n">
        <v>7</v>
      </c>
      <c r="F28" s="3" t="n">
        <v>7</v>
      </c>
      <c r="G28" s="3" t="s">
        <v>1538</v>
      </c>
      <c r="H28" s="3" t="s">
        <v>1519</v>
      </c>
      <c r="I28" s="4" t="n">
        <v>1957</v>
      </c>
      <c r="J28" s="3" t="s">
        <v>1479</v>
      </c>
      <c r="K28" s="6" t="n">
        <v>-11.0373670333667</v>
      </c>
      <c r="L28" s="3" t="s">
        <v>1504</v>
      </c>
      <c r="M28" s="6" t="n">
        <v>6.49790807090936</v>
      </c>
      <c r="N28" s="3" t="n">
        <v>3</v>
      </c>
      <c r="O28" s="3" t="n">
        <v>4</v>
      </c>
    </row>
    <row r="29" customFormat="false" ht="15" hidden="false" customHeight="false" outlineLevel="0" collapsed="false">
      <c r="A29" s="3" t="s">
        <v>242</v>
      </c>
      <c r="B29" s="3" t="s">
        <v>243</v>
      </c>
      <c r="C29" s="3" t="s">
        <v>241</v>
      </c>
      <c r="D29" s="3" t="s">
        <v>1277</v>
      </c>
      <c r="E29" s="3" t="n">
        <v>2</v>
      </c>
      <c r="F29" s="3" t="n">
        <v>2</v>
      </c>
      <c r="G29" s="3" t="s">
        <v>1539</v>
      </c>
      <c r="H29" s="3" t="s">
        <v>1511</v>
      </c>
      <c r="I29" s="4" t="n">
        <v>1771.4</v>
      </c>
      <c r="J29" s="3" t="s">
        <v>1479</v>
      </c>
      <c r="K29" s="6" t="n">
        <v>-8.26989798560405</v>
      </c>
      <c r="L29" s="3" t="s">
        <v>1504</v>
      </c>
      <c r="M29" s="6" t="n">
        <v>-10.114074241311</v>
      </c>
      <c r="N29" s="3" t="n">
        <v>0</v>
      </c>
      <c r="O29" s="3" t="n">
        <v>2</v>
      </c>
    </row>
    <row r="30" customFormat="false" ht="15" hidden="false" customHeight="false" outlineLevel="0" collapsed="false">
      <c r="A30" s="3" t="s">
        <v>1007</v>
      </c>
      <c r="B30" s="3" t="s">
        <v>1008</v>
      </c>
      <c r="C30" s="3" t="s">
        <v>1005</v>
      </c>
      <c r="D30" s="3" t="s">
        <v>1305</v>
      </c>
      <c r="E30" s="3" t="n">
        <v>2</v>
      </c>
      <c r="F30" s="3" t="n">
        <v>2</v>
      </c>
      <c r="G30" s="3" t="s">
        <v>1540</v>
      </c>
      <c r="H30" s="3" t="s">
        <v>1511</v>
      </c>
      <c r="I30" s="4" t="n">
        <v>411.9</v>
      </c>
      <c r="J30" s="3" t="s">
        <v>1479</v>
      </c>
      <c r="K30" s="6" t="n">
        <v>-1.44754157195837</v>
      </c>
      <c r="L30" s="3" t="s">
        <v>1504</v>
      </c>
      <c r="M30" s="6" t="n">
        <v>15.8706804847962</v>
      </c>
      <c r="N30" s="3" t="n">
        <v>1</v>
      </c>
      <c r="O30" s="3" t="n">
        <v>1</v>
      </c>
    </row>
    <row r="31" customFormat="false" ht="15" hidden="false" customHeight="false" outlineLevel="0" collapsed="false">
      <c r="A31" s="3" t="s">
        <v>199</v>
      </c>
      <c r="B31" s="3" t="s">
        <v>200</v>
      </c>
      <c r="C31" s="3" t="s">
        <v>198</v>
      </c>
      <c r="D31" s="3" t="s">
        <v>1251</v>
      </c>
      <c r="E31" s="3" t="n">
        <v>11</v>
      </c>
      <c r="F31" s="3" t="n">
        <v>10</v>
      </c>
      <c r="G31" s="3" t="s">
        <v>1541</v>
      </c>
      <c r="H31" s="3" t="s">
        <v>1542</v>
      </c>
      <c r="I31" s="4" t="n">
        <v>374.9</v>
      </c>
      <c r="J31" s="3" t="s">
        <v>1479</v>
      </c>
      <c r="K31" s="6" t="n">
        <v>-12.1602624179944</v>
      </c>
      <c r="L31" s="3" t="s">
        <v>1504</v>
      </c>
      <c r="M31" s="6" t="n">
        <v>-2.84098227734318</v>
      </c>
      <c r="N31" s="3" t="n">
        <v>3</v>
      </c>
      <c r="O31" s="3" t="n">
        <v>8</v>
      </c>
    </row>
    <row r="32" customFormat="false" ht="15" hidden="false" customHeight="false" outlineLevel="0" collapsed="false">
      <c r="A32" s="3" t="s">
        <v>516</v>
      </c>
      <c r="B32" s="3" t="s">
        <v>517</v>
      </c>
      <c r="C32" s="3" t="s">
        <v>512</v>
      </c>
      <c r="D32" s="3" t="s">
        <v>1357</v>
      </c>
      <c r="E32" s="3" t="n">
        <v>5</v>
      </c>
      <c r="F32" s="3" t="n">
        <v>5</v>
      </c>
      <c r="G32" s="3" t="s">
        <v>1543</v>
      </c>
      <c r="H32" s="3" t="s">
        <v>1533</v>
      </c>
      <c r="I32" s="4" t="n">
        <v>1575.4</v>
      </c>
      <c r="J32" s="3" t="s">
        <v>1479</v>
      </c>
      <c r="K32" s="6" t="n">
        <v>-8.8942863752024</v>
      </c>
      <c r="L32" s="3" t="s">
        <v>1504</v>
      </c>
      <c r="M32" s="6" t="n">
        <v>-15.4439098222274</v>
      </c>
      <c r="N32" s="3" t="n">
        <v>0</v>
      </c>
      <c r="O32" s="3" t="n">
        <v>5</v>
      </c>
    </row>
    <row r="33" customFormat="false" ht="15" hidden="false" customHeight="false" outlineLevel="0" collapsed="false">
      <c r="A33" s="3" t="s">
        <v>1448</v>
      </c>
      <c r="B33" s="3" t="s">
        <v>1449</v>
      </c>
      <c r="C33" s="3" t="s">
        <v>1445</v>
      </c>
      <c r="D33" s="3" t="s">
        <v>1445</v>
      </c>
      <c r="E33" s="3" t="n">
        <v>1</v>
      </c>
      <c r="F33" s="3" t="n">
        <v>1</v>
      </c>
      <c r="G33" s="3" t="s">
        <v>1445</v>
      </c>
      <c r="H33" s="3" t="s">
        <v>1514</v>
      </c>
      <c r="I33" s="4" t="n">
        <v>47020</v>
      </c>
      <c r="J33" s="3" t="s">
        <v>1479</v>
      </c>
      <c r="K33" s="6" t="n">
        <v>-5.96</v>
      </c>
      <c r="L33" s="3" t="s">
        <v>1504</v>
      </c>
      <c r="M33" s="6" t="n">
        <v>-5.96</v>
      </c>
      <c r="N33" s="3" t="n">
        <v>0</v>
      </c>
      <c r="O33" s="3" t="n">
        <v>1</v>
      </c>
    </row>
    <row r="34" customFormat="false" ht="15" hidden="false" customHeight="false" outlineLevel="0" collapsed="false">
      <c r="A34" s="3" t="s">
        <v>490</v>
      </c>
      <c r="B34" s="3" t="s">
        <v>491</v>
      </c>
      <c r="C34" s="3" t="s">
        <v>483</v>
      </c>
      <c r="D34" s="3" t="s">
        <v>1462</v>
      </c>
      <c r="E34" s="3" t="n">
        <v>7</v>
      </c>
      <c r="F34" s="3" t="n">
        <v>6</v>
      </c>
      <c r="G34" s="3" t="s">
        <v>1544</v>
      </c>
      <c r="H34" s="3" t="s">
        <v>1545</v>
      </c>
      <c r="I34" s="4" t="n">
        <v>302.25</v>
      </c>
      <c r="J34" s="3" t="s">
        <v>1479</v>
      </c>
      <c r="K34" s="6" t="n">
        <v>-5.42866082603255</v>
      </c>
      <c r="L34" s="3" t="s">
        <v>1504</v>
      </c>
      <c r="M34" s="6" t="n">
        <v>-12.4965211440082</v>
      </c>
      <c r="N34" s="3" t="n">
        <v>0</v>
      </c>
      <c r="O34" s="3" t="n">
        <v>7</v>
      </c>
    </row>
    <row r="35" customFormat="false" ht="15" hidden="false" customHeight="false" outlineLevel="0" collapsed="false">
      <c r="A35" s="3" t="s">
        <v>328</v>
      </c>
      <c r="B35" s="3" t="s">
        <v>329</v>
      </c>
      <c r="C35" s="3" t="s">
        <v>326</v>
      </c>
      <c r="D35" s="3" t="s">
        <v>1327</v>
      </c>
      <c r="E35" s="3" t="n">
        <v>10</v>
      </c>
      <c r="F35" s="3" t="n">
        <v>7</v>
      </c>
      <c r="G35" s="3" t="s">
        <v>1546</v>
      </c>
      <c r="H35" s="3" t="s">
        <v>1547</v>
      </c>
      <c r="I35" s="4" t="n">
        <v>4915</v>
      </c>
      <c r="J35" s="3" t="s">
        <v>1479</v>
      </c>
      <c r="K35" s="6" t="n">
        <v>-10.9198006343453</v>
      </c>
      <c r="L35" s="3" t="s">
        <v>1504</v>
      </c>
      <c r="M35" s="6" t="n">
        <v>-14.938001707003</v>
      </c>
      <c r="N35" s="3" t="n">
        <v>0</v>
      </c>
      <c r="O35" s="3" t="n">
        <v>10</v>
      </c>
    </row>
    <row r="36" customFormat="false" ht="15" hidden="false" customHeight="false" outlineLevel="0" collapsed="false">
      <c r="A36" s="3" t="s">
        <v>130</v>
      </c>
      <c r="B36" s="3" t="s">
        <v>131</v>
      </c>
      <c r="C36" s="3" t="s">
        <v>129</v>
      </c>
      <c r="D36" s="3" t="s">
        <v>1242</v>
      </c>
      <c r="E36" s="3" t="n">
        <v>4</v>
      </c>
      <c r="F36" s="3" t="n">
        <v>4</v>
      </c>
      <c r="G36" s="3" t="s">
        <v>1548</v>
      </c>
      <c r="H36" s="3" t="s">
        <v>1521</v>
      </c>
      <c r="I36" s="4" t="n">
        <v>691.55</v>
      </c>
      <c r="J36" s="3" t="s">
        <v>1479</v>
      </c>
      <c r="K36" s="6" t="n">
        <v>-13.3558854851845</v>
      </c>
      <c r="L36" s="3" t="s">
        <v>1504</v>
      </c>
      <c r="M36" s="6" t="n">
        <v>-26.3393630141979</v>
      </c>
      <c r="N36" s="3" t="n">
        <v>0</v>
      </c>
      <c r="O36" s="3" t="n">
        <v>4</v>
      </c>
    </row>
    <row r="37" customFormat="false" ht="15" hidden="false" customHeight="false" outlineLevel="0" collapsed="false">
      <c r="A37" s="3" t="s">
        <v>519</v>
      </c>
      <c r="B37" s="3" t="s">
        <v>520</v>
      </c>
      <c r="C37" s="3" t="s">
        <v>512</v>
      </c>
      <c r="D37" s="3" t="s">
        <v>1208</v>
      </c>
      <c r="E37" s="3" t="n">
        <v>4</v>
      </c>
      <c r="F37" s="3" t="n">
        <v>4</v>
      </c>
      <c r="G37" s="3" t="s">
        <v>1549</v>
      </c>
      <c r="H37" s="3" t="s">
        <v>1521</v>
      </c>
      <c r="I37" s="4" t="n">
        <v>120.65</v>
      </c>
      <c r="J37" s="3" t="s">
        <v>1479</v>
      </c>
      <c r="K37" s="6" t="n">
        <v>-10.7882283348122</v>
      </c>
      <c r="L37" s="3" t="s">
        <v>1504</v>
      </c>
      <c r="M37" s="6" t="n">
        <v>-13.4099018958246</v>
      </c>
      <c r="N37" s="3" t="n">
        <v>0</v>
      </c>
      <c r="O37" s="3" t="n">
        <v>4</v>
      </c>
    </row>
    <row r="38" customFormat="false" ht="15" hidden="false" customHeight="false" outlineLevel="0" collapsed="false">
      <c r="A38" s="3" t="s">
        <v>809</v>
      </c>
      <c r="B38" s="3" t="s">
        <v>810</v>
      </c>
      <c r="C38" s="3" t="s">
        <v>808</v>
      </c>
      <c r="D38" s="3" t="s">
        <v>987</v>
      </c>
      <c r="E38" s="3" t="n">
        <v>2</v>
      </c>
      <c r="F38" s="3" t="n">
        <v>2</v>
      </c>
      <c r="G38" s="3" t="s">
        <v>1550</v>
      </c>
      <c r="H38" s="3" t="s">
        <v>1511</v>
      </c>
      <c r="I38" s="4" t="n">
        <v>865</v>
      </c>
      <c r="J38" s="3" t="s">
        <v>1479</v>
      </c>
      <c r="K38" s="6" t="n">
        <v>15.6417112299465</v>
      </c>
      <c r="L38" s="3" t="s">
        <v>1507</v>
      </c>
      <c r="M38" s="6" t="n">
        <v>17.332379522782</v>
      </c>
      <c r="N38" s="3" t="n">
        <v>2</v>
      </c>
      <c r="O38" s="3" t="n">
        <v>0</v>
      </c>
    </row>
    <row r="39" customFormat="false" ht="15" hidden="false" customHeight="false" outlineLevel="0" collapsed="false">
      <c r="A39" s="3" t="s">
        <v>319</v>
      </c>
      <c r="B39" s="3" t="s">
        <v>320</v>
      </c>
      <c r="C39" s="3" t="s">
        <v>318</v>
      </c>
      <c r="D39" s="3" t="s">
        <v>1385</v>
      </c>
      <c r="E39" s="3" t="n">
        <v>9</v>
      </c>
      <c r="F39" s="3" t="n">
        <v>8</v>
      </c>
      <c r="G39" s="3" t="s">
        <v>1551</v>
      </c>
      <c r="H39" s="3" t="s">
        <v>1552</v>
      </c>
      <c r="I39" s="4" t="n">
        <v>1634.2</v>
      </c>
      <c r="J39" s="3" t="s">
        <v>1479</v>
      </c>
      <c r="K39" s="6" t="n">
        <v>-15.7628865979381</v>
      </c>
      <c r="L39" s="3" t="s">
        <v>1504</v>
      </c>
      <c r="M39" s="6" t="n">
        <v>-5.65399756128072</v>
      </c>
      <c r="N39" s="3" t="n">
        <v>3</v>
      </c>
      <c r="O39" s="3" t="n">
        <v>6</v>
      </c>
    </row>
    <row r="40" customFormat="false" ht="15" hidden="false" customHeight="false" outlineLevel="0" collapsed="false">
      <c r="A40" s="3" t="s">
        <v>216</v>
      </c>
      <c r="B40" s="3" t="s">
        <v>217</v>
      </c>
      <c r="C40" s="3" t="s">
        <v>206</v>
      </c>
      <c r="D40" s="3" t="s">
        <v>1327</v>
      </c>
      <c r="E40" s="3" t="n">
        <v>7</v>
      </c>
      <c r="F40" s="3" t="n">
        <v>7</v>
      </c>
      <c r="G40" s="3" t="s">
        <v>1553</v>
      </c>
      <c r="H40" s="3" t="s">
        <v>1519</v>
      </c>
      <c r="I40" s="4" t="n">
        <v>1383.7</v>
      </c>
      <c r="J40" s="3" t="s">
        <v>1479</v>
      </c>
      <c r="K40" s="6" t="n">
        <v>-6.14528928983246</v>
      </c>
      <c r="L40" s="3" t="s">
        <v>1504</v>
      </c>
      <c r="M40" s="6" t="n">
        <v>-2.19449194115433</v>
      </c>
      <c r="N40" s="3" t="n">
        <v>3</v>
      </c>
      <c r="O40" s="3" t="n">
        <v>4</v>
      </c>
    </row>
    <row r="41" customFormat="false" ht="15" hidden="false" customHeight="false" outlineLevel="0" collapsed="false">
      <c r="A41" s="3" t="s">
        <v>686</v>
      </c>
      <c r="B41" s="3" t="s">
        <v>687</v>
      </c>
      <c r="C41" s="3" t="s">
        <v>683</v>
      </c>
      <c r="D41" s="3" t="s">
        <v>1398</v>
      </c>
      <c r="E41" s="3" t="n">
        <v>6</v>
      </c>
      <c r="F41" s="3" t="n">
        <v>6</v>
      </c>
      <c r="G41" s="3" t="s">
        <v>1554</v>
      </c>
      <c r="H41" s="3" t="s">
        <v>1525</v>
      </c>
      <c r="I41" s="4" t="n">
        <v>422.5</v>
      </c>
      <c r="J41" s="3" t="s">
        <v>1479</v>
      </c>
      <c r="K41" s="6" t="n">
        <v>2.39941832283082</v>
      </c>
      <c r="L41" s="3" t="s">
        <v>1507</v>
      </c>
      <c r="M41" s="6" t="n">
        <v>-4.26414112255351</v>
      </c>
      <c r="N41" s="3" t="n">
        <v>2</v>
      </c>
      <c r="O41" s="3" t="n">
        <v>4</v>
      </c>
    </row>
    <row r="42" customFormat="false" ht="15" hidden="false" customHeight="false" outlineLevel="0" collapsed="false">
      <c r="A42" s="3" t="s">
        <v>1152</v>
      </c>
      <c r="B42" s="3" t="s">
        <v>1153</v>
      </c>
      <c r="C42" s="3" t="s">
        <v>1150</v>
      </c>
      <c r="D42" s="3" t="s">
        <v>1155</v>
      </c>
      <c r="E42" s="3" t="n">
        <v>2</v>
      </c>
      <c r="F42" s="3" t="n">
        <v>1</v>
      </c>
      <c r="G42" s="3" t="s">
        <v>1555</v>
      </c>
      <c r="H42" s="3" t="s">
        <v>1556</v>
      </c>
      <c r="I42" s="4" t="n">
        <v>1773</v>
      </c>
      <c r="J42" s="3" t="s">
        <v>1479</v>
      </c>
      <c r="K42" s="6" t="n">
        <v>16.6831194471866</v>
      </c>
      <c r="L42" s="3" t="s">
        <v>1507</v>
      </c>
      <c r="M42" s="6" t="n">
        <v>19.0108726171055</v>
      </c>
      <c r="N42" s="3" t="n">
        <v>2</v>
      </c>
      <c r="O42" s="3" t="n">
        <v>0</v>
      </c>
    </row>
    <row r="43" customFormat="false" ht="15" hidden="false" customHeight="false" outlineLevel="0" collapsed="false">
      <c r="A43" s="3" t="s">
        <v>794</v>
      </c>
      <c r="B43" s="3" t="s">
        <v>795</v>
      </c>
      <c r="C43" s="3" t="s">
        <v>792</v>
      </c>
      <c r="D43" s="3" t="s">
        <v>1318</v>
      </c>
      <c r="E43" s="3" t="n">
        <v>3</v>
      </c>
      <c r="F43" s="3" t="n">
        <v>3</v>
      </c>
      <c r="G43" s="3" t="s">
        <v>1557</v>
      </c>
      <c r="H43" s="3" t="s">
        <v>1509</v>
      </c>
      <c r="I43" s="4" t="n">
        <v>1845.9</v>
      </c>
      <c r="J43" s="3" t="s">
        <v>1479</v>
      </c>
      <c r="K43" s="6" t="n">
        <v>-9.62103407755582</v>
      </c>
      <c r="L43" s="3" t="s">
        <v>1504</v>
      </c>
      <c r="M43" s="6" t="n">
        <v>-13.4294103275473</v>
      </c>
      <c r="N43" s="3" t="n">
        <v>0</v>
      </c>
      <c r="O43" s="3" t="n">
        <v>3</v>
      </c>
    </row>
    <row r="44" customFormat="false" ht="15" hidden="false" customHeight="false" outlineLevel="0" collapsed="false">
      <c r="A44" s="3" t="s">
        <v>357</v>
      </c>
      <c r="B44" s="3" t="s">
        <v>358</v>
      </c>
      <c r="C44" s="3" t="s">
        <v>356</v>
      </c>
      <c r="D44" s="3" t="s">
        <v>707</v>
      </c>
      <c r="E44" s="3" t="n">
        <v>3</v>
      </c>
      <c r="F44" s="3" t="n">
        <v>3</v>
      </c>
      <c r="G44" s="3" t="s">
        <v>1558</v>
      </c>
      <c r="H44" s="3" t="s">
        <v>1509</v>
      </c>
      <c r="I44" s="4" t="n">
        <v>450</v>
      </c>
      <c r="J44" s="3" t="s">
        <v>1479</v>
      </c>
      <c r="K44" s="6" t="n">
        <v>-14.7565826861148</v>
      </c>
      <c r="L44" s="3" t="s">
        <v>1504</v>
      </c>
      <c r="M44" s="6" t="n">
        <v>-14.6050096450865</v>
      </c>
      <c r="N44" s="3" t="n">
        <v>0</v>
      </c>
      <c r="O44" s="3" t="n">
        <v>3</v>
      </c>
    </row>
    <row r="45" customFormat="false" ht="15" hidden="false" customHeight="false" outlineLevel="0" collapsed="false">
      <c r="A45" s="3" t="s">
        <v>522</v>
      </c>
      <c r="B45" s="3" t="s">
        <v>523</v>
      </c>
      <c r="C45" s="3" t="s">
        <v>512</v>
      </c>
      <c r="D45" s="3" t="s">
        <v>1313</v>
      </c>
      <c r="E45" s="3" t="n">
        <v>5</v>
      </c>
      <c r="F45" s="3" t="n">
        <v>4</v>
      </c>
      <c r="G45" s="3" t="s">
        <v>1559</v>
      </c>
      <c r="H45" s="3" t="s">
        <v>1560</v>
      </c>
      <c r="I45" s="4" t="n">
        <v>218.8</v>
      </c>
      <c r="J45" s="3" t="s">
        <v>1479</v>
      </c>
      <c r="K45" s="6" t="n">
        <v>-15.9431425278525</v>
      </c>
      <c r="L45" s="3" t="s">
        <v>1504</v>
      </c>
      <c r="M45" s="6" t="n">
        <v>-14.1180600918829</v>
      </c>
      <c r="N45" s="3" t="n">
        <v>0</v>
      </c>
      <c r="O45" s="3" t="n">
        <v>5</v>
      </c>
    </row>
    <row r="46" customFormat="false" ht="15" hidden="false" customHeight="false" outlineLevel="0" collapsed="false">
      <c r="A46" s="3" t="s">
        <v>309</v>
      </c>
      <c r="B46" s="3" t="s">
        <v>310</v>
      </c>
      <c r="C46" s="3" t="s">
        <v>306</v>
      </c>
      <c r="D46" s="3" t="s">
        <v>1313</v>
      </c>
      <c r="E46" s="3" t="n">
        <v>5</v>
      </c>
      <c r="F46" s="3" t="n">
        <v>5</v>
      </c>
      <c r="G46" s="3" t="s">
        <v>1561</v>
      </c>
      <c r="H46" s="3" t="s">
        <v>1533</v>
      </c>
      <c r="I46" s="4" t="n">
        <v>4855</v>
      </c>
      <c r="J46" s="3" t="s">
        <v>1479</v>
      </c>
      <c r="K46" s="6" t="n">
        <v>-13.1795422031474</v>
      </c>
      <c r="L46" s="3" t="s">
        <v>1504</v>
      </c>
      <c r="M46" s="6" t="n">
        <v>-2.88090387426275</v>
      </c>
      <c r="N46" s="3" t="n">
        <v>2</v>
      </c>
      <c r="O46" s="3" t="n">
        <v>3</v>
      </c>
    </row>
    <row r="47" customFormat="false" ht="15" hidden="false" customHeight="false" outlineLevel="0" collapsed="false">
      <c r="A47" s="3" t="s">
        <v>133</v>
      </c>
      <c r="B47" s="3" t="s">
        <v>134</v>
      </c>
      <c r="C47" s="3" t="s">
        <v>129</v>
      </c>
      <c r="D47" s="3" t="s">
        <v>129</v>
      </c>
      <c r="E47" s="3" t="n">
        <v>1</v>
      </c>
      <c r="F47" s="3" t="n">
        <v>1</v>
      </c>
      <c r="G47" s="3" t="s">
        <v>129</v>
      </c>
      <c r="H47" s="3" t="s">
        <v>1514</v>
      </c>
      <c r="I47" s="4" t="n">
        <v>1082.3</v>
      </c>
      <c r="J47" s="3" t="s">
        <v>1479</v>
      </c>
      <c r="K47" s="6" t="n">
        <v>-8.32627477553786</v>
      </c>
      <c r="L47" s="3" t="s">
        <v>1504</v>
      </c>
      <c r="M47" s="6" t="n">
        <v>-8.32627477553786</v>
      </c>
      <c r="N47" s="3" t="n">
        <v>0</v>
      </c>
      <c r="O47" s="3" t="n">
        <v>1</v>
      </c>
    </row>
    <row r="48" customFormat="false" ht="15" hidden="false" customHeight="false" outlineLevel="0" collapsed="false">
      <c r="A48" s="3" t="s">
        <v>493</v>
      </c>
      <c r="B48" s="3" t="s">
        <v>494</v>
      </c>
      <c r="C48" s="3" t="s">
        <v>483</v>
      </c>
      <c r="D48" s="3" t="s">
        <v>1242</v>
      </c>
      <c r="E48" s="3" t="n">
        <v>3</v>
      </c>
      <c r="F48" s="3" t="n">
        <v>3</v>
      </c>
      <c r="G48" s="3" t="s">
        <v>1562</v>
      </c>
      <c r="H48" s="3" t="s">
        <v>1509</v>
      </c>
      <c r="I48" s="4" t="n">
        <v>385.75</v>
      </c>
      <c r="J48" s="3" t="s">
        <v>1479</v>
      </c>
      <c r="K48" s="6" t="n">
        <v>-13.7024608501119</v>
      </c>
      <c r="L48" s="3" t="s">
        <v>1504</v>
      </c>
      <c r="M48" s="6" t="n">
        <v>-20.7699935494756</v>
      </c>
      <c r="N48" s="3" t="n">
        <v>0</v>
      </c>
      <c r="O48" s="3" t="n">
        <v>3</v>
      </c>
    </row>
    <row r="49" customFormat="false" ht="15" hidden="false" customHeight="false" outlineLevel="0" collapsed="false">
      <c r="A49" s="3" t="s">
        <v>93</v>
      </c>
      <c r="B49" s="3" t="s">
        <v>94</v>
      </c>
      <c r="C49" s="3" t="s">
        <v>89</v>
      </c>
      <c r="D49" s="3" t="s">
        <v>1190</v>
      </c>
      <c r="E49" s="3" t="n">
        <v>7</v>
      </c>
      <c r="F49" s="3" t="n">
        <v>6</v>
      </c>
      <c r="G49" s="3" t="s">
        <v>1563</v>
      </c>
      <c r="H49" s="3" t="s">
        <v>1545</v>
      </c>
      <c r="I49" s="4" t="n">
        <v>1651.6</v>
      </c>
      <c r="J49" s="3" t="s">
        <v>1479</v>
      </c>
      <c r="K49" s="6" t="n">
        <v>-3.94323601256253</v>
      </c>
      <c r="L49" s="3" t="s">
        <v>1504</v>
      </c>
      <c r="M49" s="6" t="n">
        <v>-16.7844272194586</v>
      </c>
      <c r="N49" s="3" t="n">
        <v>0</v>
      </c>
      <c r="O49" s="3" t="n">
        <v>7</v>
      </c>
    </row>
    <row r="50" customFormat="false" ht="15" hidden="false" customHeight="false" outlineLevel="0" collapsed="false">
      <c r="A50" s="3" t="s">
        <v>96</v>
      </c>
      <c r="B50" s="3" t="s">
        <v>97</v>
      </c>
      <c r="C50" s="3" t="s">
        <v>89</v>
      </c>
      <c r="D50" s="3" t="s">
        <v>1288</v>
      </c>
      <c r="E50" s="3" t="n">
        <v>15</v>
      </c>
      <c r="F50" s="3" t="n">
        <v>12</v>
      </c>
      <c r="G50" s="3" t="s">
        <v>1564</v>
      </c>
      <c r="H50" s="3" t="s">
        <v>1565</v>
      </c>
      <c r="I50" s="4" t="n">
        <v>407.5</v>
      </c>
      <c r="J50" s="3" t="s">
        <v>1479</v>
      </c>
      <c r="K50" s="6" t="n">
        <v>-21.6798001153181</v>
      </c>
      <c r="L50" s="3" t="s">
        <v>1504</v>
      </c>
      <c r="M50" s="6" t="n">
        <v>-7.38734939553555</v>
      </c>
      <c r="N50" s="3" t="n">
        <v>1</v>
      </c>
      <c r="O50" s="3" t="n">
        <v>14</v>
      </c>
    </row>
    <row r="51" customFormat="false" ht="15" hidden="false" customHeight="false" outlineLevel="0" collapsed="false">
      <c r="A51" s="3" t="s">
        <v>66</v>
      </c>
      <c r="B51" s="3" t="s">
        <v>67</v>
      </c>
      <c r="C51" s="3" t="s">
        <v>57</v>
      </c>
      <c r="D51" s="3" t="s">
        <v>1438</v>
      </c>
      <c r="E51" s="3" t="n">
        <v>12</v>
      </c>
      <c r="F51" s="3" t="n">
        <v>9</v>
      </c>
      <c r="G51" s="3" t="s">
        <v>1566</v>
      </c>
      <c r="H51" s="3" t="s">
        <v>1567</v>
      </c>
      <c r="I51" s="4" t="n">
        <v>9550</v>
      </c>
      <c r="J51" s="3" t="s">
        <v>1479</v>
      </c>
      <c r="K51" s="6" t="n">
        <v>3.36616516939063</v>
      </c>
      <c r="L51" s="3" t="s">
        <v>1507</v>
      </c>
      <c r="M51" s="6" t="n">
        <v>35.4023286016733</v>
      </c>
      <c r="N51" s="3" t="n">
        <v>12</v>
      </c>
      <c r="O51" s="3" t="n">
        <v>0</v>
      </c>
    </row>
    <row r="52" customFormat="false" ht="15" hidden="false" customHeight="false" outlineLevel="0" collapsed="false">
      <c r="A52" s="3" t="s">
        <v>254</v>
      </c>
      <c r="B52" s="3" t="s">
        <v>255</v>
      </c>
      <c r="C52" s="3" t="s">
        <v>252</v>
      </c>
      <c r="D52" s="3" t="s">
        <v>1288</v>
      </c>
      <c r="E52" s="3" t="n">
        <v>7</v>
      </c>
      <c r="F52" s="3" t="n">
        <v>6</v>
      </c>
      <c r="G52" s="3" t="s">
        <v>1568</v>
      </c>
      <c r="H52" s="3" t="s">
        <v>1545</v>
      </c>
      <c r="I52" s="4" t="n">
        <v>663.55</v>
      </c>
      <c r="J52" s="3" t="s">
        <v>1479</v>
      </c>
      <c r="K52" s="6" t="n">
        <v>-3.23733138899016</v>
      </c>
      <c r="L52" s="3" t="s">
        <v>1504</v>
      </c>
      <c r="M52" s="6" t="n">
        <v>-2.02878399050017</v>
      </c>
      <c r="N52" s="3" t="n">
        <v>3</v>
      </c>
      <c r="O52" s="3" t="n">
        <v>4</v>
      </c>
    </row>
    <row r="53" customFormat="false" ht="15" hidden="false" customHeight="false" outlineLevel="0" collapsed="false">
      <c r="A53" s="3" t="s">
        <v>612</v>
      </c>
      <c r="B53" s="3" t="s">
        <v>613</v>
      </c>
      <c r="C53" s="3" t="s">
        <v>611</v>
      </c>
      <c r="D53" s="3" t="s">
        <v>744</v>
      </c>
      <c r="E53" s="3" t="n">
        <v>2</v>
      </c>
      <c r="F53" s="3" t="n">
        <v>2</v>
      </c>
      <c r="G53" s="3" t="s">
        <v>1569</v>
      </c>
      <c r="H53" s="3" t="s">
        <v>1511</v>
      </c>
      <c r="I53" s="4" t="n">
        <v>3803.5</v>
      </c>
      <c r="J53" s="3" t="s">
        <v>1479</v>
      </c>
      <c r="K53" s="6" t="n">
        <v>-3.33934788685863</v>
      </c>
      <c r="L53" s="3" t="s">
        <v>1504</v>
      </c>
      <c r="M53" s="6" t="n">
        <v>-1.64073647466863</v>
      </c>
      <c r="N53" s="3" t="n">
        <v>1</v>
      </c>
      <c r="O53" s="3" t="n">
        <v>1</v>
      </c>
    </row>
    <row r="54" customFormat="false" ht="15" hidden="false" customHeight="false" outlineLevel="0" collapsed="false">
      <c r="A54" s="3" t="s">
        <v>168</v>
      </c>
      <c r="B54" s="3" t="s">
        <v>169</v>
      </c>
      <c r="C54" s="3" t="s">
        <v>167</v>
      </c>
      <c r="D54" s="3" t="s">
        <v>1012</v>
      </c>
      <c r="E54" s="3" t="n">
        <v>2</v>
      </c>
      <c r="F54" s="3" t="n">
        <v>2</v>
      </c>
      <c r="G54" s="3" t="s">
        <v>1570</v>
      </c>
      <c r="H54" s="3" t="s">
        <v>1511</v>
      </c>
      <c r="I54" s="4" t="n">
        <v>1221</v>
      </c>
      <c r="J54" s="3" t="s">
        <v>1479</v>
      </c>
      <c r="K54" s="6" t="n">
        <v>-1.18960912842923</v>
      </c>
      <c r="L54" s="3" t="s">
        <v>1504</v>
      </c>
      <c r="M54" s="6" t="n">
        <v>-1.60194684814046</v>
      </c>
      <c r="N54" s="3" t="n">
        <v>0</v>
      </c>
      <c r="O54" s="3" t="n">
        <v>2</v>
      </c>
    </row>
    <row r="55" customFormat="false" ht="15" hidden="false" customHeight="false" outlineLevel="0" collapsed="false">
      <c r="A55" s="3" t="s">
        <v>337</v>
      </c>
      <c r="B55" s="3" t="s">
        <v>338</v>
      </c>
      <c r="C55" s="3" t="s">
        <v>332</v>
      </c>
      <c r="D55" s="3" t="s">
        <v>943</v>
      </c>
      <c r="E55" s="3" t="n">
        <v>2</v>
      </c>
      <c r="F55" s="3" t="n">
        <v>2</v>
      </c>
      <c r="G55" s="3" t="s">
        <v>1571</v>
      </c>
      <c r="H55" s="3" t="s">
        <v>1511</v>
      </c>
      <c r="I55" s="4" t="n">
        <v>7213.5</v>
      </c>
      <c r="J55" s="3" t="s">
        <v>1479</v>
      </c>
      <c r="K55" s="6" t="n">
        <v>1.1569204880101</v>
      </c>
      <c r="L55" s="3" t="s">
        <v>1507</v>
      </c>
      <c r="M55" s="6" t="n">
        <v>2.95647360444652</v>
      </c>
      <c r="N55" s="3" t="n">
        <v>2</v>
      </c>
      <c r="O55" s="3" t="n">
        <v>0</v>
      </c>
    </row>
    <row r="56" customFormat="false" ht="15" hidden="false" customHeight="false" outlineLevel="0" collapsed="false">
      <c r="A56" s="3" t="s">
        <v>360</v>
      </c>
      <c r="B56" s="3" t="s">
        <v>361</v>
      </c>
      <c r="C56" s="3" t="s">
        <v>356</v>
      </c>
      <c r="D56" s="3" t="s">
        <v>1424</v>
      </c>
      <c r="E56" s="3" t="n">
        <v>5</v>
      </c>
      <c r="F56" s="3" t="n">
        <v>5</v>
      </c>
      <c r="G56" s="3" t="s">
        <v>1572</v>
      </c>
      <c r="H56" s="3" t="s">
        <v>1533</v>
      </c>
      <c r="I56" s="4" t="n">
        <v>330.95</v>
      </c>
      <c r="J56" s="3" t="s">
        <v>1479</v>
      </c>
      <c r="K56" s="6" t="n">
        <v>0.74581430745814</v>
      </c>
      <c r="L56" s="3" t="s">
        <v>1507</v>
      </c>
      <c r="M56" s="6" t="n">
        <v>14.2258195602268</v>
      </c>
      <c r="N56" s="3" t="n">
        <v>5</v>
      </c>
      <c r="O56" s="3" t="n">
        <v>0</v>
      </c>
    </row>
    <row r="57" customFormat="false" ht="15" hidden="false" customHeight="false" outlineLevel="0" collapsed="false">
      <c r="A57" s="3" t="s">
        <v>797</v>
      </c>
      <c r="B57" s="3" t="s">
        <v>798</v>
      </c>
      <c r="C57" s="3" t="s">
        <v>792</v>
      </c>
      <c r="D57" s="3" t="s">
        <v>792</v>
      </c>
      <c r="E57" s="3" t="n">
        <v>1</v>
      </c>
      <c r="F57" s="3" t="n">
        <v>1</v>
      </c>
      <c r="G57" s="3" t="s">
        <v>792</v>
      </c>
      <c r="H57" s="3" t="s">
        <v>1514</v>
      </c>
      <c r="I57" s="4" t="n">
        <v>411.75</v>
      </c>
      <c r="J57" s="3" t="s">
        <v>1479</v>
      </c>
      <c r="K57" s="6" t="n">
        <v>22.054246331703</v>
      </c>
      <c r="L57" s="3" t="s">
        <v>1507</v>
      </c>
      <c r="M57" s="6" t="n">
        <v>22.054246331703</v>
      </c>
      <c r="N57" s="3" t="n">
        <v>1</v>
      </c>
      <c r="O57" s="3" t="n">
        <v>0</v>
      </c>
    </row>
    <row r="58" customFormat="false" ht="15" hidden="false" customHeight="false" outlineLevel="0" collapsed="false">
      <c r="A58" s="3" t="s">
        <v>195</v>
      </c>
      <c r="B58" s="3" t="s">
        <v>196</v>
      </c>
      <c r="C58" s="3" t="s">
        <v>193</v>
      </c>
      <c r="D58" s="3" t="s">
        <v>771</v>
      </c>
      <c r="E58" s="3" t="n">
        <v>4</v>
      </c>
      <c r="F58" s="3" t="n">
        <v>3</v>
      </c>
      <c r="G58" s="3" t="s">
        <v>1573</v>
      </c>
      <c r="H58" s="3" t="s">
        <v>1574</v>
      </c>
      <c r="I58" s="4" t="n">
        <v>325</v>
      </c>
      <c r="J58" s="3" t="s">
        <v>1479</v>
      </c>
      <c r="K58" s="6" t="n">
        <v>11.8760757314974</v>
      </c>
      <c r="L58" s="3" t="s">
        <v>1507</v>
      </c>
      <c r="M58" s="6" t="n">
        <v>34.9726634047876</v>
      </c>
      <c r="N58" s="3" t="n">
        <v>4</v>
      </c>
      <c r="O58" s="3" t="n">
        <v>0</v>
      </c>
    </row>
    <row r="59" customFormat="false" ht="15" hidden="false" customHeight="false" outlineLevel="0" collapsed="false">
      <c r="A59" s="3" t="s">
        <v>71</v>
      </c>
      <c r="B59" s="3" t="s">
        <v>72</v>
      </c>
      <c r="C59" s="3" t="s">
        <v>57</v>
      </c>
      <c r="D59" s="3" t="s">
        <v>1081</v>
      </c>
      <c r="E59" s="3" t="n">
        <v>2</v>
      </c>
      <c r="F59" s="3" t="n">
        <v>2</v>
      </c>
      <c r="G59" s="3" t="s">
        <v>1575</v>
      </c>
      <c r="H59" s="3" t="s">
        <v>1511</v>
      </c>
      <c r="I59" s="4" t="n">
        <v>830.75</v>
      </c>
      <c r="J59" s="3" t="s">
        <v>1479</v>
      </c>
      <c r="K59" s="6" t="n">
        <v>-12.7684149734866</v>
      </c>
      <c r="L59" s="3" t="s">
        <v>1504</v>
      </c>
      <c r="M59" s="6" t="n">
        <v>-14.4122982258935</v>
      </c>
      <c r="N59" s="3" t="n">
        <v>0</v>
      </c>
      <c r="O59" s="3" t="n">
        <v>2</v>
      </c>
    </row>
    <row r="60" customFormat="false" ht="15" hidden="false" customHeight="false" outlineLevel="0" collapsed="false">
      <c r="A60" s="3" t="s">
        <v>257</v>
      </c>
      <c r="B60" s="3" t="s">
        <v>258</v>
      </c>
      <c r="C60" s="3" t="s">
        <v>252</v>
      </c>
      <c r="D60" s="3" t="s">
        <v>1369</v>
      </c>
      <c r="E60" s="3" t="n">
        <v>5</v>
      </c>
      <c r="F60" s="3" t="n">
        <v>5</v>
      </c>
      <c r="G60" s="3" t="s">
        <v>1576</v>
      </c>
      <c r="H60" s="3" t="s">
        <v>1533</v>
      </c>
      <c r="I60" s="4" t="n">
        <v>172.45</v>
      </c>
      <c r="J60" s="3" t="s">
        <v>1479</v>
      </c>
      <c r="K60" s="6" t="n">
        <v>-2.5485985533454</v>
      </c>
      <c r="L60" s="3" t="s">
        <v>1504</v>
      </c>
      <c r="M60" s="6" t="n">
        <v>0.534601699383404</v>
      </c>
      <c r="N60" s="3" t="n">
        <v>2</v>
      </c>
      <c r="O60" s="3" t="n">
        <v>3</v>
      </c>
    </row>
    <row r="61" customFormat="false" ht="15" hidden="false" customHeight="false" outlineLevel="0" collapsed="false">
      <c r="A61" s="3" t="s">
        <v>284</v>
      </c>
      <c r="B61" s="3" t="s">
        <v>285</v>
      </c>
      <c r="C61" s="3" t="s">
        <v>282</v>
      </c>
      <c r="D61" s="3" t="s">
        <v>1055</v>
      </c>
      <c r="E61" s="3" t="n">
        <v>6</v>
      </c>
      <c r="F61" s="3" t="n">
        <v>4</v>
      </c>
      <c r="G61" s="3" t="s">
        <v>1577</v>
      </c>
      <c r="H61" s="3" t="s">
        <v>1578</v>
      </c>
      <c r="I61" s="4" t="n">
        <v>2325.7</v>
      </c>
      <c r="J61" s="3" t="s">
        <v>1479</v>
      </c>
      <c r="K61" s="6" t="n">
        <v>-3.81322635344722</v>
      </c>
      <c r="L61" s="3" t="s">
        <v>1504</v>
      </c>
      <c r="M61" s="6" t="n">
        <v>17.7448488817291</v>
      </c>
      <c r="N61" s="3" t="n">
        <v>5</v>
      </c>
      <c r="O61" s="3" t="n">
        <v>1</v>
      </c>
    </row>
    <row r="62" customFormat="false" ht="15" hidden="false" customHeight="false" outlineLevel="0" collapsed="false">
      <c r="A62" s="3" t="s">
        <v>260</v>
      </c>
      <c r="B62" s="3" t="s">
        <v>261</v>
      </c>
      <c r="C62" s="3" t="s">
        <v>252</v>
      </c>
      <c r="D62" s="3" t="s">
        <v>1129</v>
      </c>
      <c r="E62" s="3" t="n">
        <v>9</v>
      </c>
      <c r="F62" s="3" t="n">
        <v>8</v>
      </c>
      <c r="G62" s="3" t="s">
        <v>1579</v>
      </c>
      <c r="H62" s="3" t="s">
        <v>1552</v>
      </c>
      <c r="I62" s="4" t="n">
        <v>94.75</v>
      </c>
      <c r="J62" s="3" t="s">
        <v>1479</v>
      </c>
      <c r="K62" s="6" t="n">
        <v>-5.59928265417954</v>
      </c>
      <c r="L62" s="3" t="s">
        <v>1504</v>
      </c>
      <c r="M62" s="6" t="n">
        <v>-3.16045721741831</v>
      </c>
      <c r="N62" s="3" t="n">
        <v>3</v>
      </c>
      <c r="O62" s="3" t="n">
        <v>6</v>
      </c>
    </row>
    <row r="63" customFormat="false" ht="15" hidden="false" customHeight="false" outlineLevel="0" collapsed="false">
      <c r="A63" s="3" t="s">
        <v>496</v>
      </c>
      <c r="B63" s="3" t="s">
        <v>497</v>
      </c>
      <c r="C63" s="3" t="s">
        <v>483</v>
      </c>
      <c r="D63" s="3" t="s">
        <v>1369</v>
      </c>
      <c r="E63" s="3" t="n">
        <v>3</v>
      </c>
      <c r="F63" s="3" t="n">
        <v>3</v>
      </c>
      <c r="G63" s="3" t="s">
        <v>1580</v>
      </c>
      <c r="H63" s="3" t="s">
        <v>1509</v>
      </c>
      <c r="I63" s="4" t="n">
        <v>868</v>
      </c>
      <c r="J63" s="3" t="s">
        <v>1479</v>
      </c>
      <c r="K63" s="6" t="n">
        <v>-18.8026192703461</v>
      </c>
      <c r="L63" s="3" t="s">
        <v>1504</v>
      </c>
      <c r="M63" s="6" t="n">
        <v>-22.3500750670827</v>
      </c>
      <c r="N63" s="3" t="n">
        <v>0</v>
      </c>
      <c r="O63" s="3" t="n">
        <v>3</v>
      </c>
    </row>
    <row r="64" customFormat="false" ht="15" hidden="false" customHeight="false" outlineLevel="0" collapsed="false">
      <c r="A64" s="3" t="s">
        <v>1427</v>
      </c>
      <c r="B64" s="3" t="s">
        <v>1428</v>
      </c>
      <c r="C64" s="3" t="s">
        <v>1424</v>
      </c>
      <c r="D64" s="3" t="s">
        <v>1424</v>
      </c>
      <c r="E64" s="3" t="n">
        <v>1</v>
      </c>
      <c r="F64" s="3" t="n">
        <v>1</v>
      </c>
      <c r="G64" s="3" t="s">
        <v>1424</v>
      </c>
      <c r="H64" s="3" t="s">
        <v>1514</v>
      </c>
      <c r="I64" s="4" t="n">
        <v>1669.8</v>
      </c>
      <c r="J64" s="3" t="s">
        <v>1479</v>
      </c>
      <c r="K64" s="6" t="n">
        <v>-19.3099449115686</v>
      </c>
      <c r="L64" s="3" t="s">
        <v>1504</v>
      </c>
      <c r="M64" s="6" t="n">
        <v>-19.3099449115686</v>
      </c>
      <c r="N64" s="3" t="n">
        <v>0</v>
      </c>
      <c r="O64" s="3" t="n">
        <v>1</v>
      </c>
    </row>
    <row r="65" customFormat="false" ht="15" hidden="false" customHeight="false" outlineLevel="0" collapsed="false">
      <c r="A65" s="3" t="s">
        <v>562</v>
      </c>
      <c r="B65" s="3" t="s">
        <v>563</v>
      </c>
      <c r="C65" s="3" t="s">
        <v>557</v>
      </c>
      <c r="D65" s="3" t="s">
        <v>1393</v>
      </c>
      <c r="E65" s="3" t="n">
        <v>5</v>
      </c>
      <c r="F65" s="3" t="n">
        <v>5</v>
      </c>
      <c r="G65" s="3" t="s">
        <v>1581</v>
      </c>
      <c r="H65" s="3" t="s">
        <v>1533</v>
      </c>
      <c r="I65" s="4" t="n">
        <v>3150</v>
      </c>
      <c r="J65" s="3" t="s">
        <v>1479</v>
      </c>
      <c r="K65" s="6" t="n">
        <v>-5.20613903099609</v>
      </c>
      <c r="L65" s="3" t="s">
        <v>1504</v>
      </c>
      <c r="M65" s="6" t="n">
        <v>8.83675945232367</v>
      </c>
      <c r="N65" s="3" t="n">
        <v>4</v>
      </c>
      <c r="O65" s="3" t="n">
        <v>1</v>
      </c>
    </row>
    <row r="66" customFormat="false" ht="15" hidden="false" customHeight="false" outlineLevel="0" collapsed="false">
      <c r="A66" s="3" t="s">
        <v>1118</v>
      </c>
      <c r="B66" s="3" t="s">
        <v>1119</v>
      </c>
      <c r="C66" s="3" t="s">
        <v>1117</v>
      </c>
      <c r="D66" s="3" t="s">
        <v>1218</v>
      </c>
      <c r="E66" s="3" t="n">
        <v>4</v>
      </c>
      <c r="F66" s="3" t="n">
        <v>3</v>
      </c>
      <c r="G66" s="3" t="s">
        <v>1582</v>
      </c>
      <c r="H66" s="3" t="s">
        <v>1574</v>
      </c>
      <c r="I66" s="4" t="n">
        <v>4203</v>
      </c>
      <c r="J66" s="3" t="s">
        <v>1479</v>
      </c>
      <c r="K66" s="6" t="n">
        <v>-24.0444564922743</v>
      </c>
      <c r="L66" s="3" t="s">
        <v>1504</v>
      </c>
      <c r="M66" s="6" t="n">
        <v>-18.0127969347152</v>
      </c>
      <c r="N66" s="3" t="n">
        <v>0</v>
      </c>
      <c r="O66" s="3" t="n">
        <v>4</v>
      </c>
    </row>
    <row r="67" customFormat="false" ht="15" hidden="false" customHeight="false" outlineLevel="0" collapsed="false">
      <c r="A67" s="3" t="s">
        <v>671</v>
      </c>
      <c r="B67" s="3" t="s">
        <v>672</v>
      </c>
      <c r="C67" s="3" t="s">
        <v>663</v>
      </c>
      <c r="D67" s="3" t="s">
        <v>1385</v>
      </c>
      <c r="E67" s="3" t="n">
        <v>2</v>
      </c>
      <c r="F67" s="3" t="n">
        <v>2</v>
      </c>
      <c r="G67" s="3" t="s">
        <v>1583</v>
      </c>
      <c r="H67" s="3" t="s">
        <v>1511</v>
      </c>
      <c r="I67" s="4" t="n">
        <v>4738</v>
      </c>
      <c r="J67" s="3" t="s">
        <v>1479</v>
      </c>
      <c r="K67" s="6" t="n">
        <v>-3.69918699186992</v>
      </c>
      <c r="L67" s="3" t="s">
        <v>1504</v>
      </c>
      <c r="M67" s="6" t="n">
        <v>-0.616894533997243</v>
      </c>
      <c r="N67" s="3" t="n">
        <v>1</v>
      </c>
      <c r="O67" s="3" t="n">
        <v>1</v>
      </c>
    </row>
    <row r="68" customFormat="false" ht="15" hidden="false" customHeight="false" outlineLevel="0" collapsed="false">
      <c r="A68" s="3" t="s">
        <v>565</v>
      </c>
      <c r="B68" s="3" t="s">
        <v>566</v>
      </c>
      <c r="C68" s="3" t="s">
        <v>557</v>
      </c>
      <c r="D68" s="3" t="s">
        <v>1117</v>
      </c>
      <c r="E68" s="3" t="n">
        <v>4</v>
      </c>
      <c r="F68" s="3" t="n">
        <v>4</v>
      </c>
      <c r="G68" s="3" t="s">
        <v>1584</v>
      </c>
      <c r="H68" s="3" t="s">
        <v>1521</v>
      </c>
      <c r="I68" s="4" t="n">
        <v>1085</v>
      </c>
      <c r="J68" s="3" t="s">
        <v>1479</v>
      </c>
      <c r="K68" s="6" t="n">
        <v>-10.4046242774567</v>
      </c>
      <c r="L68" s="3" t="s">
        <v>1504</v>
      </c>
      <c r="M68" s="6" t="n">
        <v>-19.2948919674532</v>
      </c>
      <c r="N68" s="3" t="n">
        <v>0</v>
      </c>
      <c r="O68" s="3" t="n">
        <v>4</v>
      </c>
    </row>
    <row r="69" customFormat="false" ht="15" hidden="false" customHeight="false" outlineLevel="0" collapsed="false">
      <c r="A69" s="3" t="s">
        <v>591</v>
      </c>
      <c r="B69" s="3" t="s">
        <v>592</v>
      </c>
      <c r="C69" s="3" t="s">
        <v>583</v>
      </c>
      <c r="D69" s="3" t="s">
        <v>1129</v>
      </c>
      <c r="E69" s="3" t="n">
        <v>6</v>
      </c>
      <c r="F69" s="3" t="n">
        <v>5</v>
      </c>
      <c r="G69" s="3" t="s">
        <v>1585</v>
      </c>
      <c r="H69" s="3" t="s">
        <v>1531</v>
      </c>
      <c r="I69" s="4" t="n">
        <v>1252.6</v>
      </c>
      <c r="J69" s="3" t="s">
        <v>1479</v>
      </c>
      <c r="K69" s="6" t="n">
        <v>5.81179253252238</v>
      </c>
      <c r="L69" s="3" t="s">
        <v>1507</v>
      </c>
      <c r="M69" s="6" t="n">
        <v>-11.8667217611331</v>
      </c>
      <c r="N69" s="3" t="n">
        <v>1</v>
      </c>
      <c r="O69" s="3" t="n">
        <v>5</v>
      </c>
    </row>
    <row r="70" customFormat="false" ht="15" hidden="false" customHeight="false" outlineLevel="0" collapsed="false">
      <c r="A70" s="3" t="s">
        <v>101</v>
      </c>
      <c r="B70" s="3" t="s">
        <v>102</v>
      </c>
      <c r="C70" s="3" t="s">
        <v>89</v>
      </c>
      <c r="D70" s="3" t="s">
        <v>1305</v>
      </c>
      <c r="E70" s="3" t="n">
        <v>7</v>
      </c>
      <c r="F70" s="3" t="n">
        <v>7</v>
      </c>
      <c r="G70" s="3" t="s">
        <v>1586</v>
      </c>
      <c r="H70" s="3" t="s">
        <v>1519</v>
      </c>
      <c r="I70" s="4" t="n">
        <v>2302.3</v>
      </c>
      <c r="J70" s="3" t="s">
        <v>1479</v>
      </c>
      <c r="K70" s="6" t="n">
        <v>-15.6419463579071</v>
      </c>
      <c r="L70" s="3" t="s">
        <v>1504</v>
      </c>
      <c r="M70" s="6" t="n">
        <v>-26.9684131088557</v>
      </c>
      <c r="N70" s="3" t="n">
        <v>0</v>
      </c>
      <c r="O70" s="3" t="n">
        <v>7</v>
      </c>
    </row>
    <row r="71" customFormat="false" ht="15" hidden="false" customHeight="false" outlineLevel="0" collapsed="false">
      <c r="A71" s="3" t="s">
        <v>892</v>
      </c>
      <c r="B71" s="3" t="s">
        <v>893</v>
      </c>
      <c r="C71" s="3" t="s">
        <v>888</v>
      </c>
      <c r="D71" s="3" t="s">
        <v>888</v>
      </c>
      <c r="E71" s="3" t="n">
        <v>1</v>
      </c>
      <c r="F71" s="3" t="n">
        <v>1</v>
      </c>
      <c r="G71" s="3" t="s">
        <v>888</v>
      </c>
      <c r="H71" s="3" t="s">
        <v>1514</v>
      </c>
      <c r="I71" s="4" t="n">
        <v>719.05</v>
      </c>
      <c r="J71" s="3" t="s">
        <v>1479</v>
      </c>
      <c r="K71" s="6" t="n">
        <v>-3.12563152576626</v>
      </c>
      <c r="L71" s="3" t="s">
        <v>1504</v>
      </c>
      <c r="M71" s="6" t="n">
        <v>-3.12563152576626</v>
      </c>
      <c r="N71" s="3" t="n">
        <v>0</v>
      </c>
      <c r="O71" s="3" t="n">
        <v>1</v>
      </c>
    </row>
    <row r="72" customFormat="false" ht="15" hidden="false" customHeight="false" outlineLevel="0" collapsed="false">
      <c r="A72" s="3" t="s">
        <v>399</v>
      </c>
      <c r="B72" s="3" t="s">
        <v>400</v>
      </c>
      <c r="C72" s="3" t="s">
        <v>395</v>
      </c>
      <c r="D72" s="3" t="s">
        <v>1369</v>
      </c>
      <c r="E72" s="3" t="n">
        <v>9</v>
      </c>
      <c r="F72" s="3" t="n">
        <v>7</v>
      </c>
      <c r="G72" s="3" t="s">
        <v>1587</v>
      </c>
      <c r="H72" s="3" t="s">
        <v>1588</v>
      </c>
      <c r="I72" s="4" t="n">
        <v>531.6</v>
      </c>
      <c r="J72" s="3" t="s">
        <v>1479</v>
      </c>
      <c r="K72" s="6" t="n">
        <v>-2.45871559633027</v>
      </c>
      <c r="L72" s="3" t="s">
        <v>1504</v>
      </c>
      <c r="M72" s="6" t="n">
        <v>-19.392471908931</v>
      </c>
      <c r="N72" s="3" t="n">
        <v>0</v>
      </c>
      <c r="O72" s="3" t="n">
        <v>9</v>
      </c>
    </row>
    <row r="73" customFormat="false" ht="15" hidden="false" customHeight="false" outlineLevel="0" collapsed="false">
      <c r="A73" s="3" t="s">
        <v>868</v>
      </c>
      <c r="B73" s="3" t="s">
        <v>869</v>
      </c>
      <c r="C73" s="3" t="s">
        <v>863</v>
      </c>
      <c r="D73" s="3" t="s">
        <v>1364</v>
      </c>
      <c r="E73" s="3" t="n">
        <v>4</v>
      </c>
      <c r="F73" s="3" t="n">
        <v>4</v>
      </c>
      <c r="G73" s="3" t="s">
        <v>1589</v>
      </c>
      <c r="H73" s="3" t="s">
        <v>1521</v>
      </c>
      <c r="I73" s="4" t="n">
        <v>5390</v>
      </c>
      <c r="J73" s="3" t="s">
        <v>1479</v>
      </c>
      <c r="K73" s="6" t="n">
        <v>-2.8478731074261</v>
      </c>
      <c r="L73" s="3" t="s">
        <v>1504</v>
      </c>
      <c r="M73" s="6" t="n">
        <v>-0.0345903375913079</v>
      </c>
      <c r="N73" s="3" t="n">
        <v>2</v>
      </c>
      <c r="O73" s="3" t="n">
        <v>2</v>
      </c>
    </row>
    <row r="74" customFormat="false" ht="15" hidden="false" customHeight="false" outlineLevel="0" collapsed="false">
      <c r="A74" s="3" t="s">
        <v>171</v>
      </c>
      <c r="B74" s="3" t="s">
        <v>172</v>
      </c>
      <c r="C74" s="3" t="s">
        <v>167</v>
      </c>
      <c r="D74" s="3" t="s">
        <v>1357</v>
      </c>
      <c r="E74" s="3" t="n">
        <v>5</v>
      </c>
      <c r="F74" s="3" t="n">
        <v>4</v>
      </c>
      <c r="G74" s="3" t="s">
        <v>1590</v>
      </c>
      <c r="H74" s="3" t="s">
        <v>1560</v>
      </c>
      <c r="I74" s="4" t="n">
        <v>955.9</v>
      </c>
      <c r="J74" s="3" t="s">
        <v>1479</v>
      </c>
      <c r="K74" s="6" t="n">
        <v>-3.91999195899085</v>
      </c>
      <c r="L74" s="3" t="s">
        <v>1504</v>
      </c>
      <c r="M74" s="6" t="n">
        <v>10.9840498944651</v>
      </c>
      <c r="N74" s="3" t="n">
        <v>3</v>
      </c>
      <c r="O74" s="3" t="n">
        <v>2</v>
      </c>
    </row>
    <row r="75" customFormat="false" ht="15" hidden="false" customHeight="false" outlineLevel="0" collapsed="false">
      <c r="A75" s="3" t="s">
        <v>104</v>
      </c>
      <c r="B75" s="3" t="s">
        <v>105</v>
      </c>
      <c r="C75" s="3" t="s">
        <v>89</v>
      </c>
      <c r="D75" s="3" t="s">
        <v>1445</v>
      </c>
      <c r="E75" s="3" t="n">
        <v>5</v>
      </c>
      <c r="F75" s="3" t="n">
        <v>5</v>
      </c>
      <c r="G75" s="3" t="s">
        <v>1591</v>
      </c>
      <c r="H75" s="3" t="s">
        <v>1533</v>
      </c>
      <c r="I75" s="4" t="n">
        <v>342.45</v>
      </c>
      <c r="J75" s="3" t="s">
        <v>1479</v>
      </c>
      <c r="K75" s="6" t="n">
        <v>-6.37047163362953</v>
      </c>
      <c r="L75" s="3" t="s">
        <v>1504</v>
      </c>
      <c r="M75" s="6" t="n">
        <v>-19.1166481453565</v>
      </c>
      <c r="N75" s="3" t="n">
        <v>0</v>
      </c>
      <c r="O75" s="3" t="n">
        <v>5</v>
      </c>
    </row>
    <row r="76" customFormat="false" ht="15" hidden="false" customHeight="false" outlineLevel="0" collapsed="false">
      <c r="A76" s="3" t="s">
        <v>245</v>
      </c>
      <c r="B76" s="3" t="s">
        <v>246</v>
      </c>
      <c r="C76" s="3" t="s">
        <v>241</v>
      </c>
      <c r="D76" s="3" t="s">
        <v>1277</v>
      </c>
      <c r="E76" s="3" t="n">
        <v>8</v>
      </c>
      <c r="F76" s="3" t="n">
        <v>7</v>
      </c>
      <c r="G76" s="3" t="s">
        <v>1592</v>
      </c>
      <c r="H76" s="3" t="s">
        <v>1528</v>
      </c>
      <c r="I76" s="4" t="n">
        <v>1896</v>
      </c>
      <c r="J76" s="3" t="s">
        <v>1479</v>
      </c>
      <c r="K76" s="6" t="n">
        <v>-11.5877826999301</v>
      </c>
      <c r="L76" s="3" t="s">
        <v>1504</v>
      </c>
      <c r="M76" s="6" t="n">
        <v>-16.0892294731131</v>
      </c>
      <c r="N76" s="3" t="n">
        <v>0</v>
      </c>
      <c r="O76" s="3" t="n">
        <v>8</v>
      </c>
    </row>
    <row r="77" customFormat="false" ht="15" hidden="false" customHeight="false" outlineLevel="0" collapsed="false">
      <c r="A77" s="3" t="s">
        <v>1063</v>
      </c>
      <c r="B77" s="3" t="s">
        <v>1064</v>
      </c>
      <c r="C77" s="3" t="s">
        <v>1058</v>
      </c>
      <c r="D77" s="3" t="s">
        <v>1058</v>
      </c>
      <c r="E77" s="3" t="n">
        <v>1</v>
      </c>
      <c r="F77" s="3" t="n">
        <v>1</v>
      </c>
      <c r="G77" s="3" t="s">
        <v>1058</v>
      </c>
      <c r="H77" s="3" t="s">
        <v>1514</v>
      </c>
      <c r="I77" s="4" t="n">
        <v>573</v>
      </c>
      <c r="J77" s="3" t="s">
        <v>1479</v>
      </c>
      <c r="K77" s="6" t="n">
        <v>-9.70690198550268</v>
      </c>
      <c r="L77" s="3" t="s">
        <v>1504</v>
      </c>
      <c r="M77" s="6" t="n">
        <v>-9.70690198550268</v>
      </c>
      <c r="N77" s="3" t="n">
        <v>0</v>
      </c>
      <c r="O77" s="3" t="n">
        <v>1</v>
      </c>
    </row>
    <row r="78" customFormat="false" ht="15" hidden="false" customHeight="false" outlineLevel="0" collapsed="false">
      <c r="A78" s="3" t="s">
        <v>1021</v>
      </c>
      <c r="B78" s="3" t="s">
        <v>1022</v>
      </c>
      <c r="C78" s="3" t="s">
        <v>1012</v>
      </c>
      <c r="D78" s="3" t="s">
        <v>1012</v>
      </c>
      <c r="E78" s="3" t="n">
        <v>1</v>
      </c>
      <c r="F78" s="3" t="n">
        <v>1</v>
      </c>
      <c r="G78" s="3" t="s">
        <v>1012</v>
      </c>
      <c r="H78" s="3" t="s">
        <v>1514</v>
      </c>
      <c r="I78" s="4" t="n">
        <v>2050.7</v>
      </c>
      <c r="J78" s="3" t="s">
        <v>1479</v>
      </c>
      <c r="K78" s="6" t="n">
        <v>7.77275593861677</v>
      </c>
      <c r="L78" s="3" t="s">
        <v>1507</v>
      </c>
      <c r="M78" s="6" t="n">
        <v>7.77275593861677</v>
      </c>
      <c r="N78" s="3" t="n">
        <v>1</v>
      </c>
      <c r="O78" s="3" t="n">
        <v>0</v>
      </c>
    </row>
    <row r="79" customFormat="false" ht="15" hidden="false" customHeight="false" outlineLevel="0" collapsed="false">
      <c r="A79" s="3" t="s">
        <v>602</v>
      </c>
      <c r="B79" s="3" t="s">
        <v>603</v>
      </c>
      <c r="C79" s="3" t="s">
        <v>601</v>
      </c>
      <c r="D79" s="3" t="s">
        <v>1445</v>
      </c>
      <c r="E79" s="3" t="n">
        <v>5</v>
      </c>
      <c r="F79" s="3" t="n">
        <v>5</v>
      </c>
      <c r="G79" s="3" t="s">
        <v>1593</v>
      </c>
      <c r="H79" s="3" t="s">
        <v>1533</v>
      </c>
      <c r="I79" s="4" t="n">
        <v>1302</v>
      </c>
      <c r="J79" s="3" t="s">
        <v>1479</v>
      </c>
      <c r="K79" s="6" t="n">
        <v>-10.4539202200825</v>
      </c>
      <c r="L79" s="3" t="s">
        <v>1504</v>
      </c>
      <c r="M79" s="6" t="n">
        <v>-5.81548316688542</v>
      </c>
      <c r="N79" s="3" t="n">
        <v>1</v>
      </c>
      <c r="O79" s="3" t="n">
        <v>4</v>
      </c>
    </row>
    <row r="80" customFormat="false" ht="15" hidden="false" customHeight="false" outlineLevel="0" collapsed="false">
      <c r="A80" s="3" t="s">
        <v>74</v>
      </c>
      <c r="B80" s="3" t="s">
        <v>75</v>
      </c>
      <c r="C80" s="3" t="s">
        <v>57</v>
      </c>
      <c r="D80" s="3" t="s">
        <v>1369</v>
      </c>
      <c r="E80" s="3" t="n">
        <v>6</v>
      </c>
      <c r="F80" s="3" t="n">
        <v>6</v>
      </c>
      <c r="G80" s="3" t="s">
        <v>1594</v>
      </c>
      <c r="H80" s="3" t="s">
        <v>1525</v>
      </c>
      <c r="I80" s="4" t="n">
        <v>1540</v>
      </c>
      <c r="J80" s="3" t="s">
        <v>1479</v>
      </c>
      <c r="K80" s="6" t="n">
        <v>-8.55106888361045</v>
      </c>
      <c r="L80" s="3" t="s">
        <v>1504</v>
      </c>
      <c r="M80" s="6" t="n">
        <v>-15.1120051148149</v>
      </c>
      <c r="N80" s="3" t="n">
        <v>0</v>
      </c>
      <c r="O80" s="3" t="n">
        <v>6</v>
      </c>
    </row>
    <row r="81" customFormat="false" ht="15" hidden="false" customHeight="false" outlineLevel="0" collapsed="false">
      <c r="A81" s="3" t="s">
        <v>364</v>
      </c>
      <c r="B81" s="3" t="s">
        <v>365</v>
      </c>
      <c r="C81" s="3" t="s">
        <v>356</v>
      </c>
      <c r="D81" s="3" t="s">
        <v>1445</v>
      </c>
      <c r="E81" s="3" t="n">
        <v>10</v>
      </c>
      <c r="F81" s="3" t="n">
        <v>10</v>
      </c>
      <c r="G81" s="3" t="s">
        <v>1595</v>
      </c>
      <c r="H81" s="3" t="s">
        <v>1503</v>
      </c>
      <c r="I81" s="4" t="n">
        <v>458.7</v>
      </c>
      <c r="J81" s="3" t="s">
        <v>1479</v>
      </c>
      <c r="K81" s="6" t="n">
        <v>-11.2851755149405</v>
      </c>
      <c r="L81" s="3" t="s">
        <v>1504</v>
      </c>
      <c r="M81" s="6" t="n">
        <v>-20.8667931118261</v>
      </c>
      <c r="N81" s="3" t="n">
        <v>0</v>
      </c>
      <c r="O81" s="3" t="n">
        <v>10</v>
      </c>
    </row>
    <row r="82" customFormat="false" ht="15" hidden="false" customHeight="false" outlineLevel="0" collapsed="false">
      <c r="A82" s="3" t="s">
        <v>187</v>
      </c>
      <c r="B82" s="3" t="s">
        <v>188</v>
      </c>
      <c r="C82" s="3" t="s">
        <v>181</v>
      </c>
      <c r="D82" s="3" t="s">
        <v>1465</v>
      </c>
      <c r="E82" s="3" t="n">
        <v>4</v>
      </c>
      <c r="F82" s="3" t="n">
        <v>4</v>
      </c>
      <c r="G82" s="3" t="s">
        <v>1596</v>
      </c>
      <c r="H82" s="3" t="s">
        <v>1521</v>
      </c>
      <c r="I82" s="4" t="n">
        <v>80.55</v>
      </c>
      <c r="J82" s="3" t="s">
        <v>1479</v>
      </c>
      <c r="K82" s="6" t="n">
        <v>-7.94285714285715</v>
      </c>
      <c r="L82" s="3" t="s">
        <v>1504</v>
      </c>
      <c r="M82" s="6" t="n">
        <v>8.38790939998708</v>
      </c>
      <c r="N82" s="3" t="n">
        <v>3</v>
      </c>
      <c r="O82" s="3" t="n">
        <v>1</v>
      </c>
    </row>
    <row r="83" customFormat="false" ht="15" hidden="false" customHeight="false" outlineLevel="0" collapsed="false">
      <c r="A83" s="3" t="s">
        <v>77</v>
      </c>
      <c r="B83" s="3" t="s">
        <v>78</v>
      </c>
      <c r="C83" s="3" t="s">
        <v>57</v>
      </c>
      <c r="D83" s="3" t="s">
        <v>89</v>
      </c>
      <c r="E83" s="3" t="n">
        <v>2</v>
      </c>
      <c r="F83" s="3" t="n">
        <v>1</v>
      </c>
      <c r="G83" s="3" t="s">
        <v>1597</v>
      </c>
      <c r="H83" s="3" t="s">
        <v>1556</v>
      </c>
      <c r="I83" s="4" t="n">
        <v>111.35</v>
      </c>
      <c r="J83" s="3" t="s">
        <v>1479</v>
      </c>
      <c r="K83" s="6" t="n">
        <v>-22.452817048541</v>
      </c>
      <c r="L83" s="3" t="s">
        <v>1504</v>
      </c>
      <c r="M83" s="6" t="n">
        <v>-21.7909360777483</v>
      </c>
      <c r="N83" s="3" t="n">
        <v>0</v>
      </c>
      <c r="O83" s="3" t="n">
        <v>2</v>
      </c>
    </row>
    <row r="84" customFormat="false" ht="15" hidden="false" customHeight="false" outlineLevel="0" collapsed="false">
      <c r="A84" s="3" t="s">
        <v>1468</v>
      </c>
      <c r="B84" s="3" t="s">
        <v>1469</v>
      </c>
      <c r="C84" s="3" t="s">
        <v>1465</v>
      </c>
      <c r="D84" s="3" t="s">
        <v>1465</v>
      </c>
      <c r="E84" s="3" t="n">
        <v>1</v>
      </c>
      <c r="F84" s="3" t="n">
        <v>1</v>
      </c>
      <c r="G84" s="3" t="s">
        <v>1465</v>
      </c>
      <c r="H84" s="3" t="s">
        <v>1514</v>
      </c>
      <c r="I84" s="4" t="n">
        <v>711</v>
      </c>
      <c r="J84" s="3" t="s">
        <v>1479</v>
      </c>
      <c r="K84" s="6" t="n">
        <v>-2.86885245901639</v>
      </c>
      <c r="L84" s="3" t="s">
        <v>1504</v>
      </c>
      <c r="M84" s="6" t="n">
        <v>-2.86885245901639</v>
      </c>
      <c r="N84" s="3" t="n">
        <v>0</v>
      </c>
      <c r="O84" s="3" t="n">
        <v>1</v>
      </c>
    </row>
    <row r="85" customFormat="false" ht="15" hidden="false" customHeight="false" outlineLevel="0" collapsed="false">
      <c r="A85" s="3" t="s">
        <v>293</v>
      </c>
      <c r="B85" s="3" t="s">
        <v>294</v>
      </c>
      <c r="C85" s="3" t="s">
        <v>288</v>
      </c>
      <c r="D85" s="3" t="s">
        <v>636</v>
      </c>
      <c r="E85" s="3" t="n">
        <v>2</v>
      </c>
      <c r="F85" s="3" t="n">
        <v>2</v>
      </c>
      <c r="G85" s="3" t="s">
        <v>1598</v>
      </c>
      <c r="H85" s="3" t="s">
        <v>1511</v>
      </c>
      <c r="I85" s="4" t="n">
        <v>802.45</v>
      </c>
      <c r="J85" s="3" t="s">
        <v>1479</v>
      </c>
      <c r="K85" s="6" t="n">
        <v>-5.19258034026464</v>
      </c>
      <c r="L85" s="3" t="s">
        <v>1504</v>
      </c>
      <c r="M85" s="6" t="n">
        <v>-5.8715900420317</v>
      </c>
      <c r="N85" s="3" t="n">
        <v>0</v>
      </c>
      <c r="O85" s="3" t="n">
        <v>2</v>
      </c>
    </row>
    <row r="86" customFormat="false" ht="15" hidden="false" customHeight="false" outlineLevel="0" collapsed="false">
      <c r="A86" s="3" t="s">
        <v>1181</v>
      </c>
      <c r="B86" s="3" t="s">
        <v>1182</v>
      </c>
      <c r="C86" s="3" t="s">
        <v>1177</v>
      </c>
      <c r="D86" s="3" t="s">
        <v>1177</v>
      </c>
      <c r="E86" s="3" t="n">
        <v>1</v>
      </c>
      <c r="F86" s="3" t="n">
        <v>1</v>
      </c>
      <c r="G86" s="3" t="s">
        <v>1177</v>
      </c>
      <c r="H86" s="3" t="s">
        <v>1514</v>
      </c>
      <c r="I86" s="4" t="n">
        <v>4874.5</v>
      </c>
      <c r="J86" s="3" t="s">
        <v>1479</v>
      </c>
      <c r="K86" s="6" t="n">
        <v>3.49916130539101</v>
      </c>
      <c r="L86" s="3" t="s">
        <v>1507</v>
      </c>
      <c r="M86" s="6" t="n">
        <v>3.49916130539101</v>
      </c>
      <c r="N86" s="3" t="n">
        <v>1</v>
      </c>
      <c r="O86" s="3" t="n">
        <v>0</v>
      </c>
    </row>
    <row r="87" customFormat="false" ht="15" hidden="false" customHeight="false" outlineLevel="0" collapsed="false">
      <c r="A87" s="3" t="s">
        <v>509</v>
      </c>
      <c r="B87" s="3" t="s">
        <v>510</v>
      </c>
      <c r="C87" s="3" t="s">
        <v>507</v>
      </c>
      <c r="D87" s="3" t="s">
        <v>1177</v>
      </c>
      <c r="E87" s="3" t="n">
        <v>4</v>
      </c>
      <c r="F87" s="3" t="n">
        <v>4</v>
      </c>
      <c r="G87" s="3" t="s">
        <v>1599</v>
      </c>
      <c r="H87" s="3" t="s">
        <v>1521</v>
      </c>
      <c r="I87" s="4" t="n">
        <v>909.7</v>
      </c>
      <c r="J87" s="3" t="s">
        <v>1479</v>
      </c>
      <c r="K87" s="6" t="n">
        <v>-0.833923802256497</v>
      </c>
      <c r="L87" s="3" t="s">
        <v>1504</v>
      </c>
      <c r="M87" s="6" t="n">
        <v>-1.05446917177246</v>
      </c>
      <c r="N87" s="3" t="n">
        <v>1</v>
      </c>
      <c r="O87" s="3" t="n">
        <v>3</v>
      </c>
    </row>
    <row r="88" customFormat="false" ht="15" hidden="false" customHeight="false" outlineLevel="0" collapsed="false">
      <c r="A88" s="3" t="s">
        <v>605</v>
      </c>
      <c r="B88" s="3" t="s">
        <v>606</v>
      </c>
      <c r="C88" s="3" t="s">
        <v>601</v>
      </c>
      <c r="D88" s="3" t="s">
        <v>1424</v>
      </c>
      <c r="E88" s="3" t="n">
        <v>6</v>
      </c>
      <c r="F88" s="3" t="n">
        <v>6</v>
      </c>
      <c r="G88" s="3" t="s">
        <v>1600</v>
      </c>
      <c r="H88" s="3" t="s">
        <v>1525</v>
      </c>
      <c r="I88" s="4" t="n">
        <v>360</v>
      </c>
      <c r="J88" s="3" t="s">
        <v>1479</v>
      </c>
      <c r="K88" s="6" t="n">
        <v>-5.25069088037899</v>
      </c>
      <c r="L88" s="3" t="s">
        <v>1504</v>
      </c>
      <c r="M88" s="6" t="n">
        <v>-12.6712852403658</v>
      </c>
      <c r="N88" s="3" t="n">
        <v>0</v>
      </c>
      <c r="O88" s="3" t="n">
        <v>6</v>
      </c>
    </row>
    <row r="89" customFormat="false" ht="15" hidden="false" customHeight="false" outlineLevel="0" collapsed="false">
      <c r="A89" s="3" t="s">
        <v>871</v>
      </c>
      <c r="B89" s="3" t="s">
        <v>872</v>
      </c>
      <c r="C89" s="3" t="s">
        <v>863</v>
      </c>
      <c r="D89" s="3" t="s">
        <v>1296</v>
      </c>
      <c r="E89" s="3" t="n">
        <v>4</v>
      </c>
      <c r="F89" s="3" t="n">
        <v>4</v>
      </c>
      <c r="G89" s="3" t="s">
        <v>1601</v>
      </c>
      <c r="H89" s="3" t="s">
        <v>1521</v>
      </c>
      <c r="I89" s="4" t="n">
        <v>1003.2</v>
      </c>
      <c r="J89" s="3" t="s">
        <v>1479</v>
      </c>
      <c r="K89" s="6" t="n">
        <v>-9.01505532378014</v>
      </c>
      <c r="L89" s="3" t="s">
        <v>1504</v>
      </c>
      <c r="M89" s="6" t="n">
        <v>-17.699671118123</v>
      </c>
      <c r="N89" s="3" t="n">
        <v>0</v>
      </c>
      <c r="O89" s="3" t="n">
        <v>4</v>
      </c>
    </row>
    <row r="90" customFormat="false" ht="15" hidden="false" customHeight="false" outlineLevel="0" collapsed="false">
      <c r="A90" s="3" t="s">
        <v>1293</v>
      </c>
      <c r="B90" s="3" t="s">
        <v>1294</v>
      </c>
      <c r="C90" s="3" t="s">
        <v>1288</v>
      </c>
      <c r="D90" s="3" t="s">
        <v>1288</v>
      </c>
      <c r="E90" s="3" t="n">
        <v>1</v>
      </c>
      <c r="F90" s="3" t="n">
        <v>1</v>
      </c>
      <c r="G90" s="3" t="s">
        <v>1288</v>
      </c>
      <c r="H90" s="3" t="s">
        <v>1514</v>
      </c>
      <c r="I90" s="4" t="n">
        <v>72</v>
      </c>
      <c r="J90" s="3" t="s">
        <v>1479</v>
      </c>
      <c r="K90" s="6" t="n">
        <v>-12.8434814187144</v>
      </c>
      <c r="L90" s="3" t="s">
        <v>1504</v>
      </c>
      <c r="M90" s="6" t="n">
        <v>-12.8434814187144</v>
      </c>
      <c r="N90" s="3" t="n">
        <v>0</v>
      </c>
      <c r="O90" s="3" t="n">
        <v>1</v>
      </c>
    </row>
    <row r="91" customFormat="false" ht="15" hidden="false" customHeight="false" outlineLevel="0" collapsed="false">
      <c r="A91" s="3" t="s">
        <v>136</v>
      </c>
      <c r="B91" s="3" t="s">
        <v>137</v>
      </c>
      <c r="C91" s="3" t="s">
        <v>129</v>
      </c>
      <c r="D91" s="3" t="s">
        <v>1313</v>
      </c>
      <c r="E91" s="3" t="n">
        <v>18</v>
      </c>
      <c r="F91" s="3" t="n">
        <v>15</v>
      </c>
      <c r="G91" s="3" t="s">
        <v>1602</v>
      </c>
      <c r="H91" s="3" t="s">
        <v>1603</v>
      </c>
      <c r="I91" s="4" t="n">
        <v>133.32</v>
      </c>
      <c r="J91" s="3" t="s">
        <v>1479</v>
      </c>
      <c r="K91" s="6" t="n">
        <v>-5.98025387870241</v>
      </c>
      <c r="L91" s="3" t="s">
        <v>1504</v>
      </c>
      <c r="M91" s="6" t="n">
        <v>-16.1300082418399</v>
      </c>
      <c r="N91" s="3" t="n">
        <v>0</v>
      </c>
      <c r="O91" s="3" t="n">
        <v>18</v>
      </c>
    </row>
    <row r="92" customFormat="false" ht="15" hidden="false" customHeight="false" outlineLevel="0" collapsed="false">
      <c r="A92" s="3" t="s">
        <v>263</v>
      </c>
      <c r="B92" s="3" t="s">
        <v>264</v>
      </c>
      <c r="C92" s="3" t="s">
        <v>252</v>
      </c>
      <c r="D92" s="3" t="s">
        <v>477</v>
      </c>
      <c r="E92" s="3" t="n">
        <v>2</v>
      </c>
      <c r="F92" s="3" t="n">
        <v>2</v>
      </c>
      <c r="G92" s="3" t="s">
        <v>1604</v>
      </c>
      <c r="H92" s="3" t="s">
        <v>1511</v>
      </c>
      <c r="I92" s="4" t="n">
        <v>453.5</v>
      </c>
      <c r="J92" s="3" t="s">
        <v>1479</v>
      </c>
      <c r="K92" s="6" t="n">
        <v>-33.4702559964791</v>
      </c>
      <c r="L92" s="3" t="s">
        <v>1504</v>
      </c>
      <c r="M92" s="6" t="n">
        <v>-35.7011171859491</v>
      </c>
      <c r="N92" s="3" t="n">
        <v>0</v>
      </c>
      <c r="O92" s="3" t="n">
        <v>2</v>
      </c>
    </row>
    <row r="93" customFormat="false" ht="15" hidden="false" customHeight="false" outlineLevel="0" collapsed="false">
      <c r="A93" s="3" t="s">
        <v>1135</v>
      </c>
      <c r="B93" s="3" t="s">
        <v>1136</v>
      </c>
      <c r="C93" s="3" t="s">
        <v>1129</v>
      </c>
      <c r="D93" s="3" t="s">
        <v>1129</v>
      </c>
      <c r="E93" s="3" t="n">
        <v>1</v>
      </c>
      <c r="F93" s="3" t="n">
        <v>1</v>
      </c>
      <c r="G93" s="3" t="s">
        <v>1129</v>
      </c>
      <c r="H93" s="3" t="s">
        <v>1514</v>
      </c>
      <c r="I93" s="4" t="n">
        <v>114.82</v>
      </c>
      <c r="J93" s="3" t="s">
        <v>1479</v>
      </c>
      <c r="K93" s="6" t="n">
        <v>-13.8311444652908</v>
      </c>
      <c r="L93" s="3" t="s">
        <v>1504</v>
      </c>
      <c r="M93" s="6" t="n">
        <v>-13.8311444652908</v>
      </c>
      <c r="N93" s="3" t="n">
        <v>0</v>
      </c>
      <c r="O93" s="3" t="n">
        <v>1</v>
      </c>
    </row>
    <row r="94" customFormat="false" ht="15" hidden="false" customHeight="false" outlineLevel="0" collapsed="false">
      <c r="A94" s="3" t="s">
        <v>231</v>
      </c>
      <c r="B94" s="3" t="s">
        <v>232</v>
      </c>
      <c r="C94" s="3" t="s">
        <v>226</v>
      </c>
      <c r="D94" s="3" t="s">
        <v>226</v>
      </c>
      <c r="E94" s="3" t="n">
        <v>1</v>
      </c>
      <c r="F94" s="3" t="n">
        <v>1</v>
      </c>
      <c r="G94" s="3" t="s">
        <v>226</v>
      </c>
      <c r="H94" s="3" t="s">
        <v>1514</v>
      </c>
      <c r="I94" s="4" t="n">
        <v>265.2</v>
      </c>
      <c r="J94" s="3" t="s">
        <v>1479</v>
      </c>
      <c r="K94" s="6" t="n">
        <v>-34.5427619400222</v>
      </c>
      <c r="L94" s="3" t="s">
        <v>1504</v>
      </c>
      <c r="M94" s="6" t="n">
        <v>-34.5427619400222</v>
      </c>
      <c r="N94" s="3" t="n">
        <v>0</v>
      </c>
      <c r="O94" s="3" t="n">
        <v>1</v>
      </c>
    </row>
    <row r="95" customFormat="false" ht="15" hidden="false" customHeight="false" outlineLevel="0" collapsed="false">
      <c r="A95" s="3" t="s">
        <v>108</v>
      </c>
      <c r="B95" s="3" t="s">
        <v>109</v>
      </c>
      <c r="C95" s="3" t="s">
        <v>89</v>
      </c>
      <c r="D95" s="3" t="s">
        <v>728</v>
      </c>
      <c r="E95" s="3" t="n">
        <v>2</v>
      </c>
      <c r="F95" s="3" t="n">
        <v>2</v>
      </c>
      <c r="G95" s="3" t="s">
        <v>1605</v>
      </c>
      <c r="H95" s="3" t="s">
        <v>1511</v>
      </c>
      <c r="I95" s="4" t="n">
        <v>1139.6</v>
      </c>
      <c r="J95" s="3" t="s">
        <v>1479</v>
      </c>
      <c r="K95" s="6" t="n">
        <v>-2.37299751563437</v>
      </c>
      <c r="L95" s="3" t="s">
        <v>1504</v>
      </c>
      <c r="M95" s="6" t="n">
        <v>1.74429548277733</v>
      </c>
      <c r="N95" s="3" t="n">
        <v>1</v>
      </c>
      <c r="O95" s="3" t="n">
        <v>1</v>
      </c>
    </row>
    <row r="96" customFormat="false" ht="15" hidden="false" customHeight="false" outlineLevel="0" collapsed="false">
      <c r="A96" s="3" t="s">
        <v>525</v>
      </c>
      <c r="B96" s="3" t="s">
        <v>526</v>
      </c>
      <c r="C96" s="3" t="s">
        <v>512</v>
      </c>
      <c r="D96" s="3" t="s">
        <v>1445</v>
      </c>
      <c r="E96" s="3" t="n">
        <v>6</v>
      </c>
      <c r="F96" s="3" t="n">
        <v>6</v>
      </c>
      <c r="G96" s="3" t="s">
        <v>1606</v>
      </c>
      <c r="H96" s="3" t="s">
        <v>1525</v>
      </c>
      <c r="I96" s="4" t="n">
        <v>220.5</v>
      </c>
      <c r="J96" s="3" t="s">
        <v>1479</v>
      </c>
      <c r="K96" s="6" t="n">
        <v>-8.63890615288999</v>
      </c>
      <c r="L96" s="3" t="s">
        <v>1504</v>
      </c>
      <c r="M96" s="6" t="n">
        <v>-15.7404164729742</v>
      </c>
      <c r="N96" s="3" t="n">
        <v>0</v>
      </c>
      <c r="O96" s="3" t="n">
        <v>6</v>
      </c>
    </row>
    <row r="97" customFormat="false" ht="15" hidden="false" customHeight="false" outlineLevel="0" collapsed="false">
      <c r="A97" s="3" t="s">
        <v>1122</v>
      </c>
      <c r="B97" s="3" t="s">
        <v>1123</v>
      </c>
      <c r="C97" s="3" t="s">
        <v>1117</v>
      </c>
      <c r="D97" s="3" t="s">
        <v>1117</v>
      </c>
      <c r="E97" s="3" t="n">
        <v>1</v>
      </c>
      <c r="F97" s="3" t="n">
        <v>1</v>
      </c>
      <c r="G97" s="3" t="s">
        <v>1117</v>
      </c>
      <c r="H97" s="3" t="s">
        <v>1514</v>
      </c>
      <c r="I97" s="4" t="n">
        <v>495</v>
      </c>
      <c r="J97" s="3" t="s">
        <v>1479</v>
      </c>
      <c r="K97" s="6" t="n">
        <v>-17.7809152063782</v>
      </c>
      <c r="L97" s="3" t="s">
        <v>1504</v>
      </c>
      <c r="M97" s="6" t="n">
        <v>-17.7809152063782</v>
      </c>
      <c r="N97" s="3" t="n">
        <v>0</v>
      </c>
      <c r="O97" s="3" t="n">
        <v>1</v>
      </c>
    </row>
    <row r="98" customFormat="false" ht="15" hidden="false" customHeight="false" outlineLevel="0" collapsed="false">
      <c r="A98" s="3" t="s">
        <v>175</v>
      </c>
      <c r="B98" s="3" t="s">
        <v>176</v>
      </c>
      <c r="C98" s="3" t="s">
        <v>167</v>
      </c>
      <c r="D98" s="3" t="s">
        <v>1369</v>
      </c>
      <c r="E98" s="3" t="n">
        <v>7</v>
      </c>
      <c r="F98" s="3" t="n">
        <v>7</v>
      </c>
      <c r="G98" s="3" t="s">
        <v>1607</v>
      </c>
      <c r="H98" s="3" t="s">
        <v>1519</v>
      </c>
      <c r="I98" s="4" t="n">
        <v>1264.1</v>
      </c>
      <c r="J98" s="3" t="s">
        <v>1479</v>
      </c>
      <c r="K98" s="6" t="n">
        <v>-4.95488721804512</v>
      </c>
      <c r="L98" s="3" t="s">
        <v>1504</v>
      </c>
      <c r="M98" s="6" t="n">
        <v>5.08110743867308</v>
      </c>
      <c r="N98" s="3" t="n">
        <v>5</v>
      </c>
      <c r="O98" s="3" t="n">
        <v>2</v>
      </c>
    </row>
    <row r="99" customFormat="false" ht="15" hidden="false" customHeight="false" outlineLevel="0" collapsed="false">
      <c r="A99" s="3" t="s">
        <v>820</v>
      </c>
      <c r="B99" s="3" t="s">
        <v>821</v>
      </c>
      <c r="C99" s="3" t="s">
        <v>818</v>
      </c>
      <c r="D99" s="3" t="s">
        <v>1393</v>
      </c>
      <c r="E99" s="3" t="n">
        <v>3</v>
      </c>
      <c r="F99" s="3" t="n">
        <v>3</v>
      </c>
      <c r="G99" s="3" t="s">
        <v>1608</v>
      </c>
      <c r="H99" s="3" t="s">
        <v>1509</v>
      </c>
      <c r="I99" s="4" t="n">
        <v>478.7</v>
      </c>
      <c r="J99" s="3" t="s">
        <v>1479</v>
      </c>
      <c r="K99" s="6" t="n">
        <v>-1.6032887975334</v>
      </c>
      <c r="L99" s="3" t="s">
        <v>1504</v>
      </c>
      <c r="M99" s="6" t="n">
        <v>-3.6089529181613</v>
      </c>
      <c r="N99" s="3" t="n">
        <v>0</v>
      </c>
      <c r="O99" s="3" t="n">
        <v>3</v>
      </c>
    </row>
    <row r="100" customFormat="false" ht="15" hidden="false" customHeight="false" outlineLevel="0" collapsed="false">
      <c r="A100" s="3" t="s">
        <v>538</v>
      </c>
      <c r="B100" s="3" t="s">
        <v>539</v>
      </c>
      <c r="C100" s="3" t="s">
        <v>533</v>
      </c>
      <c r="D100" s="3" t="s">
        <v>533</v>
      </c>
      <c r="E100" s="3" t="n">
        <v>1</v>
      </c>
      <c r="F100" s="3" t="n">
        <v>1</v>
      </c>
      <c r="G100" s="3" t="s">
        <v>533</v>
      </c>
      <c r="H100" s="3" t="s">
        <v>1514</v>
      </c>
      <c r="I100" s="4" t="n">
        <v>564</v>
      </c>
      <c r="J100" s="3" t="s">
        <v>1479</v>
      </c>
      <c r="K100" s="6" t="n">
        <v>11.8603728679096</v>
      </c>
      <c r="L100" s="3" t="s">
        <v>1507</v>
      </c>
      <c r="M100" s="6" t="n">
        <v>11.8603728679096</v>
      </c>
      <c r="N100" s="3" t="n">
        <v>1</v>
      </c>
      <c r="O100" s="3" t="n">
        <v>0</v>
      </c>
    </row>
    <row r="101" customFormat="false" ht="15" hidden="false" customHeight="false" outlineLevel="0" collapsed="false">
      <c r="A101" s="3" t="s">
        <v>501</v>
      </c>
      <c r="B101" s="3" t="s">
        <v>502</v>
      </c>
      <c r="C101" s="3" t="s">
        <v>483</v>
      </c>
      <c r="D101" s="3" t="s">
        <v>1049</v>
      </c>
      <c r="E101" s="3" t="n">
        <v>4</v>
      </c>
      <c r="F101" s="3" t="n">
        <v>4</v>
      </c>
      <c r="G101" s="3" t="s">
        <v>1609</v>
      </c>
      <c r="H101" s="3" t="s">
        <v>1521</v>
      </c>
      <c r="I101" s="4" t="n">
        <v>4516</v>
      </c>
      <c r="J101" s="3" t="s">
        <v>1479</v>
      </c>
      <c r="K101" s="6" t="n">
        <v>-10.7209932190657</v>
      </c>
      <c r="L101" s="3" t="s">
        <v>1504</v>
      </c>
      <c r="M101" s="6" t="n">
        <v>0.758223112656317</v>
      </c>
      <c r="N101" s="3" t="n">
        <v>3</v>
      </c>
      <c r="O101" s="3" t="n">
        <v>1</v>
      </c>
    </row>
    <row r="102" customFormat="false" ht="15" hidden="false" customHeight="false" outlineLevel="0" collapsed="false">
      <c r="A102" s="3" t="s">
        <v>1282</v>
      </c>
      <c r="B102" s="3" t="s">
        <v>1283</v>
      </c>
      <c r="C102" s="3" t="s">
        <v>1277</v>
      </c>
      <c r="D102" s="3" t="s">
        <v>1277</v>
      </c>
      <c r="E102" s="3" t="n">
        <v>1</v>
      </c>
      <c r="F102" s="3" t="n">
        <v>1</v>
      </c>
      <c r="G102" s="3" t="s">
        <v>1277</v>
      </c>
      <c r="H102" s="3" t="s">
        <v>1514</v>
      </c>
      <c r="I102" s="4" t="n">
        <v>884.05</v>
      </c>
      <c r="J102" s="3" t="s">
        <v>1479</v>
      </c>
      <c r="K102" s="6" t="n">
        <v>1.04583380957824</v>
      </c>
      <c r="L102" s="3" t="s">
        <v>1507</v>
      </c>
      <c r="M102" s="6" t="n">
        <v>1.04583380957824</v>
      </c>
      <c r="N102" s="3" t="n">
        <v>1</v>
      </c>
      <c r="O102" s="3" t="n">
        <v>0</v>
      </c>
    </row>
    <row r="103" customFormat="false" ht="15" hidden="false" customHeight="false" outlineLevel="0" collapsed="false">
      <c r="A103" s="3" t="s">
        <v>234</v>
      </c>
      <c r="B103" s="3" t="s">
        <v>235</v>
      </c>
      <c r="C103" s="3" t="s">
        <v>226</v>
      </c>
      <c r="D103" s="3" t="s">
        <v>1424</v>
      </c>
      <c r="E103" s="3" t="n">
        <v>4</v>
      </c>
      <c r="F103" s="3" t="n">
        <v>3</v>
      </c>
      <c r="G103" s="3" t="s">
        <v>1610</v>
      </c>
      <c r="H103" s="3" t="s">
        <v>1574</v>
      </c>
      <c r="I103" s="4" t="n">
        <v>401.55</v>
      </c>
      <c r="J103" s="3" t="s">
        <v>1479</v>
      </c>
      <c r="K103" s="6" t="n">
        <v>-5.33946251768033</v>
      </c>
      <c r="L103" s="3" t="s">
        <v>1504</v>
      </c>
      <c r="M103" s="6" t="n">
        <v>-21.5015766699852</v>
      </c>
      <c r="N103" s="3" t="n">
        <v>1</v>
      </c>
      <c r="O103" s="3" t="n">
        <v>3</v>
      </c>
    </row>
    <row r="104" customFormat="false" ht="15" hidden="false" customHeight="false" outlineLevel="0" collapsed="false">
      <c r="A104" s="3" t="s">
        <v>203</v>
      </c>
      <c r="B104" s="3" t="s">
        <v>204</v>
      </c>
      <c r="C104" s="3" t="s">
        <v>198</v>
      </c>
      <c r="D104" s="3" t="s">
        <v>1424</v>
      </c>
      <c r="E104" s="3" t="n">
        <v>8</v>
      </c>
      <c r="F104" s="3" t="n">
        <v>6</v>
      </c>
      <c r="G104" s="3" t="s">
        <v>1611</v>
      </c>
      <c r="H104" s="3" t="s">
        <v>1612</v>
      </c>
      <c r="I104" s="4" t="n">
        <v>2010.7</v>
      </c>
      <c r="J104" s="3" t="s">
        <v>1479</v>
      </c>
      <c r="K104" s="6" t="n">
        <v>4.21374520576345</v>
      </c>
      <c r="L104" s="3" t="s">
        <v>1507</v>
      </c>
      <c r="M104" s="6" t="n">
        <v>60.4685941287306</v>
      </c>
      <c r="N104" s="3" t="n">
        <v>8</v>
      </c>
      <c r="O104" s="3" t="n">
        <v>0</v>
      </c>
    </row>
    <row r="105" customFormat="false" ht="15" hidden="false" customHeight="false" outlineLevel="0" collapsed="false">
      <c r="A105" s="3" t="s">
        <v>403</v>
      </c>
      <c r="B105" s="3" t="s">
        <v>404</v>
      </c>
      <c r="C105" s="3" t="s">
        <v>395</v>
      </c>
      <c r="D105" s="3" t="s">
        <v>1417</v>
      </c>
      <c r="E105" s="3" t="n">
        <v>6</v>
      </c>
      <c r="F105" s="3" t="n">
        <v>6</v>
      </c>
      <c r="G105" s="3" t="s">
        <v>1613</v>
      </c>
      <c r="H105" s="3" t="s">
        <v>1525</v>
      </c>
      <c r="I105" s="4" t="n">
        <v>564.15</v>
      </c>
      <c r="J105" s="3" t="s">
        <v>1479</v>
      </c>
      <c r="K105" s="6" t="n">
        <v>7.58009153318078</v>
      </c>
      <c r="L105" s="3" t="s">
        <v>1507</v>
      </c>
      <c r="M105" s="6" t="n">
        <v>2.57242894915128</v>
      </c>
      <c r="N105" s="3" t="n">
        <v>5</v>
      </c>
      <c r="O105" s="3" t="n">
        <v>1</v>
      </c>
    </row>
    <row r="106" customFormat="false" ht="15" hidden="false" customHeight="false" outlineLevel="0" collapsed="false">
      <c r="A106" s="3" t="s">
        <v>312</v>
      </c>
      <c r="B106" s="3" t="s">
        <v>313</v>
      </c>
      <c r="C106" s="3" t="s">
        <v>306</v>
      </c>
      <c r="D106" s="3" t="s">
        <v>1401</v>
      </c>
      <c r="E106" s="3" t="n">
        <v>4</v>
      </c>
      <c r="F106" s="3" t="n">
        <v>3</v>
      </c>
      <c r="G106" s="3" t="s">
        <v>1614</v>
      </c>
      <c r="H106" s="3" t="s">
        <v>1574</v>
      </c>
      <c r="I106" s="4" t="n">
        <v>400.65</v>
      </c>
      <c r="J106" s="3" t="s">
        <v>1479</v>
      </c>
      <c r="K106" s="6" t="n">
        <v>-3.92086330935252</v>
      </c>
      <c r="L106" s="3" t="s">
        <v>1504</v>
      </c>
      <c r="M106" s="6" t="n">
        <v>-28.6012587824299</v>
      </c>
      <c r="N106" s="3" t="n">
        <v>0</v>
      </c>
      <c r="O106" s="3" t="n">
        <v>4</v>
      </c>
    </row>
    <row r="107" customFormat="false" ht="15" hidden="false" customHeight="false" outlineLevel="0" collapsed="false">
      <c r="A107" s="3" t="s">
        <v>152</v>
      </c>
      <c r="B107" s="3" t="s">
        <v>153</v>
      </c>
      <c r="C107" s="3" t="s">
        <v>151</v>
      </c>
      <c r="D107" s="3" t="s">
        <v>1261</v>
      </c>
      <c r="E107" s="3" t="n">
        <v>7</v>
      </c>
      <c r="F107" s="3" t="n">
        <v>6</v>
      </c>
      <c r="G107" s="3" t="s">
        <v>1615</v>
      </c>
      <c r="H107" s="3" t="s">
        <v>1545</v>
      </c>
      <c r="I107" s="4" t="n">
        <v>1117.1</v>
      </c>
      <c r="J107" s="3" t="s">
        <v>1479</v>
      </c>
      <c r="K107" s="6" t="n">
        <v>1.93448307327309</v>
      </c>
      <c r="L107" s="3" t="s">
        <v>1507</v>
      </c>
      <c r="M107" s="6" t="n">
        <v>21.9045490551157</v>
      </c>
      <c r="N107" s="3" t="n">
        <v>6</v>
      </c>
      <c r="O107" s="3" t="n">
        <v>1</v>
      </c>
    </row>
    <row r="108" customFormat="false" ht="15" hidden="false" customHeight="false" outlineLevel="0" collapsed="false">
      <c r="A108" s="3" t="s">
        <v>111</v>
      </c>
      <c r="B108" s="3" t="s">
        <v>112</v>
      </c>
      <c r="C108" s="3" t="s">
        <v>89</v>
      </c>
      <c r="D108" s="3" t="s">
        <v>1129</v>
      </c>
      <c r="E108" s="3" t="n">
        <v>2</v>
      </c>
      <c r="F108" s="3" t="n">
        <v>2</v>
      </c>
      <c r="G108" s="3" t="s">
        <v>1616</v>
      </c>
      <c r="H108" s="3" t="s">
        <v>1511</v>
      </c>
      <c r="I108" s="4" t="n">
        <v>280.85</v>
      </c>
      <c r="J108" s="3" t="s">
        <v>1479</v>
      </c>
      <c r="K108" s="6" t="n">
        <v>-2.0062805303559</v>
      </c>
      <c r="L108" s="3" t="s">
        <v>1504</v>
      </c>
      <c r="M108" s="6" t="n">
        <v>2.5267648162081</v>
      </c>
      <c r="N108" s="3" t="n">
        <v>1</v>
      </c>
      <c r="O108" s="3" t="n">
        <v>1</v>
      </c>
    </row>
    <row r="109" customFormat="false" ht="15" hidden="false" customHeight="false" outlineLevel="0" collapsed="false">
      <c r="A109" s="3" t="s">
        <v>190</v>
      </c>
      <c r="B109" s="3" t="s">
        <v>60</v>
      </c>
      <c r="C109" s="3" t="s">
        <v>181</v>
      </c>
      <c r="D109" s="3" t="s">
        <v>648</v>
      </c>
      <c r="E109" s="3" t="n">
        <v>4</v>
      </c>
      <c r="F109" s="3" t="n">
        <v>4</v>
      </c>
      <c r="G109" s="3" t="s">
        <v>1617</v>
      </c>
      <c r="H109" s="3" t="s">
        <v>1618</v>
      </c>
      <c r="I109" s="4" t="s">
        <v>60</v>
      </c>
      <c r="J109" s="3" t="s">
        <v>60</v>
      </c>
      <c r="K109" s="6" t="s">
        <v>60</v>
      </c>
      <c r="L109" s="3" t="s">
        <v>1619</v>
      </c>
      <c r="M109" s="6" t="s">
        <v>60</v>
      </c>
      <c r="N109" s="3" t="n">
        <v>0</v>
      </c>
      <c r="O109" s="3" t="n">
        <v>0</v>
      </c>
    </row>
    <row r="110" customFormat="false" ht="15" hidden="false" customHeight="false" outlineLevel="0" collapsed="false">
      <c r="A110" s="3" t="s">
        <v>917</v>
      </c>
      <c r="B110" s="3" t="s">
        <v>918</v>
      </c>
      <c r="C110" s="3" t="s">
        <v>915</v>
      </c>
      <c r="D110" s="3" t="s">
        <v>1005</v>
      </c>
      <c r="E110" s="3" t="n">
        <v>3</v>
      </c>
      <c r="F110" s="3" t="n">
        <v>2</v>
      </c>
      <c r="G110" s="3" t="s">
        <v>1620</v>
      </c>
      <c r="H110" s="3" t="s">
        <v>1621</v>
      </c>
      <c r="I110" s="4" t="n">
        <v>4091.4</v>
      </c>
      <c r="J110" s="3" t="s">
        <v>1479</v>
      </c>
      <c r="K110" s="6" t="n">
        <v>-13.5010570824524</v>
      </c>
      <c r="L110" s="3" t="s">
        <v>1504</v>
      </c>
      <c r="M110" s="6" t="n">
        <v>-10.0154834483882</v>
      </c>
      <c r="N110" s="3" t="n">
        <v>0</v>
      </c>
      <c r="O110" s="3" t="n">
        <v>3</v>
      </c>
    </row>
    <row r="111" customFormat="false" ht="15" hidden="false" customHeight="false" outlineLevel="0" collapsed="false">
      <c r="A111" s="3" t="s">
        <v>296</v>
      </c>
      <c r="B111" s="3" t="s">
        <v>297</v>
      </c>
      <c r="C111" s="3" t="s">
        <v>288</v>
      </c>
      <c r="D111" s="3" t="s">
        <v>1327</v>
      </c>
      <c r="E111" s="3" t="n">
        <v>8</v>
      </c>
      <c r="F111" s="3" t="n">
        <v>6</v>
      </c>
      <c r="G111" s="3" t="s">
        <v>1622</v>
      </c>
      <c r="H111" s="3" t="s">
        <v>1612</v>
      </c>
      <c r="I111" s="4" t="n">
        <v>2062</v>
      </c>
      <c r="J111" s="3" t="s">
        <v>1479</v>
      </c>
      <c r="K111" s="6" t="n">
        <v>-15.7335512872906</v>
      </c>
      <c r="L111" s="3" t="s">
        <v>1504</v>
      </c>
      <c r="M111" s="6" t="n">
        <v>-5.62712828967571</v>
      </c>
      <c r="N111" s="3" t="n">
        <v>3</v>
      </c>
      <c r="O111" s="3" t="n">
        <v>5</v>
      </c>
    </row>
    <row r="112" customFormat="false" ht="15" hidden="false" customHeight="false" outlineLevel="0" collapsed="false">
      <c r="A112" s="3" t="s">
        <v>346</v>
      </c>
      <c r="B112" s="3" t="s">
        <v>347</v>
      </c>
      <c r="C112" s="3" t="s">
        <v>341</v>
      </c>
      <c r="D112" s="3" t="s">
        <v>1343</v>
      </c>
      <c r="E112" s="3" t="n">
        <v>4</v>
      </c>
      <c r="F112" s="3" t="n">
        <v>4</v>
      </c>
      <c r="G112" s="3" t="s">
        <v>1623</v>
      </c>
      <c r="H112" s="3" t="s">
        <v>1521</v>
      </c>
      <c r="I112" s="4" t="n">
        <v>313</v>
      </c>
      <c r="J112" s="3" t="s">
        <v>1479</v>
      </c>
      <c r="K112" s="6" t="n">
        <v>-15.8262740352293</v>
      </c>
      <c r="L112" s="3" t="s">
        <v>1504</v>
      </c>
      <c r="M112" s="6" t="n">
        <v>-0.852901818299184</v>
      </c>
      <c r="N112" s="3" t="n">
        <v>2</v>
      </c>
      <c r="O112" s="3" t="n">
        <v>2</v>
      </c>
    </row>
    <row r="113" customFormat="false" ht="15" hidden="false" customHeight="false" outlineLevel="0" collapsed="false">
      <c r="A113" s="3" t="s">
        <v>139</v>
      </c>
      <c r="B113" s="3" t="s">
        <v>140</v>
      </c>
      <c r="C113" s="3" t="s">
        <v>129</v>
      </c>
      <c r="D113" s="3" t="s">
        <v>1102</v>
      </c>
      <c r="E113" s="3" t="n">
        <v>7</v>
      </c>
      <c r="F113" s="3" t="n">
        <v>7</v>
      </c>
      <c r="G113" s="3" t="s">
        <v>1624</v>
      </c>
      <c r="H113" s="3" t="s">
        <v>1519</v>
      </c>
      <c r="I113" s="4" t="n">
        <v>2435.6</v>
      </c>
      <c r="J113" s="3" t="s">
        <v>1479</v>
      </c>
      <c r="K113" s="6" t="n">
        <v>-2.6927686775869</v>
      </c>
      <c r="L113" s="3" t="s">
        <v>1504</v>
      </c>
      <c r="M113" s="6" t="n">
        <v>4.40834308857277</v>
      </c>
      <c r="N113" s="3" t="n">
        <v>3</v>
      </c>
      <c r="O113" s="3" t="n">
        <v>4</v>
      </c>
    </row>
    <row r="114" customFormat="false" ht="15" hidden="false" customHeight="false" outlineLevel="0" collapsed="false">
      <c r="A114" s="3" t="s">
        <v>897</v>
      </c>
      <c r="B114" s="3" t="s">
        <v>898</v>
      </c>
      <c r="C114" s="3" t="s">
        <v>888</v>
      </c>
      <c r="D114" s="3" t="s">
        <v>1357</v>
      </c>
      <c r="E114" s="3" t="n">
        <v>3</v>
      </c>
      <c r="F114" s="3" t="n">
        <v>2</v>
      </c>
      <c r="G114" s="3" t="s">
        <v>1625</v>
      </c>
      <c r="H114" s="3" t="s">
        <v>1626</v>
      </c>
      <c r="I114" s="4" t="n">
        <v>813.25</v>
      </c>
      <c r="J114" s="3" t="s">
        <v>1479</v>
      </c>
      <c r="K114" s="6" t="n">
        <v>-7.68488563482604</v>
      </c>
      <c r="L114" s="3" t="s">
        <v>1504</v>
      </c>
      <c r="M114" s="6" t="n">
        <v>2.78877945644477</v>
      </c>
      <c r="N114" s="3" t="n">
        <v>2</v>
      </c>
      <c r="O114" s="3" t="n">
        <v>1</v>
      </c>
    </row>
    <row r="115" customFormat="false" ht="15" hidden="false" customHeight="false" outlineLevel="0" collapsed="false">
      <c r="A115" s="3" t="s">
        <v>480</v>
      </c>
      <c r="B115" s="3" t="s">
        <v>481</v>
      </c>
      <c r="C115" s="3" t="s">
        <v>479</v>
      </c>
      <c r="D115" s="3" t="s">
        <v>1234</v>
      </c>
      <c r="E115" s="3" t="n">
        <v>4</v>
      </c>
      <c r="F115" s="3" t="n">
        <v>4</v>
      </c>
      <c r="G115" s="3" t="s">
        <v>1627</v>
      </c>
      <c r="H115" s="3" t="s">
        <v>1521</v>
      </c>
      <c r="I115" s="4" t="n">
        <v>12008</v>
      </c>
      <c r="J115" s="3" t="s">
        <v>1479</v>
      </c>
      <c r="K115" s="6" t="n">
        <v>-14.9273822174991</v>
      </c>
      <c r="L115" s="3" t="s">
        <v>1504</v>
      </c>
      <c r="M115" s="6" t="n">
        <v>-16.4375765158709</v>
      </c>
      <c r="N115" s="3" t="n">
        <v>0</v>
      </c>
      <c r="O115" s="3" t="n">
        <v>4</v>
      </c>
    </row>
    <row r="116" customFormat="false" ht="15" hidden="false" customHeight="false" outlineLevel="0" collapsed="false">
      <c r="A116" s="3" t="s">
        <v>762</v>
      </c>
      <c r="B116" s="3" t="s">
        <v>763</v>
      </c>
      <c r="C116" s="3" t="s">
        <v>760</v>
      </c>
      <c r="D116" s="3" t="s">
        <v>863</v>
      </c>
      <c r="E116" s="3" t="n">
        <v>2</v>
      </c>
      <c r="F116" s="3" t="n">
        <v>2</v>
      </c>
      <c r="G116" s="3" t="s">
        <v>1628</v>
      </c>
      <c r="H116" s="3" t="s">
        <v>1511</v>
      </c>
      <c r="I116" s="4" t="n">
        <v>1000.1</v>
      </c>
      <c r="J116" s="3" t="s">
        <v>1479</v>
      </c>
      <c r="K116" s="6" t="n">
        <v>3.65878938640133</v>
      </c>
      <c r="L116" s="3" t="s">
        <v>1507</v>
      </c>
      <c r="M116" s="6" t="n">
        <v>0.781915495941735</v>
      </c>
      <c r="N116" s="3" t="n">
        <v>1</v>
      </c>
      <c r="O116" s="3" t="n">
        <v>1</v>
      </c>
    </row>
    <row r="117" customFormat="false" ht="15" hidden="false" customHeight="false" outlineLevel="0" collapsed="false">
      <c r="A117" s="3" t="s">
        <v>80</v>
      </c>
      <c r="B117" s="3" t="s">
        <v>81</v>
      </c>
      <c r="C117" s="3" t="s">
        <v>57</v>
      </c>
      <c r="D117" s="3" t="s">
        <v>1327</v>
      </c>
      <c r="E117" s="3" t="n">
        <v>7</v>
      </c>
      <c r="F117" s="3" t="n">
        <v>7</v>
      </c>
      <c r="G117" s="3" t="s">
        <v>1629</v>
      </c>
      <c r="H117" s="3" t="s">
        <v>1519</v>
      </c>
      <c r="I117" s="4" t="n">
        <v>1444</v>
      </c>
      <c r="J117" s="3" t="s">
        <v>1479</v>
      </c>
      <c r="K117" s="6" t="n">
        <v>-4.69275955382482</v>
      </c>
      <c r="L117" s="3" t="s">
        <v>1504</v>
      </c>
      <c r="M117" s="6" t="n">
        <v>-13.1424900142558</v>
      </c>
      <c r="N117" s="3" t="n">
        <v>0</v>
      </c>
      <c r="O117" s="3" t="n">
        <v>7</v>
      </c>
    </row>
    <row r="118" customFormat="false" ht="15" hidden="false" customHeight="false" outlineLevel="0" collapsed="false">
      <c r="A118" s="3" t="s">
        <v>368</v>
      </c>
      <c r="B118" s="3" t="s">
        <v>369</v>
      </c>
      <c r="C118" s="3" t="s">
        <v>356</v>
      </c>
      <c r="D118" s="3" t="s">
        <v>1343</v>
      </c>
      <c r="E118" s="3" t="n">
        <v>8</v>
      </c>
      <c r="F118" s="3" t="n">
        <v>7</v>
      </c>
      <c r="G118" s="3" t="s">
        <v>1630</v>
      </c>
      <c r="H118" s="3" t="s">
        <v>1528</v>
      </c>
      <c r="I118" s="4" t="n">
        <v>162.37</v>
      </c>
      <c r="J118" s="3" t="s">
        <v>1479</v>
      </c>
      <c r="K118" s="6" t="n">
        <v>7.70812603648425</v>
      </c>
      <c r="L118" s="3" t="s">
        <v>1507</v>
      </c>
      <c r="M118" s="6" t="n">
        <v>29.0587402243339</v>
      </c>
      <c r="N118" s="3" t="n">
        <v>8</v>
      </c>
      <c r="O118" s="3" t="n">
        <v>0</v>
      </c>
    </row>
    <row r="119" customFormat="false" ht="15" hidden="false" customHeight="false" outlineLevel="0" collapsed="false">
      <c r="A119" s="3" t="s">
        <v>1285</v>
      </c>
      <c r="B119" s="3" t="s">
        <v>1286</v>
      </c>
      <c r="C119" s="3" t="s">
        <v>1277</v>
      </c>
      <c r="D119" s="3" t="s">
        <v>1277</v>
      </c>
      <c r="E119" s="3" t="n">
        <v>1</v>
      </c>
      <c r="F119" s="3" t="n">
        <v>1</v>
      </c>
      <c r="G119" s="3" t="s">
        <v>1277</v>
      </c>
      <c r="H119" s="3" t="s">
        <v>1514</v>
      </c>
      <c r="I119" s="4" t="n">
        <v>1011.6</v>
      </c>
      <c r="J119" s="3" t="s">
        <v>1479</v>
      </c>
      <c r="K119" s="6" t="n">
        <v>7.3315649867374</v>
      </c>
      <c r="L119" s="3" t="s">
        <v>1507</v>
      </c>
      <c r="M119" s="6" t="n">
        <v>7.3315649867374</v>
      </c>
      <c r="N119" s="3" t="n">
        <v>1</v>
      </c>
      <c r="O119" s="3" t="n">
        <v>0</v>
      </c>
    </row>
    <row r="120" customFormat="false" ht="15" hidden="false" customHeight="false" outlineLevel="0" collapsed="false">
      <c r="A120" s="3" t="s">
        <v>266</v>
      </c>
      <c r="B120" s="3" t="s">
        <v>267</v>
      </c>
      <c r="C120" s="3" t="s">
        <v>252</v>
      </c>
      <c r="D120" s="3" t="s">
        <v>1438</v>
      </c>
      <c r="E120" s="3" t="n">
        <v>4</v>
      </c>
      <c r="F120" s="3" t="n">
        <v>4</v>
      </c>
      <c r="G120" s="3" t="s">
        <v>1631</v>
      </c>
      <c r="H120" s="3" t="s">
        <v>1521</v>
      </c>
      <c r="I120" s="4" t="n">
        <v>2237.5</v>
      </c>
      <c r="J120" s="3" t="s">
        <v>1479</v>
      </c>
      <c r="K120" s="6" t="n">
        <v>-8.85947046843177</v>
      </c>
      <c r="L120" s="3" t="s">
        <v>1504</v>
      </c>
      <c r="M120" s="6" t="n">
        <v>-9.22588485838476</v>
      </c>
      <c r="N120" s="3" t="n">
        <v>0</v>
      </c>
      <c r="O120" s="3" t="n">
        <v>4</v>
      </c>
    </row>
    <row r="121" customFormat="false" ht="15" hidden="false" customHeight="false" outlineLevel="0" collapsed="false">
      <c r="A121" s="3" t="s">
        <v>541</v>
      </c>
      <c r="B121" s="3" t="s">
        <v>542</v>
      </c>
      <c r="C121" s="3" t="s">
        <v>533</v>
      </c>
      <c r="D121" s="3" t="s">
        <v>1343</v>
      </c>
      <c r="E121" s="3" t="n">
        <v>7</v>
      </c>
      <c r="F121" s="3" t="n">
        <v>6</v>
      </c>
      <c r="G121" s="3" t="s">
        <v>1632</v>
      </c>
      <c r="H121" s="3" t="s">
        <v>1545</v>
      </c>
      <c r="I121" s="4" t="n">
        <v>2760</v>
      </c>
      <c r="J121" s="3" t="s">
        <v>1479</v>
      </c>
      <c r="K121" s="6" t="n">
        <v>-11.5271188613925</v>
      </c>
      <c r="L121" s="3" t="s">
        <v>1504</v>
      </c>
      <c r="M121" s="6" t="n">
        <v>-20.8146112301273</v>
      </c>
      <c r="N121" s="3" t="n">
        <v>0</v>
      </c>
      <c r="O121" s="3" t="n">
        <v>7</v>
      </c>
    </row>
    <row r="122" customFormat="false" ht="15" hidden="false" customHeight="false" outlineLevel="0" collapsed="false">
      <c r="A122" s="3" t="s">
        <v>901</v>
      </c>
      <c r="B122" s="3" t="s">
        <v>902</v>
      </c>
      <c r="C122" s="3" t="s">
        <v>888</v>
      </c>
      <c r="D122" s="3" t="s">
        <v>1415</v>
      </c>
      <c r="E122" s="3" t="n">
        <v>9</v>
      </c>
      <c r="F122" s="3" t="n">
        <v>8</v>
      </c>
      <c r="G122" s="3" t="s">
        <v>1633</v>
      </c>
      <c r="H122" s="3" t="s">
        <v>1552</v>
      </c>
      <c r="I122" s="4" t="n">
        <v>1093.9</v>
      </c>
      <c r="J122" s="3" t="s">
        <v>1479</v>
      </c>
      <c r="K122" s="6" t="n">
        <v>-10.1150369761709</v>
      </c>
      <c r="L122" s="3" t="s">
        <v>1504</v>
      </c>
      <c r="M122" s="6" t="n">
        <v>6.04664580066016</v>
      </c>
      <c r="N122" s="3" t="n">
        <v>6</v>
      </c>
      <c r="O122" s="3" t="n">
        <v>3</v>
      </c>
    </row>
    <row r="123" customFormat="false" ht="15" hidden="false" customHeight="false" outlineLevel="0" collapsed="false">
      <c r="A123" s="3" t="s">
        <v>595</v>
      </c>
      <c r="B123" s="3" t="s">
        <v>596</v>
      </c>
      <c r="C123" s="3" t="s">
        <v>583</v>
      </c>
      <c r="D123" s="3" t="s">
        <v>1408</v>
      </c>
      <c r="E123" s="3" t="n">
        <v>2</v>
      </c>
      <c r="F123" s="3" t="n">
        <v>2</v>
      </c>
      <c r="G123" s="3" t="s">
        <v>1634</v>
      </c>
      <c r="H123" s="3" t="s">
        <v>1511</v>
      </c>
      <c r="I123" s="4" t="n">
        <v>1253.9</v>
      </c>
      <c r="J123" s="3" t="s">
        <v>1479</v>
      </c>
      <c r="K123" s="6" t="n">
        <v>-7.51585779613511</v>
      </c>
      <c r="L123" s="3" t="s">
        <v>1504</v>
      </c>
      <c r="M123" s="6" t="n">
        <v>-7.63831730471755</v>
      </c>
      <c r="N123" s="3" t="n">
        <v>0</v>
      </c>
      <c r="O123" s="3" t="n">
        <v>2</v>
      </c>
    </row>
    <row r="124" customFormat="false" ht="15" hidden="false" customHeight="false" outlineLevel="0" collapsed="false">
      <c r="A124" s="3" t="s">
        <v>269</v>
      </c>
      <c r="B124" s="3" t="s">
        <v>270</v>
      </c>
      <c r="C124" s="3" t="s">
        <v>252</v>
      </c>
      <c r="D124" s="3" t="s">
        <v>252</v>
      </c>
      <c r="E124" s="3" t="n">
        <v>1</v>
      </c>
      <c r="F124" s="3" t="n">
        <v>1</v>
      </c>
      <c r="G124" s="3" t="s">
        <v>252</v>
      </c>
      <c r="H124" s="3" t="s">
        <v>1514</v>
      </c>
      <c r="I124" s="4" t="n">
        <v>80.21</v>
      </c>
      <c r="J124" s="3" t="s">
        <v>1479</v>
      </c>
      <c r="K124" s="6" t="n">
        <v>-30.3853497656657</v>
      </c>
      <c r="L124" s="3" t="s">
        <v>1504</v>
      </c>
      <c r="M124" s="6" t="n">
        <v>-30.3853497656657</v>
      </c>
      <c r="N124" s="3" t="n">
        <v>0</v>
      </c>
      <c r="O124" s="3" t="n">
        <v>1</v>
      </c>
    </row>
    <row r="125" customFormat="false" ht="15" hidden="false" customHeight="false" outlineLevel="0" collapsed="false">
      <c r="A125" s="3" t="s">
        <v>544</v>
      </c>
      <c r="B125" s="3" t="s">
        <v>545</v>
      </c>
      <c r="C125" s="3" t="s">
        <v>533</v>
      </c>
      <c r="D125" s="3" t="s">
        <v>1445</v>
      </c>
      <c r="E125" s="3" t="n">
        <v>4</v>
      </c>
      <c r="F125" s="3" t="n">
        <v>4</v>
      </c>
      <c r="G125" s="3" t="s">
        <v>1635</v>
      </c>
      <c r="H125" s="3" t="s">
        <v>1521</v>
      </c>
      <c r="I125" s="4" t="n">
        <v>1346</v>
      </c>
      <c r="J125" s="3" t="s">
        <v>1479</v>
      </c>
      <c r="K125" s="6" t="n">
        <v>-10.056799198129</v>
      </c>
      <c r="L125" s="3" t="s">
        <v>1504</v>
      </c>
      <c r="M125" s="6" t="n">
        <v>3.69142919876889</v>
      </c>
      <c r="N125" s="3" t="n">
        <v>3</v>
      </c>
      <c r="O125" s="3" t="n">
        <v>1</v>
      </c>
    </row>
    <row r="126" customFormat="false" ht="15" hidden="false" customHeight="false" outlineLevel="0" collapsed="false">
      <c r="A126" s="3" t="s">
        <v>845</v>
      </c>
      <c r="B126" s="3" t="s">
        <v>846</v>
      </c>
      <c r="C126" s="3" t="s">
        <v>844</v>
      </c>
      <c r="D126" s="3" t="s">
        <v>1012</v>
      </c>
      <c r="E126" s="3" t="n">
        <v>2</v>
      </c>
      <c r="F126" s="3" t="n">
        <v>2</v>
      </c>
      <c r="G126" s="3" t="s">
        <v>1636</v>
      </c>
      <c r="H126" s="3" t="s">
        <v>1511</v>
      </c>
      <c r="I126" s="4" t="n">
        <v>74.5</v>
      </c>
      <c r="J126" s="3" t="s">
        <v>1479</v>
      </c>
      <c r="K126" s="6" t="n">
        <v>-10.842508377214</v>
      </c>
      <c r="L126" s="3" t="s">
        <v>1504</v>
      </c>
      <c r="M126" s="6" t="n">
        <v>-5.93274615087615</v>
      </c>
      <c r="N126" s="3" t="n">
        <v>0</v>
      </c>
      <c r="O126" s="3" t="n">
        <v>2</v>
      </c>
    </row>
    <row r="127" customFormat="false" ht="15" hidden="false" customHeight="false" outlineLevel="0" collapsed="false">
      <c r="A127" s="3" t="s">
        <v>114</v>
      </c>
      <c r="B127" s="3" t="s">
        <v>115</v>
      </c>
      <c r="C127" s="3" t="s">
        <v>89</v>
      </c>
      <c r="D127" s="3" t="s">
        <v>1369</v>
      </c>
      <c r="E127" s="3" t="n">
        <v>9</v>
      </c>
      <c r="F127" s="3" t="n">
        <v>7</v>
      </c>
      <c r="G127" s="3" t="s">
        <v>1637</v>
      </c>
      <c r="H127" s="3" t="s">
        <v>1588</v>
      </c>
      <c r="I127" s="4" t="n">
        <v>77.43</v>
      </c>
      <c r="J127" s="3" t="s">
        <v>1479</v>
      </c>
      <c r="K127" s="6" t="n">
        <v>-9.75524475524474</v>
      </c>
      <c r="L127" s="3" t="s">
        <v>1504</v>
      </c>
      <c r="M127" s="6" t="n">
        <v>-4.46446458623739</v>
      </c>
      <c r="N127" s="3" t="n">
        <v>3</v>
      </c>
      <c r="O127" s="3" t="n">
        <v>6</v>
      </c>
    </row>
    <row r="128" customFormat="false" ht="15" hidden="false" customHeight="false" outlineLevel="0" collapsed="false">
      <c r="A128" s="3" t="s">
        <v>272</v>
      </c>
      <c r="B128" s="3" t="s">
        <v>273</v>
      </c>
      <c r="C128" s="3" t="s">
        <v>252</v>
      </c>
      <c r="D128" s="3" t="s">
        <v>1369</v>
      </c>
      <c r="E128" s="3" t="n">
        <v>11</v>
      </c>
      <c r="F128" s="3" t="n">
        <v>8</v>
      </c>
      <c r="G128" s="3" t="s">
        <v>1638</v>
      </c>
      <c r="H128" s="3" t="s">
        <v>1639</v>
      </c>
      <c r="I128" s="4" t="n">
        <v>321.1</v>
      </c>
      <c r="J128" s="3" t="s">
        <v>1479</v>
      </c>
      <c r="K128" s="6" t="n">
        <v>-8.23092312089167</v>
      </c>
      <c r="L128" s="3" t="s">
        <v>1504</v>
      </c>
      <c r="M128" s="6" t="n">
        <v>-12.7144390331754</v>
      </c>
      <c r="N128" s="3" t="n">
        <v>0</v>
      </c>
      <c r="O128" s="3" t="n">
        <v>11</v>
      </c>
    </row>
    <row r="129" customFormat="false" ht="15" hidden="false" customHeight="false" outlineLevel="0" collapsed="false">
      <c r="A129" s="3" t="s">
        <v>414</v>
      </c>
      <c r="B129" s="3" t="s">
        <v>415</v>
      </c>
      <c r="C129" s="3" t="s">
        <v>412</v>
      </c>
      <c r="D129" s="3" t="s">
        <v>1074</v>
      </c>
      <c r="E129" s="3" t="n">
        <v>4</v>
      </c>
      <c r="F129" s="3" t="n">
        <v>4</v>
      </c>
      <c r="G129" s="3" t="s">
        <v>1640</v>
      </c>
      <c r="H129" s="3" t="s">
        <v>1521</v>
      </c>
      <c r="I129" s="4" t="n">
        <v>1640.6</v>
      </c>
      <c r="J129" s="3" t="s">
        <v>1479</v>
      </c>
      <c r="K129" s="6" t="n">
        <v>11.2648355374703</v>
      </c>
      <c r="L129" s="3" t="s">
        <v>1507</v>
      </c>
      <c r="M129" s="6" t="n">
        <v>-1.53113492712363</v>
      </c>
      <c r="N129" s="3" t="n">
        <v>3</v>
      </c>
      <c r="O129" s="3" t="n">
        <v>1</v>
      </c>
    </row>
    <row r="130" customFormat="false" ht="15" hidden="false" customHeight="false" outlineLevel="0" collapsed="false">
      <c r="A130" s="3" t="s">
        <v>765</v>
      </c>
      <c r="B130" s="3" t="s">
        <v>766</v>
      </c>
      <c r="C130" s="3" t="s">
        <v>760</v>
      </c>
      <c r="D130" s="3" t="s">
        <v>1338</v>
      </c>
      <c r="E130" s="3" t="n">
        <v>8</v>
      </c>
      <c r="F130" s="3" t="n">
        <v>6</v>
      </c>
      <c r="G130" s="3" t="s">
        <v>1641</v>
      </c>
      <c r="H130" s="3" t="s">
        <v>1612</v>
      </c>
      <c r="I130" s="4" t="n">
        <v>325.5</v>
      </c>
      <c r="J130" s="3" t="s">
        <v>1479</v>
      </c>
      <c r="K130" s="6" t="n">
        <v>-2.47191011235955</v>
      </c>
      <c r="L130" s="3" t="s">
        <v>1504</v>
      </c>
      <c r="M130" s="6" t="n">
        <v>19.1406209507571</v>
      </c>
      <c r="N130" s="3" t="n">
        <v>7</v>
      </c>
      <c r="O130" s="3" t="n">
        <v>1</v>
      </c>
    </row>
    <row r="131" customFormat="false" ht="15" hidden="false" customHeight="false" outlineLevel="0" collapsed="false">
      <c r="A131" s="3" t="s">
        <v>1142</v>
      </c>
      <c r="B131" s="3" t="s">
        <v>1143</v>
      </c>
      <c r="C131" s="3" t="s">
        <v>1129</v>
      </c>
      <c r="D131" s="3" t="s">
        <v>1261</v>
      </c>
      <c r="E131" s="3" t="n">
        <v>5</v>
      </c>
      <c r="F131" s="3" t="n">
        <v>3</v>
      </c>
      <c r="G131" s="3" t="s">
        <v>1642</v>
      </c>
      <c r="H131" s="3" t="s">
        <v>1506</v>
      </c>
      <c r="I131" s="4" t="n">
        <v>1830</v>
      </c>
      <c r="J131" s="3" t="s">
        <v>1479</v>
      </c>
      <c r="K131" s="6" t="n">
        <v>-6.31719053957203</v>
      </c>
      <c r="L131" s="3" t="s">
        <v>1504</v>
      </c>
      <c r="M131" s="6" t="n">
        <v>6.12288027838526</v>
      </c>
      <c r="N131" s="3" t="n">
        <v>4</v>
      </c>
      <c r="O131" s="3" t="n">
        <v>1</v>
      </c>
    </row>
    <row r="132" customFormat="false" ht="15" hidden="false" customHeight="false" outlineLevel="0" collapsed="false">
      <c r="A132" s="3" t="s">
        <v>1036</v>
      </c>
      <c r="B132" s="3" t="s">
        <v>1037</v>
      </c>
      <c r="C132" s="3" t="s">
        <v>1035</v>
      </c>
      <c r="D132" s="3" t="s">
        <v>1445</v>
      </c>
      <c r="E132" s="3" t="n">
        <v>2</v>
      </c>
      <c r="F132" s="3" t="n">
        <v>2</v>
      </c>
      <c r="G132" s="3" t="s">
        <v>1643</v>
      </c>
      <c r="H132" s="3" t="s">
        <v>1511</v>
      </c>
      <c r="I132" s="4" t="n">
        <v>10800</v>
      </c>
      <c r="J132" s="3" t="s">
        <v>1479</v>
      </c>
      <c r="K132" s="6" t="n">
        <v>-13.8755980861244</v>
      </c>
      <c r="L132" s="3" t="s">
        <v>1504</v>
      </c>
      <c r="M132" s="6" t="n">
        <v>9.87321240141661</v>
      </c>
      <c r="N132" s="3" t="n">
        <v>1</v>
      </c>
      <c r="O132" s="3" t="n">
        <v>1</v>
      </c>
    </row>
    <row r="133" customFormat="false" ht="15" hidden="false" customHeight="false" outlineLevel="0" collapsed="false">
      <c r="A133" s="3" t="s">
        <v>629</v>
      </c>
      <c r="B133" s="3" t="s">
        <v>630</v>
      </c>
      <c r="C133" s="3" t="s">
        <v>626</v>
      </c>
      <c r="D133" s="3" t="s">
        <v>1300</v>
      </c>
      <c r="E133" s="3" t="n">
        <v>2</v>
      </c>
      <c r="F133" s="3" t="n">
        <v>2</v>
      </c>
      <c r="G133" s="3" t="s">
        <v>1644</v>
      </c>
      <c r="H133" s="3" t="s">
        <v>1511</v>
      </c>
      <c r="I133" s="4" t="n">
        <v>468</v>
      </c>
      <c r="J133" s="3" t="s">
        <v>1479</v>
      </c>
      <c r="K133" s="6" t="n">
        <v>6.09839038766719</v>
      </c>
      <c r="L133" s="3" t="s">
        <v>1507</v>
      </c>
      <c r="M133" s="6" t="n">
        <v>5.2929996144632</v>
      </c>
      <c r="N133" s="3" t="n">
        <v>2</v>
      </c>
      <c r="O133" s="3" t="n">
        <v>0</v>
      </c>
    </row>
    <row r="134" customFormat="false" ht="15" hidden="false" customHeight="false" outlineLevel="0" collapsed="false">
      <c r="A134" s="3" t="s">
        <v>619</v>
      </c>
      <c r="B134" s="3" t="s">
        <v>620</v>
      </c>
      <c r="C134" s="3" t="s">
        <v>616</v>
      </c>
      <c r="D134" s="3" t="s">
        <v>1261</v>
      </c>
      <c r="E134" s="3" t="n">
        <v>3</v>
      </c>
      <c r="F134" s="3" t="n">
        <v>2</v>
      </c>
      <c r="G134" s="3" t="s">
        <v>1645</v>
      </c>
      <c r="H134" s="3" t="s">
        <v>1626</v>
      </c>
      <c r="I134" s="4" t="n">
        <v>230</v>
      </c>
      <c r="J134" s="3" t="s">
        <v>1479</v>
      </c>
      <c r="K134" s="6" t="n">
        <v>-5.69905699056991</v>
      </c>
      <c r="L134" s="3" t="s">
        <v>1504</v>
      </c>
      <c r="M134" s="6" t="n">
        <v>-4.59138763398647</v>
      </c>
      <c r="N134" s="3" t="n">
        <v>0</v>
      </c>
      <c r="O134" s="3" t="n">
        <v>3</v>
      </c>
    </row>
    <row r="135" customFormat="false" ht="15" hidden="false" customHeight="false" outlineLevel="0" collapsed="false">
      <c r="A135" s="3" t="s">
        <v>633</v>
      </c>
      <c r="B135" s="3" t="s">
        <v>634</v>
      </c>
      <c r="C135" s="3" t="s">
        <v>626</v>
      </c>
      <c r="D135" s="3" t="s">
        <v>987</v>
      </c>
      <c r="E135" s="3" t="n">
        <v>3</v>
      </c>
      <c r="F135" s="3" t="n">
        <v>3</v>
      </c>
      <c r="G135" s="3" t="s">
        <v>1646</v>
      </c>
      <c r="H135" s="3" t="s">
        <v>1509</v>
      </c>
      <c r="I135" s="4" t="n">
        <v>37500</v>
      </c>
      <c r="J135" s="3" t="s">
        <v>1479</v>
      </c>
      <c r="K135" s="6" t="n">
        <v>2.65535176567205</v>
      </c>
      <c r="L135" s="3" t="s">
        <v>1507</v>
      </c>
      <c r="M135" s="6" t="n">
        <v>7.34670727422414</v>
      </c>
      <c r="N135" s="3" t="n">
        <v>3</v>
      </c>
      <c r="O135" s="3" t="n">
        <v>0</v>
      </c>
    </row>
    <row r="136" customFormat="false" ht="15" hidden="false" customHeight="false" outlineLevel="0" collapsed="false">
      <c r="A136" s="3" t="s">
        <v>275</v>
      </c>
      <c r="B136" s="3" t="s">
        <v>276</v>
      </c>
      <c r="C136" s="3" t="s">
        <v>252</v>
      </c>
      <c r="D136" s="3" t="s">
        <v>1090</v>
      </c>
      <c r="E136" s="3" t="n">
        <v>5</v>
      </c>
      <c r="F136" s="3" t="n">
        <v>5</v>
      </c>
      <c r="G136" s="3" t="s">
        <v>1647</v>
      </c>
      <c r="H136" s="3" t="s">
        <v>1533</v>
      </c>
      <c r="I136" s="4" t="n">
        <v>390.8</v>
      </c>
      <c r="J136" s="3" t="s">
        <v>1479</v>
      </c>
      <c r="K136" s="6" t="n">
        <v>-12.5041979178328</v>
      </c>
      <c r="L136" s="3" t="s">
        <v>1504</v>
      </c>
      <c r="M136" s="6" t="n">
        <v>-21.6955240713523</v>
      </c>
      <c r="N136" s="3" t="n">
        <v>0</v>
      </c>
      <c r="O136" s="3" t="n">
        <v>5</v>
      </c>
    </row>
    <row r="137" customFormat="false" ht="15" hidden="false" customHeight="false" outlineLevel="0" collapsed="false">
      <c r="A137" s="3" t="s">
        <v>352</v>
      </c>
      <c r="B137" s="3" t="s">
        <v>353</v>
      </c>
      <c r="C137" s="3" t="s">
        <v>350</v>
      </c>
      <c r="D137" s="3" t="s">
        <v>425</v>
      </c>
      <c r="E137" s="3" t="n">
        <v>2</v>
      </c>
      <c r="F137" s="3" t="n">
        <v>2</v>
      </c>
      <c r="G137" s="3" t="s">
        <v>1648</v>
      </c>
      <c r="H137" s="3" t="s">
        <v>1511</v>
      </c>
      <c r="I137" s="4" t="n">
        <v>5328.5</v>
      </c>
      <c r="J137" s="3" t="s">
        <v>1479</v>
      </c>
      <c r="K137" s="6" t="n">
        <v>-17.4132052076875</v>
      </c>
      <c r="L137" s="3" t="s">
        <v>1504</v>
      </c>
      <c r="M137" s="6" t="n">
        <v>-14.5306782131955</v>
      </c>
      <c r="N137" s="3" t="n">
        <v>0</v>
      </c>
      <c r="O137" s="3" t="n">
        <v>2</v>
      </c>
    </row>
    <row r="138" customFormat="false" ht="15" hidden="false" customHeight="false" outlineLevel="0" collapsed="false">
      <c r="A138" s="3" t="s">
        <v>117</v>
      </c>
      <c r="B138" s="3" t="s">
        <v>118</v>
      </c>
      <c r="C138" s="3" t="s">
        <v>89</v>
      </c>
      <c r="D138" s="3" t="s">
        <v>1445</v>
      </c>
      <c r="E138" s="3" t="n">
        <v>7</v>
      </c>
      <c r="F138" s="3" t="n">
        <v>6</v>
      </c>
      <c r="G138" s="3" t="s">
        <v>1649</v>
      </c>
      <c r="H138" s="3" t="s">
        <v>1545</v>
      </c>
      <c r="I138" s="4" t="n">
        <v>289.85</v>
      </c>
      <c r="J138" s="3" t="s">
        <v>1479</v>
      </c>
      <c r="K138" s="6" t="n">
        <v>-3.57618097139055</v>
      </c>
      <c r="L138" s="3" t="s">
        <v>1504</v>
      </c>
      <c r="M138" s="6" t="n">
        <v>1.78347979089724</v>
      </c>
      <c r="N138" s="3" t="n">
        <v>5</v>
      </c>
      <c r="O138" s="3" t="n">
        <v>2</v>
      </c>
    </row>
    <row r="139" customFormat="false" ht="15" hidden="false" customHeight="false" outlineLevel="0" collapsed="false">
      <c r="A139" s="3" t="s">
        <v>120</v>
      </c>
      <c r="B139" s="3" t="s">
        <v>121</v>
      </c>
      <c r="C139" s="3" t="s">
        <v>89</v>
      </c>
      <c r="D139" s="3" t="s">
        <v>1327</v>
      </c>
      <c r="E139" s="3" t="n">
        <v>7</v>
      </c>
      <c r="F139" s="3" t="n">
        <v>6</v>
      </c>
      <c r="G139" s="3" t="s">
        <v>1650</v>
      </c>
      <c r="H139" s="3" t="s">
        <v>1545</v>
      </c>
      <c r="I139" s="4" t="n">
        <v>330</v>
      </c>
      <c r="J139" s="3" t="s">
        <v>1479</v>
      </c>
      <c r="K139" s="6" t="n">
        <v>-22.7347225474128</v>
      </c>
      <c r="L139" s="3" t="s">
        <v>1504</v>
      </c>
      <c r="M139" s="6" t="n">
        <v>-18.8261530675628</v>
      </c>
      <c r="N139" s="3" t="n">
        <v>0</v>
      </c>
      <c r="O139" s="3" t="n">
        <v>7</v>
      </c>
    </row>
    <row r="140" customFormat="false" ht="15" hidden="false" customHeight="false" outlineLevel="0" collapsed="false">
      <c r="A140" s="3" t="s">
        <v>237</v>
      </c>
      <c r="B140" s="3" t="s">
        <v>238</v>
      </c>
      <c r="C140" s="3" t="s">
        <v>226</v>
      </c>
      <c r="D140" s="3" t="s">
        <v>1251</v>
      </c>
      <c r="E140" s="3" t="n">
        <v>10</v>
      </c>
      <c r="F140" s="3" t="n">
        <v>9</v>
      </c>
      <c r="G140" s="3" t="s">
        <v>1651</v>
      </c>
      <c r="H140" s="3" t="s">
        <v>1652</v>
      </c>
      <c r="I140" s="4" t="n">
        <v>1952.2</v>
      </c>
      <c r="J140" s="3" t="s">
        <v>1479</v>
      </c>
      <c r="K140" s="6" t="n">
        <v>-4.65911310802891</v>
      </c>
      <c r="L140" s="3" t="s">
        <v>1504</v>
      </c>
      <c r="M140" s="6" t="n">
        <v>7.60959912493114</v>
      </c>
      <c r="N140" s="3" t="n">
        <v>9</v>
      </c>
      <c r="O140" s="3" t="n">
        <v>1</v>
      </c>
    </row>
    <row r="141" customFormat="false" ht="15" hidden="false" customHeight="false" outlineLevel="0" collapsed="false">
      <c r="A141" s="3" t="s">
        <v>164</v>
      </c>
      <c r="B141" s="3" t="s">
        <v>165</v>
      </c>
      <c r="C141" s="3" t="s">
        <v>163</v>
      </c>
      <c r="D141" s="3" t="s">
        <v>1318</v>
      </c>
      <c r="E141" s="3" t="n">
        <v>10</v>
      </c>
      <c r="F141" s="3" t="n">
        <v>9</v>
      </c>
      <c r="G141" s="3" t="s">
        <v>1653</v>
      </c>
      <c r="H141" s="3" t="s">
        <v>1652</v>
      </c>
      <c r="I141" s="4" t="n">
        <v>1503</v>
      </c>
      <c r="J141" s="3" t="s">
        <v>1479</v>
      </c>
      <c r="K141" s="6" t="n">
        <v>-4.02911691462869</v>
      </c>
      <c r="L141" s="3" t="s">
        <v>1504</v>
      </c>
      <c r="M141" s="6" t="n">
        <v>0.0549389486544084</v>
      </c>
      <c r="N141" s="3" t="n">
        <v>4</v>
      </c>
      <c r="O141" s="3" t="n">
        <v>6</v>
      </c>
    </row>
    <row r="142" customFormat="false" ht="15" hidden="false" customHeight="false" outlineLevel="0" collapsed="false">
      <c r="A142" s="3" t="s">
        <v>876</v>
      </c>
      <c r="B142" s="3" t="s">
        <v>877</v>
      </c>
      <c r="C142" s="3" t="s">
        <v>863</v>
      </c>
      <c r="D142" s="3" t="s">
        <v>1369</v>
      </c>
      <c r="E142" s="3" t="n">
        <v>4</v>
      </c>
      <c r="F142" s="3" t="n">
        <v>4</v>
      </c>
      <c r="G142" s="3" t="s">
        <v>1654</v>
      </c>
      <c r="H142" s="3" t="s">
        <v>1521</v>
      </c>
      <c r="I142" s="4" t="n">
        <v>2349</v>
      </c>
      <c r="J142" s="3" t="s">
        <v>1479</v>
      </c>
      <c r="K142" s="6" t="n">
        <v>-16.4056939501779</v>
      </c>
      <c r="L142" s="3" t="s">
        <v>1504</v>
      </c>
      <c r="M142" s="6" t="n">
        <v>-20.909427646394</v>
      </c>
      <c r="N142" s="3" t="n">
        <v>0</v>
      </c>
      <c r="O142" s="3" t="n">
        <v>4</v>
      </c>
    </row>
    <row r="143" customFormat="false" ht="15" hidden="false" customHeight="false" outlineLevel="0" collapsed="false">
      <c r="A143" s="3" t="s">
        <v>123</v>
      </c>
      <c r="B143" s="3" t="s">
        <v>124</v>
      </c>
      <c r="C143" s="3" t="s">
        <v>89</v>
      </c>
      <c r="D143" s="3" t="s">
        <v>89</v>
      </c>
      <c r="E143" s="3" t="n">
        <v>1</v>
      </c>
      <c r="F143" s="3" t="n">
        <v>1</v>
      </c>
      <c r="G143" s="3" t="s">
        <v>89</v>
      </c>
      <c r="H143" s="3" t="s">
        <v>1514</v>
      </c>
      <c r="I143" s="4" t="n">
        <v>112.6</v>
      </c>
      <c r="J143" s="3" t="s">
        <v>1479</v>
      </c>
      <c r="K143" s="6" t="n">
        <v>-1.54760863862902</v>
      </c>
      <c r="L143" s="3" t="s">
        <v>1504</v>
      </c>
      <c r="M143" s="6" t="n">
        <v>-1.54760863862902</v>
      </c>
      <c r="N143" s="3" t="n">
        <v>0</v>
      </c>
      <c r="O143" s="3" t="n">
        <v>1</v>
      </c>
    </row>
    <row r="144" customFormat="false" ht="15" hidden="false" customHeight="false" outlineLevel="0" collapsed="false">
      <c r="A144" s="3" t="s">
        <v>441</v>
      </c>
      <c r="B144" s="3" t="s">
        <v>442</v>
      </c>
      <c r="C144" s="3" t="s">
        <v>436</v>
      </c>
      <c r="D144" s="3" t="s">
        <v>1251</v>
      </c>
      <c r="E144" s="3" t="n">
        <v>6</v>
      </c>
      <c r="F144" s="3" t="n">
        <v>6</v>
      </c>
      <c r="G144" s="3" t="s">
        <v>1655</v>
      </c>
      <c r="H144" s="3" t="s">
        <v>1525</v>
      </c>
      <c r="I144" s="4" t="n">
        <v>1085</v>
      </c>
      <c r="J144" s="3" t="s">
        <v>1479</v>
      </c>
      <c r="K144" s="6" t="n">
        <v>1.93536264562194</v>
      </c>
      <c r="L144" s="3" t="s">
        <v>1507</v>
      </c>
      <c r="M144" s="6" t="n">
        <v>21.7868401324821</v>
      </c>
      <c r="N144" s="3" t="n">
        <v>6</v>
      </c>
      <c r="O144" s="3" t="n">
        <v>0</v>
      </c>
    </row>
    <row r="145" customFormat="false" ht="15" hidden="false" customHeight="false" outlineLevel="0" collapsed="false">
      <c r="A145" s="3" t="s">
        <v>388</v>
      </c>
      <c r="B145" s="3" t="s">
        <v>389</v>
      </c>
      <c r="C145" s="3" t="s">
        <v>387</v>
      </c>
      <c r="D145" s="3" t="s">
        <v>1227</v>
      </c>
      <c r="E145" s="3" t="n">
        <v>6</v>
      </c>
      <c r="F145" s="3" t="n">
        <v>4</v>
      </c>
      <c r="G145" s="3" t="s">
        <v>1656</v>
      </c>
      <c r="H145" s="3" t="s">
        <v>1578</v>
      </c>
      <c r="I145" s="4" t="n">
        <v>1151.3</v>
      </c>
      <c r="J145" s="3" t="s">
        <v>1479</v>
      </c>
      <c r="K145" s="6" t="n">
        <v>-31.0103068072867</v>
      </c>
      <c r="L145" s="3" t="s">
        <v>1504</v>
      </c>
      <c r="M145" s="6" t="n">
        <v>-33.4654459406268</v>
      </c>
      <c r="N145" s="3" t="n">
        <v>0</v>
      </c>
      <c r="O145" s="3" t="n">
        <v>6</v>
      </c>
    </row>
    <row r="146" customFormat="false" ht="15" hidden="false" customHeight="false" outlineLevel="0" collapsed="false">
      <c r="A146" s="3" t="s">
        <v>859</v>
      </c>
      <c r="B146" s="3" t="s">
        <v>860</v>
      </c>
      <c r="C146" s="3" t="s">
        <v>852</v>
      </c>
      <c r="D146" s="3" t="s">
        <v>1058</v>
      </c>
      <c r="E146" s="3" t="n">
        <v>3</v>
      </c>
      <c r="F146" s="3" t="n">
        <v>3</v>
      </c>
      <c r="G146" s="3" t="s">
        <v>1657</v>
      </c>
      <c r="H146" s="3" t="s">
        <v>1509</v>
      </c>
      <c r="I146" s="4" t="n">
        <v>8191</v>
      </c>
      <c r="J146" s="3" t="s">
        <v>1479</v>
      </c>
      <c r="K146" s="6" t="n">
        <v>-2.66769651238786</v>
      </c>
      <c r="L146" s="3" t="s">
        <v>1504</v>
      </c>
      <c r="M146" s="6" t="n">
        <v>5.39115542564237</v>
      </c>
      <c r="N146" s="3" t="n">
        <v>2</v>
      </c>
      <c r="O146" s="3" t="n">
        <v>1</v>
      </c>
    </row>
    <row r="147" customFormat="false" ht="15" hidden="false" customHeight="false" outlineLevel="0" collapsed="false">
      <c r="A147" s="3" t="s">
        <v>529</v>
      </c>
      <c r="B147" s="3" t="s">
        <v>530</v>
      </c>
      <c r="C147" s="3" t="s">
        <v>512</v>
      </c>
      <c r="D147" s="3" t="s">
        <v>863</v>
      </c>
      <c r="E147" s="3" t="n">
        <v>5</v>
      </c>
      <c r="F147" s="3" t="n">
        <v>3</v>
      </c>
      <c r="G147" s="3" t="s">
        <v>1658</v>
      </c>
      <c r="H147" s="3" t="s">
        <v>1506</v>
      </c>
      <c r="I147" s="4" t="n">
        <v>261.85</v>
      </c>
      <c r="J147" s="3" t="s">
        <v>1479</v>
      </c>
      <c r="K147" s="6" t="n">
        <v>-12.0127688172043</v>
      </c>
      <c r="L147" s="3" t="s">
        <v>1504</v>
      </c>
      <c r="M147" s="6" t="n">
        <v>-3.5343205327637</v>
      </c>
      <c r="N147" s="3" t="n">
        <v>2</v>
      </c>
      <c r="O147" s="3" t="n">
        <v>3</v>
      </c>
    </row>
    <row r="148" customFormat="false" ht="15" hidden="false" customHeight="false" outlineLevel="0" collapsed="false">
      <c r="A148" s="3" t="s">
        <v>768</v>
      </c>
      <c r="B148" s="3" t="s">
        <v>769</v>
      </c>
      <c r="C148" s="3" t="s">
        <v>760</v>
      </c>
      <c r="D148" s="3" t="s">
        <v>760</v>
      </c>
      <c r="E148" s="3" t="n">
        <v>1</v>
      </c>
      <c r="F148" s="3" t="n">
        <v>1</v>
      </c>
      <c r="G148" s="3" t="s">
        <v>760</v>
      </c>
      <c r="H148" s="3" t="s">
        <v>1514</v>
      </c>
      <c r="I148" s="4" t="n">
        <v>206.59</v>
      </c>
      <c r="J148" s="3" t="s">
        <v>1479</v>
      </c>
      <c r="K148" s="6" t="n">
        <v>26.416595275976</v>
      </c>
      <c r="L148" s="3" t="s">
        <v>1507</v>
      </c>
      <c r="M148" s="6" t="n">
        <v>26.416595275976</v>
      </c>
      <c r="N148" s="3" t="n">
        <v>1</v>
      </c>
      <c r="O148" s="3" t="n">
        <v>0</v>
      </c>
    </row>
    <row r="149" customFormat="false" ht="15" hidden="false" customHeight="false" outlineLevel="0" collapsed="false">
      <c r="A149" s="3" t="s">
        <v>907</v>
      </c>
      <c r="B149" s="3" t="s">
        <v>908</v>
      </c>
      <c r="C149" s="3" t="s">
        <v>888</v>
      </c>
      <c r="D149" s="3" t="s">
        <v>1012</v>
      </c>
      <c r="E149" s="3" t="n">
        <v>2</v>
      </c>
      <c r="F149" s="3" t="n">
        <v>2</v>
      </c>
      <c r="G149" s="3" t="s">
        <v>1659</v>
      </c>
      <c r="H149" s="3" t="s">
        <v>1511</v>
      </c>
      <c r="I149" s="4" t="n">
        <v>906</v>
      </c>
      <c r="J149" s="3" t="s">
        <v>1479</v>
      </c>
      <c r="K149" s="6" t="n">
        <v>-12.4299246085444</v>
      </c>
      <c r="L149" s="3" t="s">
        <v>1504</v>
      </c>
      <c r="M149" s="6" t="n">
        <v>-7.905268372311</v>
      </c>
      <c r="N149" s="3" t="n">
        <v>0</v>
      </c>
      <c r="O149" s="3" t="n">
        <v>2</v>
      </c>
    </row>
    <row r="150" customFormat="false" ht="15" hidden="false" customHeight="false" outlineLevel="0" collapsed="false">
      <c r="A150" s="3" t="s">
        <v>550</v>
      </c>
      <c r="B150" s="3" t="s">
        <v>551</v>
      </c>
      <c r="C150" s="3" t="s">
        <v>533</v>
      </c>
      <c r="D150" s="3" t="s">
        <v>1465</v>
      </c>
      <c r="E150" s="3" t="n">
        <v>7</v>
      </c>
      <c r="F150" s="3" t="n">
        <v>6</v>
      </c>
      <c r="G150" s="3" t="s">
        <v>1660</v>
      </c>
      <c r="H150" s="3" t="s">
        <v>1545</v>
      </c>
      <c r="I150" s="4" t="n">
        <v>1470.8</v>
      </c>
      <c r="J150" s="3" t="s">
        <v>1479</v>
      </c>
      <c r="K150" s="6" t="n">
        <v>-8.94006934125805</v>
      </c>
      <c r="L150" s="3" t="s">
        <v>1504</v>
      </c>
      <c r="M150" s="6" t="n">
        <v>4.99154863752944</v>
      </c>
      <c r="N150" s="3" t="n">
        <v>3</v>
      </c>
      <c r="O150" s="3" t="n">
        <v>4</v>
      </c>
    </row>
    <row r="151" customFormat="false" ht="15" hidden="false" customHeight="false" outlineLevel="0" collapsed="false">
      <c r="A151" s="3" t="s">
        <v>1145</v>
      </c>
      <c r="B151" s="3" t="s">
        <v>1146</v>
      </c>
      <c r="C151" s="3" t="s">
        <v>1129</v>
      </c>
      <c r="D151" s="3" t="s">
        <v>1321</v>
      </c>
      <c r="E151" s="3" t="n">
        <v>3</v>
      </c>
      <c r="F151" s="3" t="n">
        <v>3</v>
      </c>
      <c r="G151" s="3" t="s">
        <v>1661</v>
      </c>
      <c r="H151" s="3" t="s">
        <v>1509</v>
      </c>
      <c r="I151" s="4" t="n">
        <v>4478.3</v>
      </c>
      <c r="J151" s="3" t="s">
        <v>1479</v>
      </c>
      <c r="K151" s="6" t="n">
        <v>8.37043848610978</v>
      </c>
      <c r="L151" s="3" t="s">
        <v>1507</v>
      </c>
      <c r="M151" s="6" t="n">
        <v>19.0028782317586</v>
      </c>
      <c r="N151" s="3" t="n">
        <v>3</v>
      </c>
      <c r="O151" s="3" t="n">
        <v>0</v>
      </c>
    </row>
    <row r="152" customFormat="false" ht="15" hidden="false" customHeight="false" outlineLevel="0" collapsed="false">
      <c r="A152" s="3" t="s">
        <v>574</v>
      </c>
      <c r="B152" s="3" t="s">
        <v>575</v>
      </c>
      <c r="C152" s="3" t="s">
        <v>557</v>
      </c>
      <c r="D152" s="3" t="s">
        <v>1327</v>
      </c>
      <c r="E152" s="3" t="n">
        <v>4</v>
      </c>
      <c r="F152" s="3" t="n">
        <v>3</v>
      </c>
      <c r="G152" s="3" t="s">
        <v>1662</v>
      </c>
      <c r="H152" s="3" t="s">
        <v>1574</v>
      </c>
      <c r="I152" s="4" t="n">
        <v>303.25</v>
      </c>
      <c r="J152" s="3" t="s">
        <v>1479</v>
      </c>
      <c r="K152" s="6" t="n">
        <v>-18.9712758851035</v>
      </c>
      <c r="L152" s="3" t="s">
        <v>1504</v>
      </c>
      <c r="M152" s="6" t="n">
        <v>-15.7089461377663</v>
      </c>
      <c r="N152" s="3" t="n">
        <v>0</v>
      </c>
      <c r="O152" s="3" t="n">
        <v>4</v>
      </c>
    </row>
    <row r="153" customFormat="false" ht="15" hidden="false" customHeight="false" outlineLevel="0" collapsed="false">
      <c r="A153" s="3" t="s">
        <v>880</v>
      </c>
      <c r="B153" s="3" t="s">
        <v>881</v>
      </c>
      <c r="C153" s="3" t="s">
        <v>863</v>
      </c>
      <c r="D153" s="3" t="s">
        <v>1385</v>
      </c>
      <c r="E153" s="3" t="n">
        <v>2</v>
      </c>
      <c r="F153" s="3" t="n">
        <v>2</v>
      </c>
      <c r="G153" s="3" t="s">
        <v>1663</v>
      </c>
      <c r="H153" s="3" t="s">
        <v>1511</v>
      </c>
      <c r="I153" s="4" t="n">
        <v>1197.6</v>
      </c>
      <c r="J153" s="3" t="s">
        <v>1479</v>
      </c>
      <c r="K153" s="6" t="n">
        <v>-9.61509433962265</v>
      </c>
      <c r="L153" s="3" t="s">
        <v>1504</v>
      </c>
      <c r="M153" s="6" t="n">
        <v>-12.4715743191326</v>
      </c>
      <c r="N153" s="3" t="n">
        <v>0</v>
      </c>
      <c r="O153" s="3" t="n">
        <v>2</v>
      </c>
    </row>
    <row r="154" customFormat="false" ht="15" hidden="false" customHeight="false" outlineLevel="0" collapsed="false">
      <c r="A154" s="3" t="s">
        <v>1433</v>
      </c>
      <c r="B154" s="3" t="s">
        <v>1434</v>
      </c>
      <c r="C154" s="3" t="s">
        <v>1424</v>
      </c>
      <c r="D154" s="3" t="s">
        <v>1424</v>
      </c>
      <c r="E154" s="3" t="n">
        <v>1</v>
      </c>
      <c r="F154" s="3" t="n">
        <v>1</v>
      </c>
      <c r="G154" s="3" t="s">
        <v>1424</v>
      </c>
      <c r="H154" s="3" t="s">
        <v>1514</v>
      </c>
      <c r="I154" s="4" t="n">
        <v>43.45</v>
      </c>
      <c r="J154" s="3" t="s">
        <v>1479</v>
      </c>
      <c r="K154" s="6" t="n">
        <v>-1.85227016037949</v>
      </c>
      <c r="L154" s="3" t="s">
        <v>1504</v>
      </c>
      <c r="M154" s="6" t="n">
        <v>-1.85227016037949</v>
      </c>
      <c r="N154" s="3" t="n">
        <v>0</v>
      </c>
      <c r="O154" s="3" t="n">
        <v>1</v>
      </c>
    </row>
    <row r="155" customFormat="false" ht="15" hidden="false" customHeight="false" outlineLevel="0" collapsed="false">
      <c r="A155" s="3" t="s">
        <v>406</v>
      </c>
      <c r="B155" s="3" t="s">
        <v>407</v>
      </c>
      <c r="C155" s="3" t="s">
        <v>395</v>
      </c>
      <c r="D155" s="3" t="s">
        <v>1369</v>
      </c>
      <c r="E155" s="3" t="n">
        <v>5</v>
      </c>
      <c r="F155" s="3" t="n">
        <v>5</v>
      </c>
      <c r="G155" s="3" t="s">
        <v>1664</v>
      </c>
      <c r="H155" s="3" t="s">
        <v>1533</v>
      </c>
      <c r="I155" s="4" t="n">
        <v>184.2</v>
      </c>
      <c r="J155" s="3" t="s">
        <v>1479</v>
      </c>
      <c r="K155" s="6" t="n">
        <v>4.95726495726495</v>
      </c>
      <c r="L155" s="3" t="s">
        <v>1507</v>
      </c>
      <c r="M155" s="6" t="n">
        <v>16.2844852837848</v>
      </c>
      <c r="N155" s="3" t="n">
        <v>5</v>
      </c>
      <c r="O155" s="3" t="n">
        <v>0</v>
      </c>
    </row>
    <row r="156" customFormat="false" ht="15" hidden="false" customHeight="false" outlineLevel="0" collapsed="false">
      <c r="A156" s="3" t="s">
        <v>504</v>
      </c>
      <c r="B156" s="3" t="s">
        <v>505</v>
      </c>
      <c r="C156" s="3" t="s">
        <v>483</v>
      </c>
      <c r="D156" s="3" t="s">
        <v>683</v>
      </c>
      <c r="E156" s="3" t="n">
        <v>4</v>
      </c>
      <c r="F156" s="3" t="n">
        <v>3</v>
      </c>
      <c r="G156" s="3" t="s">
        <v>1665</v>
      </c>
      <c r="H156" s="3" t="s">
        <v>1574</v>
      </c>
      <c r="I156" s="4" t="n">
        <v>138.82</v>
      </c>
      <c r="J156" s="3" t="s">
        <v>1479</v>
      </c>
      <c r="K156" s="6" t="n">
        <v>-5.92938944229857</v>
      </c>
      <c r="L156" s="3" t="s">
        <v>1504</v>
      </c>
      <c r="M156" s="6" t="n">
        <v>-5.27450407416867</v>
      </c>
      <c r="N156" s="3" t="n">
        <v>0</v>
      </c>
      <c r="O156" s="3" t="n">
        <v>4</v>
      </c>
    </row>
    <row r="157" customFormat="false" ht="15" hidden="false" customHeight="false" outlineLevel="0" collapsed="false">
      <c r="A157" s="3" t="s">
        <v>1070</v>
      </c>
      <c r="B157" s="3" t="s">
        <v>1071</v>
      </c>
      <c r="C157" s="3" t="s">
        <v>1058</v>
      </c>
      <c r="D157" s="3" t="s">
        <v>1300</v>
      </c>
      <c r="E157" s="3" t="n">
        <v>2</v>
      </c>
      <c r="F157" s="3" t="n">
        <v>2</v>
      </c>
      <c r="G157" s="3" t="s">
        <v>1666</v>
      </c>
      <c r="H157" s="3" t="s">
        <v>1511</v>
      </c>
      <c r="I157" s="4" t="n">
        <v>591</v>
      </c>
      <c r="J157" s="3" t="s">
        <v>1479</v>
      </c>
      <c r="K157" s="6" t="n">
        <v>-7.49002113172106</v>
      </c>
      <c r="L157" s="3" t="s">
        <v>1504</v>
      </c>
      <c r="M157" s="6" t="n">
        <v>-8.25897962612375</v>
      </c>
      <c r="N157" s="3" t="n">
        <v>0</v>
      </c>
      <c r="O157" s="3" t="n">
        <v>2</v>
      </c>
    </row>
    <row r="158" customFormat="false" ht="15" hidden="false" customHeight="false" outlineLevel="0" collapsed="false">
      <c r="A158" s="3" t="s">
        <v>608</v>
      </c>
      <c r="B158" s="3" t="s">
        <v>609</v>
      </c>
      <c r="C158" s="3" t="s">
        <v>601</v>
      </c>
      <c r="D158" s="3" t="s">
        <v>848</v>
      </c>
      <c r="E158" s="3" t="n">
        <v>5</v>
      </c>
      <c r="F158" s="3" t="n">
        <v>5</v>
      </c>
      <c r="G158" s="3" t="s">
        <v>1667</v>
      </c>
      <c r="H158" s="3" t="s">
        <v>1533</v>
      </c>
      <c r="I158" s="4" t="n">
        <v>1728.1</v>
      </c>
      <c r="J158" s="3" t="s">
        <v>1479</v>
      </c>
      <c r="K158" s="6" t="n">
        <v>-10.5584597070545</v>
      </c>
      <c r="L158" s="3" t="s">
        <v>1504</v>
      </c>
      <c r="M158" s="6" t="n">
        <v>-14.9390962542199</v>
      </c>
      <c r="N158" s="3" t="n">
        <v>0</v>
      </c>
      <c r="O158" s="3" t="n">
        <v>5</v>
      </c>
    </row>
    <row r="159" customFormat="false" ht="15" hidden="false" customHeight="false" outlineLevel="0" collapsed="false">
      <c r="A159" s="3" t="s">
        <v>300</v>
      </c>
      <c r="B159" s="3" t="s">
        <v>301</v>
      </c>
      <c r="C159" s="3" t="s">
        <v>288</v>
      </c>
      <c r="D159" s="3" t="s">
        <v>1161</v>
      </c>
      <c r="E159" s="3" t="n">
        <v>9</v>
      </c>
      <c r="F159" s="3" t="n">
        <v>7</v>
      </c>
      <c r="G159" s="3" t="s">
        <v>1668</v>
      </c>
      <c r="H159" s="3" t="s">
        <v>1588</v>
      </c>
      <c r="I159" s="4" t="n">
        <v>962</v>
      </c>
      <c r="J159" s="3" t="s">
        <v>1479</v>
      </c>
      <c r="K159" s="6" t="n">
        <v>-0.870730073677165</v>
      </c>
      <c r="L159" s="3" t="s">
        <v>1504</v>
      </c>
      <c r="M159" s="6" t="n">
        <v>-9.35860244693759</v>
      </c>
      <c r="N159" s="3" t="n">
        <v>1</v>
      </c>
      <c r="O159" s="3" t="n">
        <v>8</v>
      </c>
    </row>
    <row r="160" customFormat="false" ht="15" hidden="false" customHeight="false" outlineLevel="0" collapsed="false">
      <c r="A160" s="3" t="s">
        <v>422</v>
      </c>
      <c r="B160" s="3" t="s">
        <v>423</v>
      </c>
      <c r="C160" s="3" t="s">
        <v>420</v>
      </c>
      <c r="D160" s="3" t="s">
        <v>1058</v>
      </c>
      <c r="E160" s="3" t="n">
        <v>3</v>
      </c>
      <c r="F160" s="3" t="n">
        <v>3</v>
      </c>
      <c r="G160" s="3" t="s">
        <v>1669</v>
      </c>
      <c r="H160" s="3" t="s">
        <v>1509</v>
      </c>
      <c r="I160" s="4" t="n">
        <v>22170</v>
      </c>
      <c r="J160" s="3" t="s">
        <v>1479</v>
      </c>
      <c r="K160" s="6" t="n">
        <v>-11.2312312312312</v>
      </c>
      <c r="L160" s="3" t="s">
        <v>1504</v>
      </c>
      <c r="M160" s="6" t="n">
        <v>-12.9694505916217</v>
      </c>
      <c r="N160" s="3" t="n">
        <v>0</v>
      </c>
      <c r="O160" s="3" t="n">
        <v>3</v>
      </c>
    </row>
    <row r="161" customFormat="false" ht="15" hidden="false" customHeight="false" outlineLevel="0" collapsed="false">
      <c r="A161" s="3" t="s">
        <v>303</v>
      </c>
      <c r="B161" s="3" t="s">
        <v>304</v>
      </c>
      <c r="C161" s="3" t="s">
        <v>288</v>
      </c>
      <c r="D161" s="3" t="s">
        <v>648</v>
      </c>
      <c r="E161" s="3" t="n">
        <v>4</v>
      </c>
      <c r="F161" s="3" t="n">
        <v>4</v>
      </c>
      <c r="G161" s="3" t="s">
        <v>1670</v>
      </c>
      <c r="H161" s="3" t="s">
        <v>1521</v>
      </c>
      <c r="I161" s="4" t="n">
        <v>976.3</v>
      </c>
      <c r="J161" s="3" t="s">
        <v>1479</v>
      </c>
      <c r="K161" s="6" t="n">
        <v>-1.92375307649808</v>
      </c>
      <c r="L161" s="3" t="s">
        <v>1504</v>
      </c>
      <c r="M161" s="6" t="n">
        <v>15.2514069084142</v>
      </c>
      <c r="N161" s="3" t="n">
        <v>3</v>
      </c>
      <c r="O161" s="3" t="n">
        <v>1</v>
      </c>
    </row>
    <row r="162" customFormat="false" ht="15" hidden="false" customHeight="false" outlineLevel="0" collapsed="false">
      <c r="A162" s="3" t="s">
        <v>384</v>
      </c>
      <c r="B162" s="3" t="s">
        <v>385</v>
      </c>
      <c r="C162" s="3" t="s">
        <v>378</v>
      </c>
      <c r="D162" s="3" t="s">
        <v>728</v>
      </c>
      <c r="E162" s="3" t="n">
        <v>3</v>
      </c>
      <c r="F162" s="3" t="n">
        <v>2</v>
      </c>
      <c r="G162" s="3" t="s">
        <v>1671</v>
      </c>
      <c r="H162" s="3" t="s">
        <v>1626</v>
      </c>
      <c r="I162" s="4" t="n">
        <v>3785.5</v>
      </c>
      <c r="J162" s="3" t="s">
        <v>1479</v>
      </c>
      <c r="K162" s="6" t="n">
        <v>15.0433064883756</v>
      </c>
      <c r="L162" s="3" t="s">
        <v>1507</v>
      </c>
      <c r="M162" s="6" t="n">
        <v>18.5492359001214</v>
      </c>
      <c r="N162" s="3" t="n">
        <v>3</v>
      </c>
      <c r="O162" s="3" t="n">
        <v>0</v>
      </c>
    </row>
    <row r="163" customFormat="false" ht="15" hidden="false" customHeight="false" outlineLevel="0" collapsed="false">
      <c r="A163" s="3" t="s">
        <v>453</v>
      </c>
      <c r="B163" s="3" t="s">
        <v>454</v>
      </c>
      <c r="C163" s="3" t="s">
        <v>444</v>
      </c>
      <c r="D163" s="3" t="s">
        <v>1313</v>
      </c>
      <c r="E163" s="3" t="n">
        <v>7</v>
      </c>
      <c r="F163" s="3" t="n">
        <v>7</v>
      </c>
      <c r="G163" s="3" t="s">
        <v>1672</v>
      </c>
      <c r="H163" s="3" t="s">
        <v>1519</v>
      </c>
      <c r="I163" s="4" t="n">
        <v>807.9</v>
      </c>
      <c r="J163" s="3" t="s">
        <v>1479</v>
      </c>
      <c r="K163" s="6" t="n">
        <v>18.2177348551361</v>
      </c>
      <c r="L163" s="3" t="s">
        <v>1507</v>
      </c>
      <c r="M163" s="6" t="n">
        <v>49.3785966107695</v>
      </c>
      <c r="N163" s="3" t="n">
        <v>7</v>
      </c>
      <c r="O163" s="3" t="n">
        <v>0</v>
      </c>
    </row>
    <row r="164" customFormat="false" ht="15" hidden="false" customHeight="false" outlineLevel="0" collapsed="false">
      <c r="A164" s="3" t="s">
        <v>83</v>
      </c>
      <c r="B164" s="3" t="s">
        <v>84</v>
      </c>
      <c r="C164" s="3" t="s">
        <v>57</v>
      </c>
      <c r="D164" s="3" t="s">
        <v>1204</v>
      </c>
      <c r="E164" s="3" t="n">
        <v>6</v>
      </c>
      <c r="F164" s="3" t="n">
        <v>6</v>
      </c>
      <c r="G164" s="3" t="s">
        <v>1673</v>
      </c>
      <c r="H164" s="3" t="s">
        <v>1525</v>
      </c>
      <c r="I164" s="4" t="n">
        <v>2491.5</v>
      </c>
      <c r="J164" s="3" t="s">
        <v>1479</v>
      </c>
      <c r="K164" s="6" t="n">
        <v>-9.20189504373178</v>
      </c>
      <c r="L164" s="3" t="s">
        <v>1504</v>
      </c>
      <c r="M164" s="6" t="n">
        <v>-11.7092911001521</v>
      </c>
      <c r="N164" s="3" t="n">
        <v>1</v>
      </c>
      <c r="O164" s="3" t="n">
        <v>5</v>
      </c>
    </row>
    <row r="165" customFormat="false" ht="15" hidden="false" customHeight="false" outlineLevel="0" collapsed="false">
      <c r="A165" s="3" t="s">
        <v>623</v>
      </c>
      <c r="B165" s="3" t="s">
        <v>624</v>
      </c>
      <c r="C165" s="3" t="s">
        <v>616</v>
      </c>
      <c r="D165" s="3" t="s">
        <v>1445</v>
      </c>
      <c r="E165" s="3" t="n">
        <v>8</v>
      </c>
      <c r="F165" s="3" t="n">
        <v>7</v>
      </c>
      <c r="G165" s="3" t="s">
        <v>1674</v>
      </c>
      <c r="H165" s="3" t="s">
        <v>1528</v>
      </c>
      <c r="I165" s="4" t="n">
        <v>1838</v>
      </c>
      <c r="J165" s="3" t="s">
        <v>1479</v>
      </c>
      <c r="K165" s="6" t="n">
        <v>-7.39621120515921</v>
      </c>
      <c r="L165" s="3" t="s">
        <v>1504</v>
      </c>
      <c r="M165" s="6" t="n">
        <v>2.5946816124411</v>
      </c>
      <c r="N165" s="3" t="n">
        <v>7</v>
      </c>
      <c r="O165" s="3" t="n">
        <v>1</v>
      </c>
    </row>
    <row r="166" customFormat="false" ht="15" hidden="false" customHeight="false" outlineLevel="0" collapsed="false">
      <c r="A166" s="3" t="s">
        <v>740</v>
      </c>
      <c r="B166" s="3" t="s">
        <v>741</v>
      </c>
      <c r="C166" s="3" t="s">
        <v>728</v>
      </c>
      <c r="D166" s="3" t="s">
        <v>1012</v>
      </c>
      <c r="E166" s="3" t="n">
        <v>4</v>
      </c>
      <c r="F166" s="3" t="n">
        <v>4</v>
      </c>
      <c r="G166" s="3" t="s">
        <v>1675</v>
      </c>
      <c r="H166" s="3" t="s">
        <v>1521</v>
      </c>
      <c r="I166" s="4" t="n">
        <v>3499.8</v>
      </c>
      <c r="J166" s="3" t="s">
        <v>1479</v>
      </c>
      <c r="K166" s="6" t="n">
        <v>-5.64033432191965</v>
      </c>
      <c r="L166" s="3" t="s">
        <v>1504</v>
      </c>
      <c r="M166" s="6" t="n">
        <v>-9.76420360420232</v>
      </c>
      <c r="N166" s="3" t="n">
        <v>0</v>
      </c>
      <c r="O166" s="3" t="n">
        <v>4</v>
      </c>
    </row>
    <row r="167" customFormat="false" ht="15" hidden="false" customHeight="false" outlineLevel="0" collapsed="false">
      <c r="A167" s="3" t="s">
        <v>1126</v>
      </c>
      <c r="B167" s="3" t="s">
        <v>1127</v>
      </c>
      <c r="C167" s="3" t="s">
        <v>1117</v>
      </c>
      <c r="D167" s="3" t="s">
        <v>1117</v>
      </c>
      <c r="E167" s="3" t="n">
        <v>1</v>
      </c>
      <c r="F167" s="3" t="n">
        <v>1</v>
      </c>
      <c r="G167" s="3" t="s">
        <v>1117</v>
      </c>
      <c r="H167" s="3" t="s">
        <v>1514</v>
      </c>
      <c r="I167" s="4" t="n">
        <v>39.66</v>
      </c>
      <c r="J167" s="3" t="s">
        <v>1479</v>
      </c>
      <c r="K167" s="6" t="n">
        <v>-31.062054580219</v>
      </c>
      <c r="L167" s="3" t="s">
        <v>1504</v>
      </c>
      <c r="M167" s="6" t="n">
        <v>-31.062054580219</v>
      </c>
      <c r="N167" s="3" t="n">
        <v>0</v>
      </c>
      <c r="O167" s="3" t="n">
        <v>1</v>
      </c>
    </row>
    <row r="168" customFormat="false" ht="15" hidden="false" customHeight="false" outlineLevel="0" collapsed="false">
      <c r="A168" s="3" t="s">
        <v>912</v>
      </c>
      <c r="B168" s="3" t="s">
        <v>913</v>
      </c>
      <c r="C168" s="3" t="s">
        <v>888</v>
      </c>
      <c r="D168" s="3" t="s">
        <v>1465</v>
      </c>
      <c r="E168" s="3" t="n">
        <v>2</v>
      </c>
      <c r="F168" s="3" t="n">
        <v>2</v>
      </c>
      <c r="G168" s="3" t="s">
        <v>1676</v>
      </c>
      <c r="H168" s="3" t="s">
        <v>1511</v>
      </c>
      <c r="I168" s="4" t="n">
        <v>256</v>
      </c>
      <c r="J168" s="3" t="s">
        <v>1479</v>
      </c>
      <c r="K168" s="6" t="n">
        <v>-4.93873004084664</v>
      </c>
      <c r="L168" s="3" t="s">
        <v>1504</v>
      </c>
      <c r="M168" s="6" t="n">
        <v>-4.2220977757946</v>
      </c>
      <c r="N168" s="3" t="n">
        <v>0</v>
      </c>
      <c r="O168" s="3" t="n">
        <v>2</v>
      </c>
    </row>
    <row r="169" customFormat="false" ht="15" hidden="false" customHeight="false" outlineLevel="0" collapsed="false">
      <c r="A169" s="3" t="s">
        <v>372</v>
      </c>
      <c r="B169" s="3" t="s">
        <v>373</v>
      </c>
      <c r="C169" s="3" t="s">
        <v>356</v>
      </c>
      <c r="D169" s="3" t="s">
        <v>771</v>
      </c>
      <c r="E169" s="3" t="n">
        <v>3</v>
      </c>
      <c r="F169" s="3" t="n">
        <v>3</v>
      </c>
      <c r="G169" s="3" t="s">
        <v>1677</v>
      </c>
      <c r="H169" s="3" t="s">
        <v>1509</v>
      </c>
      <c r="I169" s="4" t="n">
        <v>376</v>
      </c>
      <c r="J169" s="3" t="s">
        <v>1479</v>
      </c>
      <c r="K169" s="6" t="n">
        <v>-17.3807954295759</v>
      </c>
      <c r="L169" s="3" t="s">
        <v>1504</v>
      </c>
      <c r="M169" s="6" t="n">
        <v>-34.2090401162165</v>
      </c>
      <c r="N169" s="3" t="n">
        <v>0</v>
      </c>
      <c r="O169" s="3" t="n">
        <v>3</v>
      </c>
    </row>
    <row r="170" customFormat="false" ht="15" hidden="false" customHeight="false" outlineLevel="0" collapsed="false">
      <c r="A170" s="3" t="s">
        <v>142</v>
      </c>
      <c r="B170" s="3" t="s">
        <v>143</v>
      </c>
      <c r="C170" s="3" t="s">
        <v>129</v>
      </c>
      <c r="D170" s="3" t="s">
        <v>1242</v>
      </c>
      <c r="E170" s="3" t="n">
        <v>7</v>
      </c>
      <c r="F170" s="3" t="n">
        <v>7</v>
      </c>
      <c r="G170" s="3" t="s">
        <v>1678</v>
      </c>
      <c r="H170" s="3" t="s">
        <v>1519</v>
      </c>
      <c r="I170" s="4" t="n">
        <v>960</v>
      </c>
      <c r="J170" s="3" t="s">
        <v>1479</v>
      </c>
      <c r="K170" s="6" t="n">
        <v>-13.2947976878613</v>
      </c>
      <c r="L170" s="3" t="s">
        <v>1504</v>
      </c>
      <c r="M170" s="6" t="n">
        <v>-14.9638275561512</v>
      </c>
      <c r="N170" s="3" t="n">
        <v>0</v>
      </c>
      <c r="O170" s="3" t="n">
        <v>7</v>
      </c>
    </row>
    <row r="171" customFormat="false" ht="15" hidden="false" customHeight="false" outlineLevel="0" collapsed="false">
      <c r="A171" s="3" t="s">
        <v>178</v>
      </c>
      <c r="B171" s="3" t="s">
        <v>179</v>
      </c>
      <c r="C171" s="3" t="s">
        <v>167</v>
      </c>
      <c r="D171" s="3" t="s">
        <v>1190</v>
      </c>
      <c r="E171" s="3" t="n">
        <v>4</v>
      </c>
      <c r="F171" s="3" t="n">
        <v>3</v>
      </c>
      <c r="G171" s="3" t="s">
        <v>1679</v>
      </c>
      <c r="H171" s="3" t="s">
        <v>1574</v>
      </c>
      <c r="I171" s="4" t="n">
        <v>361.9</v>
      </c>
      <c r="J171" s="3" t="s">
        <v>1479</v>
      </c>
      <c r="K171" s="6" t="n">
        <v>-10.4429596634497</v>
      </c>
      <c r="L171" s="3" t="s">
        <v>1504</v>
      </c>
      <c r="M171" s="6" t="n">
        <v>-7.42402795935408</v>
      </c>
      <c r="N171" s="3" t="n">
        <v>0</v>
      </c>
      <c r="O171" s="3" t="n">
        <v>4</v>
      </c>
    </row>
    <row r="172" customFormat="false" ht="15" hidden="false" customHeight="false" outlineLevel="0" collapsed="false">
      <c r="A172" s="3" t="s">
        <v>1354</v>
      </c>
      <c r="B172" s="3" t="s">
        <v>1355</v>
      </c>
      <c r="C172" s="3" t="s">
        <v>1343</v>
      </c>
      <c r="D172" s="3" t="s">
        <v>1417</v>
      </c>
      <c r="E172" s="3" t="n">
        <v>4</v>
      </c>
      <c r="F172" s="3" t="n">
        <v>3</v>
      </c>
      <c r="G172" s="3" t="s">
        <v>1680</v>
      </c>
      <c r="H172" s="3" t="s">
        <v>1574</v>
      </c>
      <c r="I172" s="4" t="n">
        <v>186.3</v>
      </c>
      <c r="J172" s="3" t="s">
        <v>1479</v>
      </c>
      <c r="K172" s="6" t="n">
        <v>-0.909526089037806</v>
      </c>
      <c r="L172" s="3" t="s">
        <v>1504</v>
      </c>
      <c r="M172" s="6" t="n">
        <v>-1.80711339046826</v>
      </c>
      <c r="N172" s="3" t="n">
        <v>0</v>
      </c>
      <c r="O172" s="3" t="n">
        <v>4</v>
      </c>
    </row>
    <row r="173" customFormat="false" ht="15" hidden="false" customHeight="false" outlineLevel="0" collapsed="false">
      <c r="A173" s="3" t="s">
        <v>923</v>
      </c>
      <c r="B173" s="3" t="s">
        <v>924</v>
      </c>
      <c r="C173" s="3" t="s">
        <v>915</v>
      </c>
      <c r="D173" s="3" t="s">
        <v>1325</v>
      </c>
      <c r="E173" s="3" t="n">
        <v>4</v>
      </c>
      <c r="F173" s="3" t="n">
        <v>4</v>
      </c>
      <c r="G173" s="3" t="s">
        <v>1681</v>
      </c>
      <c r="H173" s="3" t="s">
        <v>1521</v>
      </c>
      <c r="I173" s="4" t="n">
        <v>2070.7</v>
      </c>
      <c r="J173" s="3" t="s">
        <v>1479</v>
      </c>
      <c r="K173" s="6" t="n">
        <v>-13.6488740617181</v>
      </c>
      <c r="L173" s="3" t="s">
        <v>1504</v>
      </c>
      <c r="M173" s="6" t="n">
        <v>-14.815162353413</v>
      </c>
      <c r="N173" s="3" t="n">
        <v>0</v>
      </c>
      <c r="O173" s="3" t="n">
        <v>4</v>
      </c>
    </row>
    <row r="174" customFormat="false" ht="15" hidden="false" customHeight="false" outlineLevel="0" collapsed="false">
      <c r="A174" s="3" t="s">
        <v>145</v>
      </c>
      <c r="B174" s="3" t="s">
        <v>146</v>
      </c>
      <c r="C174" s="3" t="s">
        <v>129</v>
      </c>
      <c r="D174" s="3" t="s">
        <v>1438</v>
      </c>
      <c r="E174" s="3" t="n">
        <v>11</v>
      </c>
      <c r="F174" s="3" t="n">
        <v>10</v>
      </c>
      <c r="G174" s="3" t="s">
        <v>1682</v>
      </c>
      <c r="H174" s="3" t="s">
        <v>1542</v>
      </c>
      <c r="I174" s="4" t="n">
        <v>1542.2</v>
      </c>
      <c r="J174" s="3" t="s">
        <v>1479</v>
      </c>
      <c r="K174" s="6" t="n">
        <v>-6.01499177280761</v>
      </c>
      <c r="L174" s="3" t="s">
        <v>1504</v>
      </c>
      <c r="M174" s="6" t="n">
        <v>2.59801747038904</v>
      </c>
      <c r="N174" s="3" t="n">
        <v>7</v>
      </c>
      <c r="O174" s="3" t="n">
        <v>4</v>
      </c>
    </row>
    <row r="175" customFormat="false" ht="15" hidden="false" customHeight="false" outlineLevel="0" collapsed="false">
      <c r="A175" s="3" t="s">
        <v>680</v>
      </c>
      <c r="B175" s="3" t="s">
        <v>681</v>
      </c>
      <c r="C175" s="3" t="s">
        <v>663</v>
      </c>
      <c r="D175" s="3" t="s">
        <v>1113</v>
      </c>
      <c r="E175" s="3" t="n">
        <v>4</v>
      </c>
      <c r="F175" s="3" t="n">
        <v>3</v>
      </c>
      <c r="G175" s="3" t="s">
        <v>1683</v>
      </c>
      <c r="H175" s="3" t="s">
        <v>1574</v>
      </c>
      <c r="I175" s="4" t="n">
        <v>2459</v>
      </c>
      <c r="J175" s="3" t="s">
        <v>1479</v>
      </c>
      <c r="K175" s="6" t="n">
        <v>-17.2304688814837</v>
      </c>
      <c r="L175" s="3" t="s">
        <v>1504</v>
      </c>
      <c r="M175" s="6" t="n">
        <v>-8.36179743939296</v>
      </c>
      <c r="N175" s="3" t="n">
        <v>1</v>
      </c>
      <c r="O175" s="3" t="n">
        <v>3</v>
      </c>
    </row>
    <row r="176" customFormat="false" ht="15" hidden="false" customHeight="false" outlineLevel="0" collapsed="false">
      <c r="A176" s="3" t="s">
        <v>926</v>
      </c>
      <c r="B176" s="3" t="s">
        <v>927</v>
      </c>
      <c r="C176" s="3" t="s">
        <v>915</v>
      </c>
      <c r="D176" s="3" t="s">
        <v>1424</v>
      </c>
      <c r="E176" s="3" t="n">
        <v>4</v>
      </c>
      <c r="F176" s="3" t="n">
        <v>3</v>
      </c>
      <c r="G176" s="3" t="s">
        <v>1684</v>
      </c>
      <c r="H176" s="3" t="s">
        <v>1574</v>
      </c>
      <c r="I176" s="4" t="n">
        <v>4819.5</v>
      </c>
      <c r="J176" s="3" t="s">
        <v>1479</v>
      </c>
      <c r="K176" s="6" t="n">
        <v>-6.22263732414921</v>
      </c>
      <c r="L176" s="3" t="s">
        <v>1504</v>
      </c>
      <c r="M176" s="6" t="n">
        <v>5.33480085617789</v>
      </c>
      <c r="N176" s="3" t="n">
        <v>2</v>
      </c>
      <c r="O176" s="3" t="n">
        <v>2</v>
      </c>
    </row>
    <row r="177" customFormat="false" ht="15" hidden="false" customHeight="false" outlineLevel="0" collapsed="false">
      <c r="A177" s="3" t="s">
        <v>814</v>
      </c>
      <c r="B177" s="3" t="s">
        <v>815</v>
      </c>
      <c r="C177" s="3" t="s">
        <v>808</v>
      </c>
      <c r="D177" s="3" t="s">
        <v>863</v>
      </c>
      <c r="E177" s="3" t="n">
        <v>2</v>
      </c>
      <c r="F177" s="3" t="n">
        <v>2</v>
      </c>
      <c r="G177" s="3" t="s">
        <v>1685</v>
      </c>
      <c r="H177" s="3" t="s">
        <v>1686</v>
      </c>
      <c r="I177" s="4" t="n">
        <v>281.75</v>
      </c>
      <c r="J177" s="3" t="s">
        <v>1479</v>
      </c>
      <c r="K177" s="6" t="n">
        <v>-10.2992677491245</v>
      </c>
      <c r="L177" s="3" t="s">
        <v>1504</v>
      </c>
      <c r="M177" s="6" t="n">
        <v>-19.1708316781633</v>
      </c>
      <c r="N177" s="3" t="n">
        <v>0</v>
      </c>
      <c r="O177" s="3" t="n">
        <v>2</v>
      </c>
    </row>
    <row r="178" customFormat="false" ht="15" hidden="false" customHeight="false" outlineLevel="0" collapsed="false">
      <c r="A178" s="3" t="s">
        <v>148</v>
      </c>
      <c r="B178" s="3" t="s">
        <v>149</v>
      </c>
      <c r="C178" s="3" t="s">
        <v>129</v>
      </c>
      <c r="D178" s="3" t="s">
        <v>1445</v>
      </c>
      <c r="E178" s="3" t="n">
        <v>9</v>
      </c>
      <c r="F178" s="3" t="n">
        <v>6</v>
      </c>
      <c r="G178" s="3" t="s">
        <v>1687</v>
      </c>
      <c r="H178" s="3" t="s">
        <v>1688</v>
      </c>
      <c r="I178" s="4" t="n">
        <v>4869</v>
      </c>
      <c r="J178" s="3" t="s">
        <v>1479</v>
      </c>
      <c r="K178" s="6" t="n">
        <v>-3.88866956178445</v>
      </c>
      <c r="L178" s="3" t="s">
        <v>1504</v>
      </c>
      <c r="M178" s="6" t="n">
        <v>13.8973518071345</v>
      </c>
      <c r="N178" s="3" t="n">
        <v>5</v>
      </c>
      <c r="O178" s="3" t="n">
        <v>4</v>
      </c>
    </row>
    <row r="179" customFormat="false" ht="15" hidden="false" customHeight="false" outlineLevel="0" collapsed="false">
      <c r="A179" s="3" t="s">
        <v>554</v>
      </c>
      <c r="B179" s="3" t="s">
        <v>555</v>
      </c>
      <c r="C179" s="3" t="s">
        <v>533</v>
      </c>
      <c r="D179" s="3" t="s">
        <v>747</v>
      </c>
      <c r="E179" s="3" t="n">
        <v>5</v>
      </c>
      <c r="F179" s="3" t="n">
        <v>3</v>
      </c>
      <c r="G179" s="3" t="s">
        <v>1689</v>
      </c>
      <c r="H179" s="3" t="s">
        <v>1506</v>
      </c>
      <c r="I179" s="4" t="n">
        <v>1237.2</v>
      </c>
      <c r="J179" s="3" t="s">
        <v>1479</v>
      </c>
      <c r="K179" s="6" t="n">
        <v>-13.4219734079776</v>
      </c>
      <c r="L179" s="3" t="s">
        <v>1504</v>
      </c>
      <c r="M179" s="6" t="n">
        <v>-12.1907640154735</v>
      </c>
      <c r="N179" s="3" t="n">
        <v>0</v>
      </c>
      <c r="O179" s="3" t="n">
        <v>5</v>
      </c>
    </row>
    <row r="180" customFormat="false" ht="15" hidden="false" customHeight="false" outlineLevel="0" collapsed="false">
      <c r="A180" s="3" t="s">
        <v>1224</v>
      </c>
      <c r="B180" s="3" t="s">
        <v>1225</v>
      </c>
      <c r="C180" s="3" t="s">
        <v>1218</v>
      </c>
      <c r="D180" s="3" t="s">
        <v>1218</v>
      </c>
      <c r="E180" s="3" t="n">
        <v>1</v>
      </c>
      <c r="F180" s="3" t="n">
        <v>1</v>
      </c>
      <c r="G180" s="3" t="s">
        <v>1218</v>
      </c>
      <c r="H180" s="3" t="s">
        <v>1514</v>
      </c>
      <c r="I180" s="4" t="n">
        <v>2626</v>
      </c>
      <c r="J180" s="3" t="s">
        <v>1479</v>
      </c>
      <c r="K180" s="6" t="n">
        <v>-18.0859691808597</v>
      </c>
      <c r="L180" s="3" t="s">
        <v>1504</v>
      </c>
      <c r="M180" s="6" t="n">
        <v>-18.0859691808597</v>
      </c>
      <c r="N180" s="3" t="n">
        <v>0</v>
      </c>
      <c r="O180" s="3" t="n">
        <v>1</v>
      </c>
    </row>
    <row r="181" customFormat="false" ht="15" hidden="false" customHeight="false" outlineLevel="0" collapsed="false">
      <c r="A181" s="3" t="s">
        <v>700</v>
      </c>
      <c r="B181" s="3" t="s">
        <v>701</v>
      </c>
      <c r="C181" s="3" t="s">
        <v>694</v>
      </c>
      <c r="D181" s="3" t="s">
        <v>1177</v>
      </c>
      <c r="E181" s="3" t="n">
        <v>2</v>
      </c>
      <c r="F181" s="3" t="n">
        <v>2</v>
      </c>
      <c r="G181" s="3" t="s">
        <v>1690</v>
      </c>
      <c r="H181" s="3" t="s">
        <v>1511</v>
      </c>
      <c r="I181" s="4" t="n">
        <v>4095</v>
      </c>
      <c r="J181" s="3" t="s">
        <v>1479</v>
      </c>
      <c r="K181" s="6" t="n">
        <v>23.6114465105047</v>
      </c>
      <c r="L181" s="3" t="s">
        <v>1507</v>
      </c>
      <c r="M181" s="6" t="n">
        <v>17.4836478759083</v>
      </c>
      <c r="N181" s="3" t="n">
        <v>2</v>
      </c>
      <c r="O181" s="3" t="n">
        <v>0</v>
      </c>
    </row>
    <row r="182" customFormat="false" ht="15" hidden="false" customHeight="false" outlineLevel="0" collapsed="false">
      <c r="A182" s="3" t="s">
        <v>655</v>
      </c>
      <c r="B182" s="3" t="s">
        <v>656</v>
      </c>
      <c r="C182" s="3" t="s">
        <v>648</v>
      </c>
      <c r="D182" s="3" t="s">
        <v>1305</v>
      </c>
      <c r="E182" s="3" t="n">
        <v>2</v>
      </c>
      <c r="F182" s="3" t="n">
        <v>2</v>
      </c>
      <c r="G182" s="3" t="s">
        <v>1691</v>
      </c>
      <c r="H182" s="3" t="s">
        <v>1511</v>
      </c>
      <c r="I182" s="4" t="n">
        <v>11025</v>
      </c>
      <c r="J182" s="3" t="s">
        <v>1479</v>
      </c>
      <c r="K182" s="6" t="n">
        <v>-6.66271588215374</v>
      </c>
      <c r="L182" s="3" t="s">
        <v>1504</v>
      </c>
      <c r="M182" s="6" t="n">
        <v>-8.79669967641376</v>
      </c>
      <c r="N182" s="3" t="n">
        <v>0</v>
      </c>
      <c r="O182" s="3" t="n">
        <v>2</v>
      </c>
    </row>
    <row r="183" customFormat="false" ht="15" hidden="false" customHeight="false" outlineLevel="0" collapsed="false">
      <c r="A183" s="3" t="s">
        <v>660</v>
      </c>
      <c r="B183" s="3" t="s">
        <v>661</v>
      </c>
      <c r="C183" s="3" t="s">
        <v>658</v>
      </c>
      <c r="D183" s="3" t="s">
        <v>1401</v>
      </c>
      <c r="E183" s="3" t="n">
        <v>3</v>
      </c>
      <c r="F183" s="3" t="n">
        <v>3</v>
      </c>
      <c r="G183" s="3" t="s">
        <v>1692</v>
      </c>
      <c r="H183" s="3" t="s">
        <v>1509</v>
      </c>
      <c r="I183" s="4" t="n">
        <v>171.75</v>
      </c>
      <c r="J183" s="3" t="s">
        <v>1479</v>
      </c>
      <c r="K183" s="6" t="n">
        <v>-8.15508021390374</v>
      </c>
      <c r="L183" s="3" t="s">
        <v>1504</v>
      </c>
      <c r="M183" s="6" t="n">
        <v>-8.71250918668715</v>
      </c>
      <c r="N183" s="3" t="n">
        <v>0</v>
      </c>
      <c r="O183" s="3" t="n">
        <v>3</v>
      </c>
    </row>
    <row r="184" customFormat="false" ht="15" hidden="false" customHeight="false" outlineLevel="0" collapsed="false">
      <c r="A184" s="3" t="s">
        <v>984</v>
      </c>
      <c r="B184" s="3" t="s">
        <v>985</v>
      </c>
      <c r="C184" s="3" t="s">
        <v>976</v>
      </c>
      <c r="D184" s="3" t="s">
        <v>1261</v>
      </c>
      <c r="E184" s="3" t="n">
        <v>2</v>
      </c>
      <c r="F184" s="3" t="n">
        <v>2</v>
      </c>
      <c r="G184" s="3" t="s">
        <v>1693</v>
      </c>
      <c r="H184" s="3" t="s">
        <v>1511</v>
      </c>
      <c r="I184" s="4" t="n">
        <v>1415.4</v>
      </c>
      <c r="J184" s="3" t="s">
        <v>1479</v>
      </c>
      <c r="K184" s="6" t="n">
        <v>-0.833742030407053</v>
      </c>
      <c r="L184" s="3" t="s">
        <v>1504</v>
      </c>
      <c r="M184" s="6" t="n">
        <v>5.38663000987139</v>
      </c>
      <c r="N184" s="3" t="n">
        <v>1</v>
      </c>
      <c r="O184" s="3" t="n">
        <v>1</v>
      </c>
    </row>
    <row r="185" customFormat="false" ht="15" hidden="false" customHeight="false" outlineLevel="0" collapsed="false">
      <c r="A185" s="3" t="s">
        <v>156</v>
      </c>
      <c r="B185" s="3" t="s">
        <v>157</v>
      </c>
      <c r="C185" s="3" t="s">
        <v>151</v>
      </c>
      <c r="D185" s="3" t="s">
        <v>1408</v>
      </c>
      <c r="E185" s="3" t="n">
        <v>7</v>
      </c>
      <c r="F185" s="3" t="n">
        <v>7</v>
      </c>
      <c r="G185" s="3" t="s">
        <v>1694</v>
      </c>
      <c r="H185" s="3" t="s">
        <v>1519</v>
      </c>
      <c r="I185" s="4" t="n">
        <v>1173</v>
      </c>
      <c r="J185" s="3" t="s">
        <v>1479</v>
      </c>
      <c r="K185" s="6" t="n">
        <v>-7.63052208835342</v>
      </c>
      <c r="L185" s="3" t="s">
        <v>1504</v>
      </c>
      <c r="M185" s="6" t="n">
        <v>-4.64164781090732</v>
      </c>
      <c r="N185" s="3" t="n">
        <v>2</v>
      </c>
      <c r="O185" s="3" t="n">
        <v>5</v>
      </c>
    </row>
    <row r="186" customFormat="false" ht="15" hidden="false" customHeight="false" outlineLevel="0" collapsed="false">
      <c r="A186" s="3" t="s">
        <v>279</v>
      </c>
      <c r="B186" s="3" t="s">
        <v>280</v>
      </c>
      <c r="C186" s="3" t="s">
        <v>252</v>
      </c>
      <c r="D186" s="3" t="s">
        <v>943</v>
      </c>
      <c r="E186" s="3" t="n">
        <v>2</v>
      </c>
      <c r="F186" s="3" t="n">
        <v>2</v>
      </c>
      <c r="G186" s="3" t="s">
        <v>1695</v>
      </c>
      <c r="H186" s="3" t="s">
        <v>1511</v>
      </c>
      <c r="I186" s="4" t="n">
        <v>549.5</v>
      </c>
      <c r="J186" s="3" t="s">
        <v>1479</v>
      </c>
      <c r="K186" s="6" t="n">
        <v>-14.1741507223741</v>
      </c>
      <c r="L186" s="3" t="s">
        <v>1504</v>
      </c>
      <c r="M186" s="6" t="n">
        <v>-18.930002935661</v>
      </c>
      <c r="N186" s="3" t="n">
        <v>0</v>
      </c>
      <c r="O186" s="3" t="n">
        <v>2</v>
      </c>
    </row>
    <row r="187" customFormat="false" ht="15" hidden="false" customHeight="false" outlineLevel="0" collapsed="false">
      <c r="A187" s="3" t="s">
        <v>579</v>
      </c>
      <c r="B187" s="3" t="s">
        <v>580</v>
      </c>
      <c r="C187" s="3" t="s">
        <v>557</v>
      </c>
      <c r="D187" s="3" t="s">
        <v>1190</v>
      </c>
      <c r="E187" s="3" t="n">
        <v>4</v>
      </c>
      <c r="F187" s="3" t="n">
        <v>3</v>
      </c>
      <c r="G187" s="3" t="s">
        <v>1696</v>
      </c>
      <c r="H187" s="3" t="s">
        <v>1574</v>
      </c>
      <c r="I187" s="4" t="n">
        <v>430</v>
      </c>
      <c r="J187" s="3" t="s">
        <v>1479</v>
      </c>
      <c r="K187" s="6" t="n">
        <v>-20.5175600739372</v>
      </c>
      <c r="L187" s="3" t="s">
        <v>1504</v>
      </c>
      <c r="M187" s="6" t="n">
        <v>-17.4703662996668</v>
      </c>
      <c r="N187" s="3" t="n">
        <v>0</v>
      </c>
      <c r="O187" s="3" t="n">
        <v>4</v>
      </c>
    </row>
    <row r="188" customFormat="false" ht="15" hidden="false" customHeight="false" outlineLevel="0" collapsed="false">
      <c r="A188" s="3" t="s">
        <v>126</v>
      </c>
      <c r="B188" s="3" t="s">
        <v>127</v>
      </c>
      <c r="C188" s="3" t="s">
        <v>89</v>
      </c>
      <c r="D188" s="3" t="s">
        <v>1438</v>
      </c>
      <c r="E188" s="3" t="n">
        <v>6</v>
      </c>
      <c r="F188" s="3" t="n">
        <v>6</v>
      </c>
      <c r="G188" s="3" t="s">
        <v>1697</v>
      </c>
      <c r="H188" s="3" t="s">
        <v>1525</v>
      </c>
      <c r="I188" s="4" t="n">
        <v>259</v>
      </c>
      <c r="J188" s="3" t="s">
        <v>1479</v>
      </c>
      <c r="K188" s="6" t="n">
        <v>-10.0538287897204</v>
      </c>
      <c r="L188" s="3" t="s">
        <v>1504</v>
      </c>
      <c r="M188" s="6" t="n">
        <v>-23.1009939376561</v>
      </c>
      <c r="N188" s="3" t="n">
        <v>0</v>
      </c>
      <c r="O188" s="3" t="n">
        <v>6</v>
      </c>
    </row>
    <row r="189" customFormat="false" ht="15" hidden="false" customHeight="false" outlineLevel="0" collapsed="false">
      <c r="A189" s="3" t="s">
        <v>1032</v>
      </c>
      <c r="B189" s="3" t="s">
        <v>1033</v>
      </c>
      <c r="C189" s="3" t="s">
        <v>1012</v>
      </c>
      <c r="D189" s="3" t="s">
        <v>1164</v>
      </c>
      <c r="E189" s="3" t="n">
        <v>2</v>
      </c>
      <c r="F189" s="3" t="n">
        <v>2</v>
      </c>
      <c r="G189" s="3" t="s">
        <v>1698</v>
      </c>
      <c r="H189" s="3" t="s">
        <v>1511</v>
      </c>
      <c r="I189" s="4" t="n">
        <v>100.81</v>
      </c>
      <c r="J189" s="3" t="s">
        <v>1479</v>
      </c>
      <c r="K189" s="6" t="n">
        <v>-15.0930683062411</v>
      </c>
      <c r="L189" s="3" t="s">
        <v>1504</v>
      </c>
      <c r="M189" s="6" t="n">
        <v>-15.1715866962059</v>
      </c>
      <c r="N189" s="3" t="n">
        <v>0</v>
      </c>
      <c r="O189" s="3" t="n">
        <v>2</v>
      </c>
    </row>
    <row r="190" customFormat="false" ht="15" hidden="false" customHeight="false" outlineLevel="0" collapsed="false">
      <c r="A190" s="3" t="s">
        <v>159</v>
      </c>
      <c r="B190" s="3" t="s">
        <v>160</v>
      </c>
      <c r="C190" s="3" t="s">
        <v>151</v>
      </c>
      <c r="D190" s="3" t="s">
        <v>1269</v>
      </c>
      <c r="E190" s="3" t="n">
        <v>3</v>
      </c>
      <c r="F190" s="3" t="n">
        <v>3</v>
      </c>
      <c r="G190" s="3" t="s">
        <v>1699</v>
      </c>
      <c r="H190" s="3" t="s">
        <v>1509</v>
      </c>
      <c r="I190" s="4" t="n">
        <v>1135.5</v>
      </c>
      <c r="J190" s="3" t="s">
        <v>1479</v>
      </c>
      <c r="K190" s="6" t="n">
        <v>-11.8400621118012</v>
      </c>
      <c r="L190" s="3" t="s">
        <v>1504</v>
      </c>
      <c r="M190" s="6" t="n">
        <v>-17.5622758097471</v>
      </c>
      <c r="N190" s="3" t="n">
        <v>0</v>
      </c>
      <c r="O190" s="3" t="n">
        <v>3</v>
      </c>
    </row>
    <row r="191" customFormat="false" ht="15" hidden="false" customHeight="false" outlineLevel="0" collapsed="false">
      <c r="A191" s="3" t="s">
        <v>223</v>
      </c>
      <c r="B191" s="3" t="s">
        <v>224</v>
      </c>
      <c r="C191" s="3" t="s">
        <v>206</v>
      </c>
      <c r="D191" s="3" t="s">
        <v>1445</v>
      </c>
      <c r="E191" s="3" t="n">
        <v>6</v>
      </c>
      <c r="F191" s="3" t="n">
        <v>6</v>
      </c>
      <c r="G191" s="3" t="s">
        <v>1700</v>
      </c>
      <c r="H191" s="3" t="s">
        <v>1525</v>
      </c>
      <c r="I191" s="4" t="n">
        <v>161.56</v>
      </c>
      <c r="J191" s="3" t="s">
        <v>1479</v>
      </c>
      <c r="K191" s="6" t="n">
        <v>-12.4336043360434</v>
      </c>
      <c r="L191" s="3" t="s">
        <v>1504</v>
      </c>
      <c r="M191" s="6" t="n">
        <v>-21.5544812514771</v>
      </c>
      <c r="N191" s="3" t="n">
        <v>0</v>
      </c>
      <c r="O191" s="3" t="n">
        <v>6</v>
      </c>
    </row>
    <row r="192" customFormat="false" ht="15" hidden="false" customHeight="false" outlineLevel="0" collapsed="false">
      <c r="A192" s="3" t="s">
        <v>86</v>
      </c>
      <c r="B192" s="3" t="s">
        <v>87</v>
      </c>
      <c r="C192" s="3" t="s">
        <v>57</v>
      </c>
      <c r="D192" s="3" t="s">
        <v>1129</v>
      </c>
      <c r="E192" s="3" t="n">
        <v>3</v>
      </c>
      <c r="F192" s="3" t="n">
        <v>3</v>
      </c>
      <c r="G192" s="3" t="s">
        <v>1701</v>
      </c>
      <c r="H192" s="3" t="s">
        <v>1509</v>
      </c>
      <c r="I192" s="4" t="n">
        <v>21.18</v>
      </c>
      <c r="J192" s="3" t="s">
        <v>1479</v>
      </c>
      <c r="K192" s="6" t="n">
        <v>-8.5097192224622</v>
      </c>
      <c r="L192" s="3" t="s">
        <v>1504</v>
      </c>
      <c r="M192" s="6" t="n">
        <v>-5.28520948191249</v>
      </c>
      <c r="N192" s="3" t="n">
        <v>0</v>
      </c>
      <c r="O192" s="3" t="n">
        <v>3</v>
      </c>
    </row>
    <row r="193" customFormat="false" ht="15" hidden="false" customHeight="false" outlineLevel="0" collapsed="false">
      <c r="A193" s="3" t="s">
        <v>1258</v>
      </c>
      <c r="B193" s="3" t="s">
        <v>1259</v>
      </c>
      <c r="C193" s="3" t="s">
        <v>1251</v>
      </c>
      <c r="D193" s="3" t="s">
        <v>1424</v>
      </c>
      <c r="E193" s="3" t="n">
        <v>2</v>
      </c>
      <c r="F193" s="3" t="n">
        <v>2</v>
      </c>
      <c r="G193" s="3" t="s">
        <v>1702</v>
      </c>
      <c r="H193" s="3" t="s">
        <v>1511</v>
      </c>
      <c r="I193" s="4" t="n">
        <v>1215</v>
      </c>
      <c r="J193" s="3" t="s">
        <v>1479</v>
      </c>
      <c r="K193" s="6" t="n">
        <v>2.16952573158426</v>
      </c>
      <c r="L193" s="3" t="s">
        <v>1507</v>
      </c>
      <c r="M193" s="6" t="n">
        <v>4.34620421245178</v>
      </c>
      <c r="N193" s="3" t="n">
        <v>2</v>
      </c>
      <c r="O193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60"/>
    <col collapsed="false" customWidth="true" hidden="false" outlineLevel="0" max="9" min="7" style="0" width="12"/>
    <col collapsed="false" customWidth="true" hidden="false" outlineLevel="0" max="10" min="10" style="0" width="14"/>
  </cols>
  <sheetData>
    <row r="1" customFormat="false" ht="35.05" hidden="false" customHeight="false" outlineLevel="0" collapsed="false">
      <c r="A1" s="1" t="s">
        <v>1703</v>
      </c>
      <c r="B1" s="1" t="s">
        <v>42</v>
      </c>
      <c r="C1" s="1" t="s">
        <v>1704</v>
      </c>
      <c r="D1" s="1" t="s">
        <v>1705</v>
      </c>
      <c r="E1" s="1" t="s">
        <v>1492</v>
      </c>
      <c r="F1" s="1" t="s">
        <v>1493</v>
      </c>
      <c r="G1" s="1" t="s">
        <v>1706</v>
      </c>
      <c r="H1" s="1" t="s">
        <v>1707</v>
      </c>
      <c r="I1" s="1" t="s">
        <v>1708</v>
      </c>
      <c r="J1" s="1" t="s">
        <v>1497</v>
      </c>
    </row>
    <row r="2" customFormat="false" ht="15" hidden="false" customHeight="false" outlineLevel="0" collapsed="false">
      <c r="A2" s="3" t="n">
        <v>1</v>
      </c>
      <c r="B2" s="3" t="s">
        <v>136</v>
      </c>
      <c r="C2" s="3" t="s">
        <v>137</v>
      </c>
      <c r="D2" s="3" t="n">
        <v>18</v>
      </c>
      <c r="E2" s="3" t="n">
        <v>15</v>
      </c>
      <c r="F2" s="3" t="s">
        <v>1602</v>
      </c>
      <c r="G2" s="3" t="s">
        <v>129</v>
      </c>
      <c r="H2" s="3" t="s">
        <v>1313</v>
      </c>
      <c r="I2" s="3" t="n">
        <v>133.32</v>
      </c>
      <c r="J2" s="6" t="n">
        <v>-5.98025387870241</v>
      </c>
    </row>
    <row r="3" customFormat="false" ht="15" hidden="false" customHeight="false" outlineLevel="0" collapsed="false">
      <c r="A3" s="3" t="n">
        <v>2</v>
      </c>
      <c r="B3" s="3" t="s">
        <v>96</v>
      </c>
      <c r="C3" s="3" t="s">
        <v>97</v>
      </c>
      <c r="D3" s="3" t="n">
        <v>15</v>
      </c>
      <c r="E3" s="3" t="n">
        <v>12</v>
      </c>
      <c r="F3" s="3" t="s">
        <v>1564</v>
      </c>
      <c r="G3" s="3" t="s">
        <v>89</v>
      </c>
      <c r="H3" s="3" t="s">
        <v>1288</v>
      </c>
      <c r="I3" s="3" t="n">
        <v>407.5</v>
      </c>
      <c r="J3" s="6" t="n">
        <v>-21.6798001153181</v>
      </c>
    </row>
    <row r="4" customFormat="false" ht="15" hidden="false" customHeight="false" outlineLevel="0" collapsed="false">
      <c r="A4" s="3" t="n">
        <v>3</v>
      </c>
      <c r="B4" s="3" t="s">
        <v>333</v>
      </c>
      <c r="C4" s="3" t="s">
        <v>334</v>
      </c>
      <c r="D4" s="3" t="n">
        <v>12</v>
      </c>
      <c r="E4" s="3" t="n">
        <v>11</v>
      </c>
      <c r="F4" s="3" t="s">
        <v>1515</v>
      </c>
      <c r="G4" s="3" t="s">
        <v>332</v>
      </c>
      <c r="H4" s="3" t="s">
        <v>1438</v>
      </c>
      <c r="I4" s="3" t="n">
        <v>5175</v>
      </c>
      <c r="J4" s="6" t="n">
        <v>-3.36134453781513</v>
      </c>
    </row>
    <row r="5" customFormat="false" ht="15" hidden="false" customHeight="false" outlineLevel="0" collapsed="false">
      <c r="A5" s="3" t="n">
        <v>4</v>
      </c>
      <c r="B5" s="3" t="s">
        <v>66</v>
      </c>
      <c r="C5" s="3" t="s">
        <v>67</v>
      </c>
      <c r="D5" s="3" t="n">
        <v>12</v>
      </c>
      <c r="E5" s="3" t="n">
        <v>9</v>
      </c>
      <c r="F5" s="3" t="s">
        <v>1566</v>
      </c>
      <c r="G5" s="3" t="s">
        <v>57</v>
      </c>
      <c r="H5" s="3" t="s">
        <v>1438</v>
      </c>
      <c r="I5" s="3" t="n">
        <v>9550</v>
      </c>
      <c r="J5" s="6" t="n">
        <v>3.36616516939063</v>
      </c>
    </row>
    <row r="6" customFormat="false" ht="15" hidden="false" customHeight="false" outlineLevel="0" collapsed="false">
      <c r="A6" s="3" t="n">
        <v>5</v>
      </c>
      <c r="B6" s="3" t="s">
        <v>199</v>
      </c>
      <c r="C6" s="3" t="s">
        <v>200</v>
      </c>
      <c r="D6" s="3" t="n">
        <v>11</v>
      </c>
      <c r="E6" s="3" t="n">
        <v>10</v>
      </c>
      <c r="F6" s="3" t="s">
        <v>1541</v>
      </c>
      <c r="G6" s="3" t="s">
        <v>198</v>
      </c>
      <c r="H6" s="3" t="s">
        <v>1251</v>
      </c>
      <c r="I6" s="3" t="n">
        <v>374.9</v>
      </c>
      <c r="J6" s="6" t="n">
        <v>-12.1602624179944</v>
      </c>
    </row>
    <row r="7" customFormat="false" ht="15" hidden="false" customHeight="false" outlineLevel="0" collapsed="false">
      <c r="A7" s="3" t="n">
        <v>6</v>
      </c>
      <c r="B7" s="3" t="s">
        <v>272</v>
      </c>
      <c r="C7" s="3" t="s">
        <v>273</v>
      </c>
      <c r="D7" s="3" t="n">
        <v>11</v>
      </c>
      <c r="E7" s="3" t="n">
        <v>8</v>
      </c>
      <c r="F7" s="3" t="s">
        <v>1638</v>
      </c>
      <c r="G7" s="3" t="s">
        <v>252</v>
      </c>
      <c r="H7" s="3" t="s">
        <v>1369</v>
      </c>
      <c r="I7" s="3" t="n">
        <v>321.1</v>
      </c>
      <c r="J7" s="6" t="n">
        <v>-8.23092312089167</v>
      </c>
    </row>
    <row r="8" customFormat="false" ht="15" hidden="false" customHeight="false" outlineLevel="0" collapsed="false">
      <c r="A8" s="3" t="n">
        <v>7</v>
      </c>
      <c r="B8" s="3" t="s">
        <v>145</v>
      </c>
      <c r="C8" s="3" t="s">
        <v>146</v>
      </c>
      <c r="D8" s="3" t="n">
        <v>11</v>
      </c>
      <c r="E8" s="3" t="n">
        <v>10</v>
      </c>
      <c r="F8" s="3" t="s">
        <v>1682</v>
      </c>
      <c r="G8" s="3" t="s">
        <v>129</v>
      </c>
      <c r="H8" s="3" t="s">
        <v>1438</v>
      </c>
      <c r="I8" s="3" t="n">
        <v>1542.2</v>
      </c>
      <c r="J8" s="6" t="n">
        <v>-6.01499177280761</v>
      </c>
    </row>
    <row r="9" customFormat="false" ht="15" hidden="false" customHeight="false" outlineLevel="0" collapsed="false">
      <c r="A9" s="3" t="n">
        <v>8</v>
      </c>
      <c r="B9" s="3" t="s">
        <v>207</v>
      </c>
      <c r="C9" s="3" t="s">
        <v>208</v>
      </c>
      <c r="D9" s="3" t="n">
        <v>10</v>
      </c>
      <c r="E9" s="3" t="n">
        <v>10</v>
      </c>
      <c r="F9" s="3" t="s">
        <v>1502</v>
      </c>
      <c r="G9" s="3" t="s">
        <v>206</v>
      </c>
      <c r="H9" s="3" t="s">
        <v>1369</v>
      </c>
      <c r="I9" s="3" t="n">
        <v>1045</v>
      </c>
      <c r="J9" s="6" t="n">
        <v>-12.3322147651007</v>
      </c>
    </row>
    <row r="10" customFormat="false" ht="15" hidden="false" customHeight="false" outlineLevel="0" collapsed="false">
      <c r="A10" s="3" t="n">
        <v>9</v>
      </c>
      <c r="B10" s="3" t="s">
        <v>328</v>
      </c>
      <c r="C10" s="3" t="s">
        <v>329</v>
      </c>
      <c r="D10" s="3" t="n">
        <v>10</v>
      </c>
      <c r="E10" s="3" t="n">
        <v>7</v>
      </c>
      <c r="F10" s="3" t="s">
        <v>1546</v>
      </c>
      <c r="G10" s="3" t="s">
        <v>326</v>
      </c>
      <c r="H10" s="3" t="s">
        <v>1327</v>
      </c>
      <c r="I10" s="3" t="n">
        <v>4915</v>
      </c>
      <c r="J10" s="6" t="n">
        <v>-10.9198006343453</v>
      </c>
    </row>
    <row r="11" customFormat="false" ht="15" hidden="false" customHeight="false" outlineLevel="0" collapsed="false">
      <c r="A11" s="3" t="n">
        <v>10</v>
      </c>
      <c r="B11" s="3" t="s">
        <v>364</v>
      </c>
      <c r="C11" s="3" t="s">
        <v>365</v>
      </c>
      <c r="D11" s="3" t="n">
        <v>10</v>
      </c>
      <c r="E11" s="3" t="n">
        <v>10</v>
      </c>
      <c r="F11" s="3" t="s">
        <v>1595</v>
      </c>
      <c r="G11" s="3" t="s">
        <v>356</v>
      </c>
      <c r="H11" s="3" t="s">
        <v>1445</v>
      </c>
      <c r="I11" s="3" t="n">
        <v>458.7</v>
      </c>
      <c r="J11" s="6" t="n">
        <v>-11.2851755149405</v>
      </c>
    </row>
    <row r="12" customFormat="false" ht="15" hidden="false" customHeight="false" outlineLevel="0" collapsed="false">
      <c r="A12" s="3" t="n">
        <v>11</v>
      </c>
      <c r="B12" s="3" t="s">
        <v>237</v>
      </c>
      <c r="C12" s="3" t="s">
        <v>238</v>
      </c>
      <c r="D12" s="3" t="n">
        <v>10</v>
      </c>
      <c r="E12" s="3" t="n">
        <v>9</v>
      </c>
      <c r="F12" s="3" t="s">
        <v>1651</v>
      </c>
      <c r="G12" s="3" t="s">
        <v>226</v>
      </c>
      <c r="H12" s="3" t="s">
        <v>1251</v>
      </c>
      <c r="I12" s="3" t="n">
        <v>1952.2</v>
      </c>
      <c r="J12" s="6" t="n">
        <v>-4.65911310802891</v>
      </c>
    </row>
    <row r="13" customFormat="false" ht="15" hidden="false" customHeight="false" outlineLevel="0" collapsed="false">
      <c r="A13" s="3" t="n">
        <v>12</v>
      </c>
      <c r="B13" s="3" t="s">
        <v>164</v>
      </c>
      <c r="C13" s="3" t="s">
        <v>165</v>
      </c>
      <c r="D13" s="3" t="n">
        <v>10</v>
      </c>
      <c r="E13" s="3" t="n">
        <v>9</v>
      </c>
      <c r="F13" s="3" t="s">
        <v>1653</v>
      </c>
      <c r="G13" s="3" t="s">
        <v>163</v>
      </c>
      <c r="H13" s="3" t="s">
        <v>1318</v>
      </c>
      <c r="I13" s="3" t="n">
        <v>1503</v>
      </c>
      <c r="J13" s="6" t="n">
        <v>-4.02911691462869</v>
      </c>
    </row>
    <row r="14" customFormat="false" ht="15" hidden="false" customHeight="false" outlineLevel="0" collapsed="false">
      <c r="A14" s="3" t="n">
        <v>13</v>
      </c>
      <c r="B14" s="3" t="s">
        <v>319</v>
      </c>
      <c r="C14" s="3" t="s">
        <v>320</v>
      </c>
      <c r="D14" s="3" t="n">
        <v>9</v>
      </c>
      <c r="E14" s="3" t="n">
        <v>8</v>
      </c>
      <c r="F14" s="3" t="s">
        <v>1551</v>
      </c>
      <c r="G14" s="3" t="s">
        <v>318</v>
      </c>
      <c r="H14" s="3" t="s">
        <v>1385</v>
      </c>
      <c r="I14" s="3" t="n">
        <v>1634.2</v>
      </c>
      <c r="J14" s="6" t="n">
        <v>-15.7628865979381</v>
      </c>
    </row>
    <row r="15" customFormat="false" ht="15" hidden="false" customHeight="false" outlineLevel="0" collapsed="false">
      <c r="A15" s="3" t="n">
        <v>14</v>
      </c>
      <c r="B15" s="3" t="s">
        <v>260</v>
      </c>
      <c r="C15" s="3" t="s">
        <v>261</v>
      </c>
      <c r="D15" s="3" t="n">
        <v>9</v>
      </c>
      <c r="E15" s="3" t="n">
        <v>8</v>
      </c>
      <c r="F15" s="3" t="s">
        <v>1579</v>
      </c>
      <c r="G15" s="3" t="s">
        <v>252</v>
      </c>
      <c r="H15" s="3" t="s">
        <v>1129</v>
      </c>
      <c r="I15" s="3" t="n">
        <v>94.75</v>
      </c>
      <c r="J15" s="6" t="n">
        <v>-5.59928265417954</v>
      </c>
    </row>
    <row r="16" customFormat="false" ht="15" hidden="false" customHeight="false" outlineLevel="0" collapsed="false">
      <c r="A16" s="3" t="n">
        <v>15</v>
      </c>
      <c r="B16" s="3" t="s">
        <v>399</v>
      </c>
      <c r="C16" s="3" t="s">
        <v>400</v>
      </c>
      <c r="D16" s="3" t="n">
        <v>9</v>
      </c>
      <c r="E16" s="3" t="n">
        <v>7</v>
      </c>
      <c r="F16" s="3" t="s">
        <v>1587</v>
      </c>
      <c r="G16" s="3" t="s">
        <v>395</v>
      </c>
      <c r="H16" s="3" t="s">
        <v>1369</v>
      </c>
      <c r="I16" s="3" t="n">
        <v>531.6</v>
      </c>
      <c r="J16" s="6" t="n">
        <v>-2.45871559633027</v>
      </c>
    </row>
    <row r="17" customFormat="false" ht="15" hidden="false" customHeight="false" outlineLevel="0" collapsed="false">
      <c r="A17" s="3" t="n">
        <v>16</v>
      </c>
      <c r="B17" s="3" t="s">
        <v>901</v>
      </c>
      <c r="C17" s="3" t="s">
        <v>902</v>
      </c>
      <c r="D17" s="3" t="n">
        <v>9</v>
      </c>
      <c r="E17" s="3" t="n">
        <v>8</v>
      </c>
      <c r="F17" s="3" t="s">
        <v>1633</v>
      </c>
      <c r="G17" s="3" t="s">
        <v>888</v>
      </c>
      <c r="H17" s="3" t="s">
        <v>1415</v>
      </c>
      <c r="I17" s="3" t="n">
        <v>1093.9</v>
      </c>
      <c r="J17" s="6" t="n">
        <v>-10.1150369761709</v>
      </c>
    </row>
    <row r="18" customFormat="false" ht="15" hidden="false" customHeight="false" outlineLevel="0" collapsed="false">
      <c r="A18" s="3" t="n">
        <v>17</v>
      </c>
      <c r="B18" s="3" t="s">
        <v>114</v>
      </c>
      <c r="C18" s="3" t="s">
        <v>115</v>
      </c>
      <c r="D18" s="3" t="n">
        <v>9</v>
      </c>
      <c r="E18" s="3" t="n">
        <v>7</v>
      </c>
      <c r="F18" s="3" t="s">
        <v>1637</v>
      </c>
      <c r="G18" s="3" t="s">
        <v>89</v>
      </c>
      <c r="H18" s="3" t="s">
        <v>1369</v>
      </c>
      <c r="I18" s="3" t="n">
        <v>77.43</v>
      </c>
      <c r="J18" s="6" t="n">
        <v>-9.75524475524474</v>
      </c>
    </row>
    <row r="19" customFormat="false" ht="15" hidden="false" customHeight="false" outlineLevel="0" collapsed="false">
      <c r="A19" s="3" t="n">
        <v>18</v>
      </c>
      <c r="B19" s="3" t="s">
        <v>300</v>
      </c>
      <c r="C19" s="3" t="s">
        <v>301</v>
      </c>
      <c r="D19" s="3" t="n">
        <v>9</v>
      </c>
      <c r="E19" s="3" t="n">
        <v>7</v>
      </c>
      <c r="F19" s="3" t="s">
        <v>1668</v>
      </c>
      <c r="G19" s="3" t="s">
        <v>288</v>
      </c>
      <c r="H19" s="3" t="s">
        <v>1161</v>
      </c>
      <c r="I19" s="3" t="n">
        <v>962</v>
      </c>
      <c r="J19" s="6" t="n">
        <v>-0.870730073677165</v>
      </c>
    </row>
    <row r="20" customFormat="false" ht="15" hidden="false" customHeight="false" outlineLevel="0" collapsed="false">
      <c r="A20" s="3" t="n">
        <v>19</v>
      </c>
      <c r="B20" s="3" t="s">
        <v>148</v>
      </c>
      <c r="C20" s="3" t="s">
        <v>149</v>
      </c>
      <c r="D20" s="3" t="n">
        <v>9</v>
      </c>
      <c r="E20" s="3" t="n">
        <v>6</v>
      </c>
      <c r="F20" s="3" t="s">
        <v>1687</v>
      </c>
      <c r="G20" s="3" t="s">
        <v>129</v>
      </c>
      <c r="H20" s="3" t="s">
        <v>1445</v>
      </c>
      <c r="I20" s="3" t="n">
        <v>4869</v>
      </c>
      <c r="J20" s="6" t="n">
        <v>-3.88866956178445</v>
      </c>
    </row>
    <row r="21" customFormat="false" ht="15" hidden="false" customHeight="false" outlineLevel="0" collapsed="false">
      <c r="A21" s="3" t="n">
        <v>20</v>
      </c>
      <c r="B21" s="3" t="s">
        <v>380</v>
      </c>
      <c r="C21" s="3" t="s">
        <v>381</v>
      </c>
      <c r="D21" s="3" t="n">
        <v>8</v>
      </c>
      <c r="E21" s="3" t="n">
        <v>7</v>
      </c>
      <c r="F21" s="3" t="s">
        <v>1527</v>
      </c>
      <c r="G21" s="3" t="s">
        <v>378</v>
      </c>
      <c r="H21" s="3" t="s">
        <v>1445</v>
      </c>
      <c r="I21" s="3" t="n">
        <v>1697.5</v>
      </c>
      <c r="J21" s="6" t="n">
        <v>-1.13570180547467</v>
      </c>
    </row>
    <row r="22" customFormat="false" ht="15" hidden="false" customHeight="false" outlineLevel="0" collapsed="false">
      <c r="A22" s="3" t="n">
        <v>21</v>
      </c>
      <c r="B22" s="3" t="s">
        <v>245</v>
      </c>
      <c r="C22" s="3" t="s">
        <v>246</v>
      </c>
      <c r="D22" s="3" t="n">
        <v>8</v>
      </c>
      <c r="E22" s="3" t="n">
        <v>7</v>
      </c>
      <c r="F22" s="3" t="s">
        <v>1592</v>
      </c>
      <c r="G22" s="3" t="s">
        <v>241</v>
      </c>
      <c r="H22" s="3" t="s">
        <v>1277</v>
      </c>
      <c r="I22" s="3" t="n">
        <v>1896</v>
      </c>
      <c r="J22" s="6" t="n">
        <v>-11.5877826999301</v>
      </c>
    </row>
    <row r="23" customFormat="false" ht="15" hidden="false" customHeight="false" outlineLevel="0" collapsed="false">
      <c r="A23" s="3" t="n">
        <v>22</v>
      </c>
      <c r="B23" s="3" t="s">
        <v>203</v>
      </c>
      <c r="C23" s="3" t="s">
        <v>204</v>
      </c>
      <c r="D23" s="3" t="n">
        <v>8</v>
      </c>
      <c r="E23" s="3" t="n">
        <v>6</v>
      </c>
      <c r="F23" s="3" t="s">
        <v>1611</v>
      </c>
      <c r="G23" s="3" t="s">
        <v>198</v>
      </c>
      <c r="H23" s="3" t="s">
        <v>1424</v>
      </c>
      <c r="I23" s="3" t="n">
        <v>2010.7</v>
      </c>
      <c r="J23" s="6" t="n">
        <v>4.21374520576345</v>
      </c>
    </row>
    <row r="24" customFormat="false" ht="15" hidden="false" customHeight="false" outlineLevel="0" collapsed="false">
      <c r="A24" s="3" t="n">
        <v>23</v>
      </c>
      <c r="B24" s="3" t="s">
        <v>296</v>
      </c>
      <c r="C24" s="3" t="s">
        <v>297</v>
      </c>
      <c r="D24" s="3" t="n">
        <v>8</v>
      </c>
      <c r="E24" s="3" t="n">
        <v>6</v>
      </c>
      <c r="F24" s="3" t="s">
        <v>1622</v>
      </c>
      <c r="G24" s="3" t="s">
        <v>288</v>
      </c>
      <c r="H24" s="3" t="s">
        <v>1327</v>
      </c>
      <c r="I24" s="3" t="n">
        <v>2062</v>
      </c>
      <c r="J24" s="6" t="n">
        <v>-15.7335512872906</v>
      </c>
    </row>
    <row r="25" customFormat="false" ht="15" hidden="false" customHeight="false" outlineLevel="0" collapsed="false">
      <c r="A25" s="3" t="n">
        <v>24</v>
      </c>
      <c r="B25" s="3" t="s">
        <v>368</v>
      </c>
      <c r="C25" s="3" t="s">
        <v>369</v>
      </c>
      <c r="D25" s="3" t="n">
        <v>8</v>
      </c>
      <c r="E25" s="3" t="n">
        <v>7</v>
      </c>
      <c r="F25" s="3" t="s">
        <v>1630</v>
      </c>
      <c r="G25" s="3" t="s">
        <v>356</v>
      </c>
      <c r="H25" s="3" t="s">
        <v>1343</v>
      </c>
      <c r="I25" s="3" t="n">
        <v>162.37</v>
      </c>
      <c r="J25" s="6" t="n">
        <v>7.70812603648425</v>
      </c>
    </row>
    <row r="26" customFormat="false" ht="15" hidden="false" customHeight="false" outlineLevel="0" collapsed="false">
      <c r="A26" s="3" t="n">
        <v>25</v>
      </c>
      <c r="B26" s="3" t="s">
        <v>765</v>
      </c>
      <c r="C26" s="3" t="s">
        <v>766</v>
      </c>
      <c r="D26" s="3" t="n">
        <v>8</v>
      </c>
      <c r="E26" s="3" t="n">
        <v>6</v>
      </c>
      <c r="F26" s="3" t="s">
        <v>1641</v>
      </c>
      <c r="G26" s="3" t="s">
        <v>760</v>
      </c>
      <c r="H26" s="3" t="s">
        <v>1338</v>
      </c>
      <c r="I26" s="3" t="n">
        <v>325.5</v>
      </c>
      <c r="J26" s="6" t="n">
        <v>-2.47191011235955</v>
      </c>
    </row>
    <row r="27" customFormat="false" ht="15" hidden="false" customHeight="false" outlineLevel="0" collapsed="false">
      <c r="A27" s="3" t="n">
        <v>26</v>
      </c>
      <c r="B27" s="3" t="s">
        <v>623</v>
      </c>
      <c r="C27" s="3" t="s">
        <v>624</v>
      </c>
      <c r="D27" s="3" t="n">
        <v>8</v>
      </c>
      <c r="E27" s="3" t="n">
        <v>7</v>
      </c>
      <c r="F27" s="3" t="s">
        <v>1674</v>
      </c>
      <c r="G27" s="3" t="s">
        <v>616</v>
      </c>
      <c r="H27" s="3" t="s">
        <v>1445</v>
      </c>
      <c r="I27" s="3" t="n">
        <v>1838</v>
      </c>
      <c r="J27" s="6" t="n">
        <v>-7.39621120515921</v>
      </c>
    </row>
    <row r="28" customFormat="false" ht="15" hidden="false" customHeight="false" outlineLevel="0" collapsed="false">
      <c r="A28" s="3" t="n">
        <v>27</v>
      </c>
      <c r="B28" s="3" t="s">
        <v>58</v>
      </c>
      <c r="C28" s="3" t="s">
        <v>59</v>
      </c>
      <c r="D28" s="3" t="n">
        <v>7</v>
      </c>
      <c r="E28" s="3" t="n">
        <v>7</v>
      </c>
      <c r="F28" s="3" t="s">
        <v>1518</v>
      </c>
      <c r="G28" s="3" t="s">
        <v>57</v>
      </c>
      <c r="H28" s="3" t="s">
        <v>1438</v>
      </c>
      <c r="I28" s="3" t="n">
        <v>2197</v>
      </c>
      <c r="J28" s="6" t="n">
        <v>-3.02789548022599</v>
      </c>
    </row>
    <row r="29" customFormat="false" ht="15" hidden="false" customHeight="false" outlineLevel="0" collapsed="false">
      <c r="A29" s="3" t="n">
        <v>28</v>
      </c>
      <c r="B29" s="3" t="s">
        <v>664</v>
      </c>
      <c r="C29" s="3" t="s">
        <v>665</v>
      </c>
      <c r="D29" s="3" t="n">
        <v>7</v>
      </c>
      <c r="E29" s="3" t="n">
        <v>7</v>
      </c>
      <c r="F29" s="3" t="s">
        <v>1538</v>
      </c>
      <c r="G29" s="3" t="s">
        <v>663</v>
      </c>
      <c r="H29" s="3" t="s">
        <v>1343</v>
      </c>
      <c r="I29" s="3" t="n">
        <v>1957</v>
      </c>
      <c r="J29" s="6" t="n">
        <v>-11.0373670333667</v>
      </c>
    </row>
    <row r="30" customFormat="false" ht="15" hidden="false" customHeight="false" outlineLevel="0" collapsed="false">
      <c r="A30" s="3" t="n">
        <v>29</v>
      </c>
      <c r="B30" s="3" t="s">
        <v>490</v>
      </c>
      <c r="C30" s="3" t="s">
        <v>491</v>
      </c>
      <c r="D30" s="3" t="n">
        <v>7</v>
      </c>
      <c r="E30" s="3" t="n">
        <v>6</v>
      </c>
      <c r="F30" s="3" t="s">
        <v>1544</v>
      </c>
      <c r="G30" s="3" t="s">
        <v>483</v>
      </c>
      <c r="H30" s="3" t="s">
        <v>1462</v>
      </c>
      <c r="I30" s="3" t="n">
        <v>302.25</v>
      </c>
      <c r="J30" s="6" t="n">
        <v>-5.42866082603255</v>
      </c>
    </row>
    <row r="31" customFormat="false" ht="15" hidden="false" customHeight="false" outlineLevel="0" collapsed="false">
      <c r="A31" s="3" t="n">
        <v>30</v>
      </c>
      <c r="B31" s="3" t="s">
        <v>216</v>
      </c>
      <c r="C31" s="3" t="s">
        <v>217</v>
      </c>
      <c r="D31" s="3" t="n">
        <v>7</v>
      </c>
      <c r="E31" s="3" t="n">
        <v>7</v>
      </c>
      <c r="F31" s="3" t="s">
        <v>1553</v>
      </c>
      <c r="G31" s="3" t="s">
        <v>206</v>
      </c>
      <c r="H31" s="3" t="s">
        <v>1327</v>
      </c>
      <c r="I31" s="3" t="n">
        <v>1383.7</v>
      </c>
      <c r="J31" s="6" t="n">
        <v>-6.14528928983246</v>
      </c>
    </row>
    <row r="32" customFormat="false" ht="15" hidden="false" customHeight="false" outlineLevel="0" collapsed="false">
      <c r="A32" s="3" t="n">
        <v>31</v>
      </c>
      <c r="B32" s="3" t="s">
        <v>93</v>
      </c>
      <c r="C32" s="3" t="s">
        <v>94</v>
      </c>
      <c r="D32" s="3" t="n">
        <v>7</v>
      </c>
      <c r="E32" s="3" t="n">
        <v>6</v>
      </c>
      <c r="F32" s="3" t="s">
        <v>1563</v>
      </c>
      <c r="G32" s="3" t="s">
        <v>89</v>
      </c>
      <c r="H32" s="3" t="s">
        <v>1190</v>
      </c>
      <c r="I32" s="3" t="n">
        <v>1651.6</v>
      </c>
      <c r="J32" s="6" t="n">
        <v>-3.94323601256253</v>
      </c>
    </row>
    <row r="33" customFormat="false" ht="15" hidden="false" customHeight="false" outlineLevel="0" collapsed="false">
      <c r="A33" s="3" t="n">
        <v>32</v>
      </c>
      <c r="B33" s="3" t="s">
        <v>254</v>
      </c>
      <c r="C33" s="3" t="s">
        <v>255</v>
      </c>
      <c r="D33" s="3" t="n">
        <v>7</v>
      </c>
      <c r="E33" s="3" t="n">
        <v>6</v>
      </c>
      <c r="F33" s="3" t="s">
        <v>1568</v>
      </c>
      <c r="G33" s="3" t="s">
        <v>252</v>
      </c>
      <c r="H33" s="3" t="s">
        <v>1288</v>
      </c>
      <c r="I33" s="3" t="n">
        <v>663.55</v>
      </c>
      <c r="J33" s="6" t="n">
        <v>-3.23733138899016</v>
      </c>
    </row>
    <row r="34" customFormat="false" ht="15" hidden="false" customHeight="false" outlineLevel="0" collapsed="false">
      <c r="A34" s="3" t="n">
        <v>33</v>
      </c>
      <c r="B34" s="3" t="s">
        <v>101</v>
      </c>
      <c r="C34" s="3" t="s">
        <v>102</v>
      </c>
      <c r="D34" s="3" t="n">
        <v>7</v>
      </c>
      <c r="E34" s="3" t="n">
        <v>7</v>
      </c>
      <c r="F34" s="3" t="s">
        <v>1586</v>
      </c>
      <c r="G34" s="3" t="s">
        <v>89</v>
      </c>
      <c r="H34" s="3" t="s">
        <v>1305</v>
      </c>
      <c r="I34" s="3" t="n">
        <v>2302.3</v>
      </c>
      <c r="J34" s="6" t="n">
        <v>-15.6419463579071</v>
      </c>
    </row>
    <row r="35" customFormat="false" ht="15" hidden="false" customHeight="false" outlineLevel="0" collapsed="false">
      <c r="A35" s="3" t="n">
        <v>34</v>
      </c>
      <c r="B35" s="3" t="s">
        <v>175</v>
      </c>
      <c r="C35" s="3" t="s">
        <v>176</v>
      </c>
      <c r="D35" s="3" t="n">
        <v>7</v>
      </c>
      <c r="E35" s="3" t="n">
        <v>7</v>
      </c>
      <c r="F35" s="3" t="s">
        <v>1607</v>
      </c>
      <c r="G35" s="3" t="s">
        <v>167</v>
      </c>
      <c r="H35" s="3" t="s">
        <v>1369</v>
      </c>
      <c r="I35" s="3" t="n">
        <v>1264.1</v>
      </c>
      <c r="J35" s="6" t="n">
        <v>-4.95488721804512</v>
      </c>
    </row>
    <row r="36" customFormat="false" ht="15" hidden="false" customHeight="false" outlineLevel="0" collapsed="false">
      <c r="A36" s="3" t="n">
        <v>35</v>
      </c>
      <c r="B36" s="3" t="s">
        <v>152</v>
      </c>
      <c r="C36" s="3" t="s">
        <v>153</v>
      </c>
      <c r="D36" s="3" t="n">
        <v>7</v>
      </c>
      <c r="E36" s="3" t="n">
        <v>6</v>
      </c>
      <c r="F36" s="3" t="s">
        <v>1615</v>
      </c>
      <c r="G36" s="3" t="s">
        <v>151</v>
      </c>
      <c r="H36" s="3" t="s">
        <v>1261</v>
      </c>
      <c r="I36" s="3" t="n">
        <v>1117.1</v>
      </c>
      <c r="J36" s="6" t="n">
        <v>1.93448307327309</v>
      </c>
    </row>
    <row r="37" customFormat="false" ht="15" hidden="false" customHeight="false" outlineLevel="0" collapsed="false">
      <c r="A37" s="3" t="n">
        <v>36</v>
      </c>
      <c r="B37" s="3" t="s">
        <v>139</v>
      </c>
      <c r="C37" s="3" t="s">
        <v>140</v>
      </c>
      <c r="D37" s="3" t="n">
        <v>7</v>
      </c>
      <c r="E37" s="3" t="n">
        <v>7</v>
      </c>
      <c r="F37" s="3" t="s">
        <v>1624</v>
      </c>
      <c r="G37" s="3" t="s">
        <v>129</v>
      </c>
      <c r="H37" s="3" t="s">
        <v>1102</v>
      </c>
      <c r="I37" s="3" t="n">
        <v>2435.6</v>
      </c>
      <c r="J37" s="6" t="n">
        <v>-2.6927686775869</v>
      </c>
    </row>
    <row r="38" customFormat="false" ht="15" hidden="false" customHeight="false" outlineLevel="0" collapsed="false">
      <c r="A38" s="3" t="n">
        <v>37</v>
      </c>
      <c r="B38" s="3" t="s">
        <v>80</v>
      </c>
      <c r="C38" s="3" t="s">
        <v>81</v>
      </c>
      <c r="D38" s="3" t="n">
        <v>7</v>
      </c>
      <c r="E38" s="3" t="n">
        <v>7</v>
      </c>
      <c r="F38" s="3" t="s">
        <v>1629</v>
      </c>
      <c r="G38" s="3" t="s">
        <v>57</v>
      </c>
      <c r="H38" s="3" t="s">
        <v>1327</v>
      </c>
      <c r="I38" s="3" t="n">
        <v>1444</v>
      </c>
      <c r="J38" s="6" t="n">
        <v>-4.69275955382482</v>
      </c>
    </row>
    <row r="39" customFormat="false" ht="15" hidden="false" customHeight="false" outlineLevel="0" collapsed="false">
      <c r="A39" s="3" t="n">
        <v>38</v>
      </c>
      <c r="B39" s="3" t="s">
        <v>541</v>
      </c>
      <c r="C39" s="3" t="s">
        <v>542</v>
      </c>
      <c r="D39" s="3" t="n">
        <v>7</v>
      </c>
      <c r="E39" s="3" t="n">
        <v>6</v>
      </c>
      <c r="F39" s="3" t="s">
        <v>1632</v>
      </c>
      <c r="G39" s="3" t="s">
        <v>533</v>
      </c>
      <c r="H39" s="3" t="s">
        <v>1343</v>
      </c>
      <c r="I39" s="3" t="n">
        <v>2760</v>
      </c>
      <c r="J39" s="6" t="n">
        <v>-11.5271188613925</v>
      </c>
    </row>
    <row r="40" customFormat="false" ht="15" hidden="false" customHeight="false" outlineLevel="0" collapsed="false">
      <c r="A40" s="3" t="n">
        <v>39</v>
      </c>
      <c r="B40" s="3" t="s">
        <v>117</v>
      </c>
      <c r="C40" s="3" t="s">
        <v>118</v>
      </c>
      <c r="D40" s="3" t="n">
        <v>7</v>
      </c>
      <c r="E40" s="3" t="n">
        <v>6</v>
      </c>
      <c r="F40" s="3" t="s">
        <v>1649</v>
      </c>
      <c r="G40" s="3" t="s">
        <v>89</v>
      </c>
      <c r="H40" s="3" t="s">
        <v>1445</v>
      </c>
      <c r="I40" s="3" t="n">
        <v>289.85</v>
      </c>
      <c r="J40" s="6" t="n">
        <v>-3.57618097139055</v>
      </c>
    </row>
    <row r="41" customFormat="false" ht="15" hidden="false" customHeight="false" outlineLevel="0" collapsed="false">
      <c r="A41" s="3" t="n">
        <v>40</v>
      </c>
      <c r="B41" s="3" t="s">
        <v>120</v>
      </c>
      <c r="C41" s="3" t="s">
        <v>121</v>
      </c>
      <c r="D41" s="3" t="n">
        <v>7</v>
      </c>
      <c r="E41" s="3" t="n">
        <v>6</v>
      </c>
      <c r="F41" s="3" t="s">
        <v>1650</v>
      </c>
      <c r="G41" s="3" t="s">
        <v>89</v>
      </c>
      <c r="H41" s="3" t="s">
        <v>1327</v>
      </c>
      <c r="I41" s="3" t="n">
        <v>330</v>
      </c>
      <c r="J41" s="6" t="n">
        <v>-22.7347225474128</v>
      </c>
    </row>
    <row r="42" customFormat="false" ht="15" hidden="false" customHeight="false" outlineLevel="0" collapsed="false">
      <c r="A42" s="3" t="n">
        <v>41</v>
      </c>
      <c r="B42" s="3" t="s">
        <v>550</v>
      </c>
      <c r="C42" s="3" t="s">
        <v>551</v>
      </c>
      <c r="D42" s="3" t="n">
        <v>7</v>
      </c>
      <c r="E42" s="3" t="n">
        <v>6</v>
      </c>
      <c r="F42" s="3" t="s">
        <v>1660</v>
      </c>
      <c r="G42" s="3" t="s">
        <v>533</v>
      </c>
      <c r="H42" s="3" t="s">
        <v>1465</v>
      </c>
      <c r="I42" s="3" t="n">
        <v>1470.8</v>
      </c>
      <c r="J42" s="6" t="n">
        <v>-8.94006934125805</v>
      </c>
    </row>
    <row r="43" customFormat="false" ht="15" hidden="false" customHeight="false" outlineLevel="0" collapsed="false">
      <c r="A43" s="3" t="n">
        <v>42</v>
      </c>
      <c r="B43" s="3" t="s">
        <v>453</v>
      </c>
      <c r="C43" s="3" t="s">
        <v>454</v>
      </c>
      <c r="D43" s="3" t="n">
        <v>7</v>
      </c>
      <c r="E43" s="3" t="n">
        <v>7</v>
      </c>
      <c r="F43" s="3" t="s">
        <v>1672</v>
      </c>
      <c r="G43" s="3" t="s">
        <v>444</v>
      </c>
      <c r="H43" s="3" t="s">
        <v>1313</v>
      </c>
      <c r="I43" s="3" t="n">
        <v>807.9</v>
      </c>
      <c r="J43" s="6" t="n">
        <v>18.2177348551361</v>
      </c>
    </row>
    <row r="44" customFormat="false" ht="15" hidden="false" customHeight="false" outlineLevel="0" collapsed="false">
      <c r="A44" s="3" t="n">
        <v>43</v>
      </c>
      <c r="B44" s="3" t="s">
        <v>142</v>
      </c>
      <c r="C44" s="3" t="s">
        <v>143</v>
      </c>
      <c r="D44" s="3" t="n">
        <v>7</v>
      </c>
      <c r="E44" s="3" t="n">
        <v>7</v>
      </c>
      <c r="F44" s="3" t="s">
        <v>1678</v>
      </c>
      <c r="G44" s="3" t="s">
        <v>129</v>
      </c>
      <c r="H44" s="3" t="s">
        <v>1242</v>
      </c>
      <c r="I44" s="3" t="n">
        <v>960</v>
      </c>
      <c r="J44" s="6" t="n">
        <v>-13.2947976878613</v>
      </c>
    </row>
    <row r="45" customFormat="false" ht="15" hidden="false" customHeight="false" outlineLevel="0" collapsed="false">
      <c r="A45" s="3" t="n">
        <v>44</v>
      </c>
      <c r="B45" s="3" t="s">
        <v>156</v>
      </c>
      <c r="C45" s="3" t="s">
        <v>157</v>
      </c>
      <c r="D45" s="3" t="n">
        <v>7</v>
      </c>
      <c r="E45" s="3" t="n">
        <v>7</v>
      </c>
      <c r="F45" s="3" t="s">
        <v>1694</v>
      </c>
      <c r="G45" s="3" t="s">
        <v>151</v>
      </c>
      <c r="H45" s="3" t="s">
        <v>1408</v>
      </c>
      <c r="I45" s="3" t="n">
        <v>1173</v>
      </c>
      <c r="J45" s="6" t="n">
        <v>-7.63052208835342</v>
      </c>
    </row>
    <row r="46" customFormat="false" ht="15" hidden="false" customHeight="false" outlineLevel="0" collapsed="false">
      <c r="A46" s="3" t="n">
        <v>45</v>
      </c>
      <c r="B46" s="3" t="s">
        <v>182</v>
      </c>
      <c r="C46" s="3" t="s">
        <v>183</v>
      </c>
      <c r="D46" s="3" t="n">
        <v>6</v>
      </c>
      <c r="E46" s="3" t="n">
        <v>6</v>
      </c>
      <c r="F46" s="3" t="s">
        <v>1524</v>
      </c>
      <c r="G46" s="3" t="s">
        <v>181</v>
      </c>
      <c r="H46" s="3" t="s">
        <v>1012</v>
      </c>
      <c r="I46" s="3" t="n">
        <v>1370.5</v>
      </c>
      <c r="J46" s="6" t="n">
        <v>-14.6105919003115</v>
      </c>
    </row>
    <row r="47" customFormat="false" ht="15" hidden="false" customHeight="false" outlineLevel="0" collapsed="false">
      <c r="A47" s="3" t="n">
        <v>46</v>
      </c>
      <c r="B47" s="3" t="s">
        <v>396</v>
      </c>
      <c r="C47" s="3" t="s">
        <v>397</v>
      </c>
      <c r="D47" s="3" t="n">
        <v>6</v>
      </c>
      <c r="E47" s="3" t="n">
        <v>6</v>
      </c>
      <c r="F47" s="3" t="s">
        <v>1526</v>
      </c>
      <c r="G47" s="3" t="s">
        <v>395</v>
      </c>
      <c r="H47" s="3" t="s">
        <v>1343</v>
      </c>
      <c r="I47" s="3" t="n">
        <v>995.3</v>
      </c>
      <c r="J47" s="6" t="n">
        <v>-4.96514847703619</v>
      </c>
    </row>
    <row r="48" customFormat="false" ht="15" hidden="false" customHeight="false" outlineLevel="0" collapsed="false">
      <c r="A48" s="3" t="n">
        <v>47</v>
      </c>
      <c r="B48" s="3" t="s">
        <v>210</v>
      </c>
      <c r="C48" s="3" t="s">
        <v>211</v>
      </c>
      <c r="D48" s="3" t="n">
        <v>6</v>
      </c>
      <c r="E48" s="3" t="n">
        <v>5</v>
      </c>
      <c r="F48" s="3" t="s">
        <v>1530</v>
      </c>
      <c r="G48" s="3" t="s">
        <v>206</v>
      </c>
      <c r="H48" s="3" t="s">
        <v>1237</v>
      </c>
      <c r="I48" s="3" t="n">
        <v>1752</v>
      </c>
      <c r="J48" s="6" t="n">
        <v>-2.53671562082777</v>
      </c>
    </row>
    <row r="49" customFormat="false" ht="15" hidden="false" customHeight="false" outlineLevel="0" collapsed="false">
      <c r="A49" s="3" t="n">
        <v>48</v>
      </c>
      <c r="B49" s="3" t="s">
        <v>686</v>
      </c>
      <c r="C49" s="3" t="s">
        <v>687</v>
      </c>
      <c r="D49" s="3" t="n">
        <v>6</v>
      </c>
      <c r="E49" s="3" t="n">
        <v>6</v>
      </c>
      <c r="F49" s="3" t="s">
        <v>1554</v>
      </c>
      <c r="G49" s="3" t="s">
        <v>683</v>
      </c>
      <c r="H49" s="3" t="s">
        <v>1398</v>
      </c>
      <c r="I49" s="3" t="n">
        <v>422.5</v>
      </c>
      <c r="J49" s="6" t="n">
        <v>2.39941832283082</v>
      </c>
    </row>
    <row r="50" customFormat="false" ht="15" hidden="false" customHeight="false" outlineLevel="0" collapsed="false">
      <c r="A50" s="3" t="n">
        <v>49</v>
      </c>
      <c r="B50" s="3" t="s">
        <v>284</v>
      </c>
      <c r="C50" s="3" t="s">
        <v>285</v>
      </c>
      <c r="D50" s="3" t="n">
        <v>6</v>
      </c>
      <c r="E50" s="3" t="n">
        <v>4</v>
      </c>
      <c r="F50" s="3" t="s">
        <v>1577</v>
      </c>
      <c r="G50" s="3" t="s">
        <v>282</v>
      </c>
      <c r="H50" s="3" t="s">
        <v>1055</v>
      </c>
      <c r="I50" s="3" t="n">
        <v>2325.7</v>
      </c>
      <c r="J50" s="6" t="n">
        <v>-3.81322635344722</v>
      </c>
    </row>
    <row r="51" customFormat="false" ht="15" hidden="false" customHeight="false" outlineLevel="0" collapsed="false">
      <c r="A51" s="3" t="n">
        <v>50</v>
      </c>
      <c r="B51" s="3" t="s">
        <v>591</v>
      </c>
      <c r="C51" s="3" t="s">
        <v>592</v>
      </c>
      <c r="D51" s="3" t="n">
        <v>6</v>
      </c>
      <c r="E51" s="3" t="n">
        <v>5</v>
      </c>
      <c r="F51" s="3" t="s">
        <v>1585</v>
      </c>
      <c r="G51" s="3" t="s">
        <v>583</v>
      </c>
      <c r="H51" s="3" t="s">
        <v>1129</v>
      </c>
      <c r="I51" s="3" t="n">
        <v>1252.6</v>
      </c>
      <c r="J51" s="6" t="n">
        <v>5.81179253252238</v>
      </c>
    </row>
    <row r="52" customFormat="false" ht="15" hidden="false" customHeight="false" outlineLevel="0" collapsed="false">
      <c r="A52" s="3" t="n">
        <v>51</v>
      </c>
      <c r="B52" s="3" t="s">
        <v>74</v>
      </c>
      <c r="C52" s="3" t="s">
        <v>75</v>
      </c>
      <c r="D52" s="3" t="n">
        <v>6</v>
      </c>
      <c r="E52" s="3" t="n">
        <v>6</v>
      </c>
      <c r="F52" s="3" t="s">
        <v>1594</v>
      </c>
      <c r="G52" s="3" t="s">
        <v>57</v>
      </c>
      <c r="H52" s="3" t="s">
        <v>1369</v>
      </c>
      <c r="I52" s="3" t="n">
        <v>1540</v>
      </c>
      <c r="J52" s="6" t="n">
        <v>-8.55106888361045</v>
      </c>
    </row>
    <row r="53" customFormat="false" ht="15" hidden="false" customHeight="false" outlineLevel="0" collapsed="false">
      <c r="A53" s="3" t="n">
        <v>52</v>
      </c>
      <c r="B53" s="3" t="s">
        <v>605</v>
      </c>
      <c r="C53" s="3" t="s">
        <v>606</v>
      </c>
      <c r="D53" s="3" t="n">
        <v>6</v>
      </c>
      <c r="E53" s="3" t="n">
        <v>6</v>
      </c>
      <c r="F53" s="3" t="s">
        <v>1600</v>
      </c>
      <c r="G53" s="3" t="s">
        <v>601</v>
      </c>
      <c r="H53" s="3" t="s">
        <v>1424</v>
      </c>
      <c r="I53" s="3" t="n">
        <v>360</v>
      </c>
      <c r="J53" s="6" t="n">
        <v>-5.25069088037899</v>
      </c>
    </row>
    <row r="54" customFormat="false" ht="15" hidden="false" customHeight="false" outlineLevel="0" collapsed="false">
      <c r="A54" s="3" t="n">
        <v>53</v>
      </c>
      <c r="B54" s="3" t="s">
        <v>525</v>
      </c>
      <c r="C54" s="3" t="s">
        <v>526</v>
      </c>
      <c r="D54" s="3" t="n">
        <v>6</v>
      </c>
      <c r="E54" s="3" t="n">
        <v>6</v>
      </c>
      <c r="F54" s="3" t="s">
        <v>1606</v>
      </c>
      <c r="G54" s="3" t="s">
        <v>512</v>
      </c>
      <c r="H54" s="3" t="s">
        <v>1445</v>
      </c>
      <c r="I54" s="3" t="n">
        <v>220.5</v>
      </c>
      <c r="J54" s="6" t="n">
        <v>-8.63890615288999</v>
      </c>
    </row>
    <row r="55" customFormat="false" ht="15" hidden="false" customHeight="false" outlineLevel="0" collapsed="false">
      <c r="A55" s="3" t="n">
        <v>54</v>
      </c>
      <c r="B55" s="3" t="s">
        <v>403</v>
      </c>
      <c r="C55" s="3" t="s">
        <v>404</v>
      </c>
      <c r="D55" s="3" t="n">
        <v>6</v>
      </c>
      <c r="E55" s="3" t="n">
        <v>6</v>
      </c>
      <c r="F55" s="3" t="s">
        <v>1613</v>
      </c>
      <c r="G55" s="3" t="s">
        <v>395</v>
      </c>
      <c r="H55" s="3" t="s">
        <v>1417</v>
      </c>
      <c r="I55" s="3" t="n">
        <v>564.15</v>
      </c>
      <c r="J55" s="6" t="n">
        <v>7.58009153318078</v>
      </c>
    </row>
    <row r="56" customFormat="false" ht="15" hidden="false" customHeight="false" outlineLevel="0" collapsed="false">
      <c r="A56" s="3" t="n">
        <v>55</v>
      </c>
      <c r="B56" s="3" t="s">
        <v>441</v>
      </c>
      <c r="C56" s="3" t="s">
        <v>442</v>
      </c>
      <c r="D56" s="3" t="n">
        <v>6</v>
      </c>
      <c r="E56" s="3" t="n">
        <v>6</v>
      </c>
      <c r="F56" s="3" t="s">
        <v>1655</v>
      </c>
      <c r="G56" s="3" t="s">
        <v>436</v>
      </c>
      <c r="H56" s="3" t="s">
        <v>1251</v>
      </c>
      <c r="I56" s="3" t="n">
        <v>1085</v>
      </c>
      <c r="J56" s="6" t="n">
        <v>1.93536264562194</v>
      </c>
    </row>
    <row r="57" customFormat="false" ht="15" hidden="false" customHeight="false" outlineLevel="0" collapsed="false">
      <c r="A57" s="3" t="n">
        <v>56</v>
      </c>
      <c r="B57" s="3" t="s">
        <v>388</v>
      </c>
      <c r="C57" s="3" t="s">
        <v>389</v>
      </c>
      <c r="D57" s="3" t="n">
        <v>6</v>
      </c>
      <c r="E57" s="3" t="n">
        <v>4</v>
      </c>
      <c r="F57" s="3" t="s">
        <v>1656</v>
      </c>
      <c r="G57" s="3" t="s">
        <v>387</v>
      </c>
      <c r="H57" s="3" t="s">
        <v>1227</v>
      </c>
      <c r="I57" s="3" t="n">
        <v>1151.3</v>
      </c>
      <c r="J57" s="6" t="n">
        <v>-31.0103068072867</v>
      </c>
    </row>
    <row r="58" customFormat="false" ht="15" hidden="false" customHeight="false" outlineLevel="0" collapsed="false">
      <c r="A58" s="3" t="n">
        <v>57</v>
      </c>
      <c r="B58" s="3" t="s">
        <v>83</v>
      </c>
      <c r="C58" s="3" t="s">
        <v>84</v>
      </c>
      <c r="D58" s="3" t="n">
        <v>6</v>
      </c>
      <c r="E58" s="3" t="n">
        <v>6</v>
      </c>
      <c r="F58" s="3" t="s">
        <v>1673</v>
      </c>
      <c r="G58" s="3" t="s">
        <v>57</v>
      </c>
      <c r="H58" s="3" t="s">
        <v>1204</v>
      </c>
      <c r="I58" s="3" t="n">
        <v>2491.5</v>
      </c>
      <c r="J58" s="6" t="n">
        <v>-9.20189504373178</v>
      </c>
    </row>
    <row r="59" customFormat="false" ht="15" hidden="false" customHeight="false" outlineLevel="0" collapsed="false">
      <c r="A59" s="3" t="n">
        <v>58</v>
      </c>
      <c r="B59" s="3" t="s">
        <v>126</v>
      </c>
      <c r="C59" s="3" t="s">
        <v>127</v>
      </c>
      <c r="D59" s="3" t="n">
        <v>6</v>
      </c>
      <c r="E59" s="3" t="n">
        <v>6</v>
      </c>
      <c r="F59" s="3" t="s">
        <v>1697</v>
      </c>
      <c r="G59" s="3" t="s">
        <v>89</v>
      </c>
      <c r="H59" s="3" t="s">
        <v>1438</v>
      </c>
      <c r="I59" s="3" t="n">
        <v>259</v>
      </c>
      <c r="J59" s="6" t="n">
        <v>-10.0538287897204</v>
      </c>
    </row>
    <row r="60" customFormat="false" ht="15" hidden="false" customHeight="false" outlineLevel="0" collapsed="false">
      <c r="A60" s="3" t="n">
        <v>59</v>
      </c>
      <c r="B60" s="3" t="s">
        <v>223</v>
      </c>
      <c r="C60" s="3" t="s">
        <v>224</v>
      </c>
      <c r="D60" s="3" t="n">
        <v>6</v>
      </c>
      <c r="E60" s="3" t="n">
        <v>6</v>
      </c>
      <c r="F60" s="3" t="s">
        <v>1700</v>
      </c>
      <c r="G60" s="3" t="s">
        <v>206</v>
      </c>
      <c r="H60" s="3" t="s">
        <v>1445</v>
      </c>
      <c r="I60" s="3" t="n">
        <v>161.56</v>
      </c>
      <c r="J60" s="6" t="n">
        <v>-12.4336043360434</v>
      </c>
    </row>
    <row r="61" customFormat="false" ht="15" hidden="false" customHeight="false" outlineLevel="0" collapsed="false">
      <c r="A61" s="3" t="n">
        <v>60</v>
      </c>
      <c r="B61" s="3" t="s">
        <v>708</v>
      </c>
      <c r="C61" s="3" t="s">
        <v>709</v>
      </c>
      <c r="D61" s="3" t="n">
        <v>5</v>
      </c>
      <c r="E61" s="3" t="n">
        <v>3</v>
      </c>
      <c r="F61" s="3" t="s">
        <v>1505</v>
      </c>
      <c r="G61" s="3" t="s">
        <v>707</v>
      </c>
      <c r="H61" s="3" t="s">
        <v>987</v>
      </c>
      <c r="I61" s="3" t="n">
        <v>6972.5</v>
      </c>
      <c r="J61" s="6" t="n">
        <v>1.4476938745817</v>
      </c>
    </row>
    <row r="62" customFormat="false" ht="15" hidden="false" customHeight="false" outlineLevel="0" collapsed="false">
      <c r="A62" s="3" t="n">
        <v>61</v>
      </c>
      <c r="B62" s="3" t="s">
        <v>487</v>
      </c>
      <c r="C62" s="3" t="s">
        <v>488</v>
      </c>
      <c r="D62" s="3" t="n">
        <v>5</v>
      </c>
      <c r="E62" s="3" t="n">
        <v>5</v>
      </c>
      <c r="F62" s="3" t="s">
        <v>1532</v>
      </c>
      <c r="G62" s="3" t="s">
        <v>483</v>
      </c>
      <c r="H62" s="3" t="s">
        <v>1465</v>
      </c>
      <c r="I62" s="3" t="n">
        <v>10800</v>
      </c>
      <c r="J62" s="6" t="n">
        <v>-3.26914464845499</v>
      </c>
    </row>
    <row r="63" customFormat="false" ht="15" hidden="false" customHeight="false" outlineLevel="0" collapsed="false">
      <c r="A63" s="3" t="n">
        <v>62</v>
      </c>
      <c r="B63" s="3" t="s">
        <v>516</v>
      </c>
      <c r="C63" s="3" t="s">
        <v>517</v>
      </c>
      <c r="D63" s="3" t="n">
        <v>5</v>
      </c>
      <c r="E63" s="3" t="n">
        <v>5</v>
      </c>
      <c r="F63" s="3" t="s">
        <v>1543</v>
      </c>
      <c r="G63" s="3" t="s">
        <v>512</v>
      </c>
      <c r="H63" s="3" t="s">
        <v>1357</v>
      </c>
      <c r="I63" s="3" t="n">
        <v>1575.4</v>
      </c>
      <c r="J63" s="6" t="n">
        <v>-8.8942863752024</v>
      </c>
    </row>
    <row r="64" customFormat="false" ht="15" hidden="false" customHeight="false" outlineLevel="0" collapsed="false">
      <c r="A64" s="3" t="n">
        <v>63</v>
      </c>
      <c r="B64" s="3" t="s">
        <v>522</v>
      </c>
      <c r="C64" s="3" t="s">
        <v>523</v>
      </c>
      <c r="D64" s="3" t="n">
        <v>5</v>
      </c>
      <c r="E64" s="3" t="n">
        <v>4</v>
      </c>
      <c r="F64" s="3" t="s">
        <v>1559</v>
      </c>
      <c r="G64" s="3" t="s">
        <v>512</v>
      </c>
      <c r="H64" s="3" t="s">
        <v>1313</v>
      </c>
      <c r="I64" s="3" t="n">
        <v>218.8</v>
      </c>
      <c r="J64" s="6" t="n">
        <v>-15.9431425278525</v>
      </c>
    </row>
    <row r="65" customFormat="false" ht="15" hidden="false" customHeight="false" outlineLevel="0" collapsed="false">
      <c r="A65" s="3" t="n">
        <v>64</v>
      </c>
      <c r="B65" s="3" t="s">
        <v>309</v>
      </c>
      <c r="C65" s="3" t="s">
        <v>310</v>
      </c>
      <c r="D65" s="3" t="n">
        <v>5</v>
      </c>
      <c r="E65" s="3" t="n">
        <v>5</v>
      </c>
      <c r="F65" s="3" t="s">
        <v>1561</v>
      </c>
      <c r="G65" s="3" t="s">
        <v>306</v>
      </c>
      <c r="H65" s="3" t="s">
        <v>1313</v>
      </c>
      <c r="I65" s="3" t="n">
        <v>4855</v>
      </c>
      <c r="J65" s="6" t="n">
        <v>-13.1795422031474</v>
      </c>
    </row>
    <row r="66" customFormat="false" ht="15" hidden="false" customHeight="false" outlineLevel="0" collapsed="false">
      <c r="A66" s="3" t="n">
        <v>65</v>
      </c>
      <c r="B66" s="3" t="s">
        <v>360</v>
      </c>
      <c r="C66" s="3" t="s">
        <v>361</v>
      </c>
      <c r="D66" s="3" t="n">
        <v>5</v>
      </c>
      <c r="E66" s="3" t="n">
        <v>5</v>
      </c>
      <c r="F66" s="3" t="s">
        <v>1572</v>
      </c>
      <c r="G66" s="3" t="s">
        <v>356</v>
      </c>
      <c r="H66" s="3" t="s">
        <v>1424</v>
      </c>
      <c r="I66" s="3" t="n">
        <v>330.95</v>
      </c>
      <c r="J66" s="6" t="n">
        <v>0.74581430745814</v>
      </c>
    </row>
    <row r="67" customFormat="false" ht="15" hidden="false" customHeight="false" outlineLevel="0" collapsed="false">
      <c r="A67" s="3" t="n">
        <v>66</v>
      </c>
      <c r="B67" s="3" t="s">
        <v>257</v>
      </c>
      <c r="C67" s="3" t="s">
        <v>258</v>
      </c>
      <c r="D67" s="3" t="n">
        <v>5</v>
      </c>
      <c r="E67" s="3" t="n">
        <v>5</v>
      </c>
      <c r="F67" s="3" t="s">
        <v>1576</v>
      </c>
      <c r="G67" s="3" t="s">
        <v>252</v>
      </c>
      <c r="H67" s="3" t="s">
        <v>1369</v>
      </c>
      <c r="I67" s="3" t="n">
        <v>172.45</v>
      </c>
      <c r="J67" s="6" t="n">
        <v>-2.5485985533454</v>
      </c>
    </row>
    <row r="68" customFormat="false" ht="15" hidden="false" customHeight="false" outlineLevel="0" collapsed="false">
      <c r="A68" s="3" t="n">
        <v>67</v>
      </c>
      <c r="B68" s="3" t="s">
        <v>562</v>
      </c>
      <c r="C68" s="3" t="s">
        <v>563</v>
      </c>
      <c r="D68" s="3" t="n">
        <v>5</v>
      </c>
      <c r="E68" s="3" t="n">
        <v>5</v>
      </c>
      <c r="F68" s="3" t="s">
        <v>1581</v>
      </c>
      <c r="G68" s="3" t="s">
        <v>557</v>
      </c>
      <c r="H68" s="3" t="s">
        <v>1393</v>
      </c>
      <c r="I68" s="3" t="n">
        <v>3150</v>
      </c>
      <c r="J68" s="6" t="n">
        <v>-5.20613903099609</v>
      </c>
    </row>
    <row r="69" customFormat="false" ht="15" hidden="false" customHeight="false" outlineLevel="0" collapsed="false">
      <c r="A69" s="3" t="n">
        <v>68</v>
      </c>
      <c r="B69" s="3" t="s">
        <v>171</v>
      </c>
      <c r="C69" s="3" t="s">
        <v>172</v>
      </c>
      <c r="D69" s="3" t="n">
        <v>5</v>
      </c>
      <c r="E69" s="3" t="n">
        <v>4</v>
      </c>
      <c r="F69" s="3" t="s">
        <v>1590</v>
      </c>
      <c r="G69" s="3" t="s">
        <v>167</v>
      </c>
      <c r="H69" s="3" t="s">
        <v>1357</v>
      </c>
      <c r="I69" s="3" t="n">
        <v>955.9</v>
      </c>
      <c r="J69" s="6" t="n">
        <v>-3.91999195899085</v>
      </c>
    </row>
    <row r="70" customFormat="false" ht="15" hidden="false" customHeight="false" outlineLevel="0" collapsed="false">
      <c r="A70" s="3" t="n">
        <v>69</v>
      </c>
      <c r="B70" s="3" t="s">
        <v>104</v>
      </c>
      <c r="C70" s="3" t="s">
        <v>105</v>
      </c>
      <c r="D70" s="3" t="n">
        <v>5</v>
      </c>
      <c r="E70" s="3" t="n">
        <v>5</v>
      </c>
      <c r="F70" s="3" t="s">
        <v>1591</v>
      </c>
      <c r="G70" s="3" t="s">
        <v>89</v>
      </c>
      <c r="H70" s="3" t="s">
        <v>1445</v>
      </c>
      <c r="I70" s="3" t="n">
        <v>342.45</v>
      </c>
      <c r="J70" s="6" t="n">
        <v>-6.37047163362953</v>
      </c>
    </row>
    <row r="71" customFormat="false" ht="15" hidden="false" customHeight="false" outlineLevel="0" collapsed="false">
      <c r="A71" s="3" t="n">
        <v>70</v>
      </c>
      <c r="B71" s="3" t="s">
        <v>602</v>
      </c>
      <c r="C71" s="3" t="s">
        <v>603</v>
      </c>
      <c r="D71" s="3" t="n">
        <v>5</v>
      </c>
      <c r="E71" s="3" t="n">
        <v>5</v>
      </c>
      <c r="F71" s="3" t="s">
        <v>1593</v>
      </c>
      <c r="G71" s="3" t="s">
        <v>601</v>
      </c>
      <c r="H71" s="3" t="s">
        <v>1445</v>
      </c>
      <c r="I71" s="3" t="n">
        <v>1302</v>
      </c>
      <c r="J71" s="6" t="n">
        <v>-10.4539202200825</v>
      </c>
    </row>
    <row r="72" customFormat="false" ht="15" hidden="false" customHeight="false" outlineLevel="0" collapsed="false">
      <c r="A72" s="3" t="n">
        <v>71</v>
      </c>
      <c r="B72" s="3" t="s">
        <v>1142</v>
      </c>
      <c r="C72" s="3" t="s">
        <v>1143</v>
      </c>
      <c r="D72" s="3" t="n">
        <v>5</v>
      </c>
      <c r="E72" s="3" t="n">
        <v>3</v>
      </c>
      <c r="F72" s="3" t="s">
        <v>1642</v>
      </c>
      <c r="G72" s="3" t="s">
        <v>1129</v>
      </c>
      <c r="H72" s="3" t="s">
        <v>1261</v>
      </c>
      <c r="I72" s="3" t="n">
        <v>1830</v>
      </c>
      <c r="J72" s="6" t="n">
        <v>-6.31719053957203</v>
      </c>
    </row>
    <row r="73" customFormat="false" ht="15" hidden="false" customHeight="false" outlineLevel="0" collapsed="false">
      <c r="A73" s="3" t="n">
        <v>72</v>
      </c>
      <c r="B73" s="3" t="s">
        <v>275</v>
      </c>
      <c r="C73" s="3" t="s">
        <v>276</v>
      </c>
      <c r="D73" s="3" t="n">
        <v>5</v>
      </c>
      <c r="E73" s="3" t="n">
        <v>5</v>
      </c>
      <c r="F73" s="3" t="s">
        <v>1647</v>
      </c>
      <c r="G73" s="3" t="s">
        <v>252</v>
      </c>
      <c r="H73" s="3" t="s">
        <v>1090</v>
      </c>
      <c r="I73" s="3" t="n">
        <v>390.8</v>
      </c>
      <c r="J73" s="6" t="n">
        <v>-12.5041979178328</v>
      </c>
    </row>
    <row r="74" customFormat="false" ht="15" hidden="false" customHeight="false" outlineLevel="0" collapsed="false">
      <c r="A74" s="3" t="n">
        <v>73</v>
      </c>
      <c r="B74" s="3" t="s">
        <v>529</v>
      </c>
      <c r="C74" s="3" t="s">
        <v>530</v>
      </c>
      <c r="D74" s="3" t="n">
        <v>5</v>
      </c>
      <c r="E74" s="3" t="n">
        <v>3</v>
      </c>
      <c r="F74" s="3" t="s">
        <v>1658</v>
      </c>
      <c r="G74" s="3" t="s">
        <v>512</v>
      </c>
      <c r="H74" s="3" t="s">
        <v>863</v>
      </c>
      <c r="I74" s="3" t="n">
        <v>261.85</v>
      </c>
      <c r="J74" s="6" t="n">
        <v>-12.0127688172043</v>
      </c>
    </row>
    <row r="75" customFormat="false" ht="15" hidden="false" customHeight="false" outlineLevel="0" collapsed="false">
      <c r="A75" s="3" t="n">
        <v>74</v>
      </c>
      <c r="B75" s="3" t="s">
        <v>406</v>
      </c>
      <c r="C75" s="3" t="s">
        <v>407</v>
      </c>
      <c r="D75" s="3" t="n">
        <v>5</v>
      </c>
      <c r="E75" s="3" t="n">
        <v>5</v>
      </c>
      <c r="F75" s="3" t="s">
        <v>1664</v>
      </c>
      <c r="G75" s="3" t="s">
        <v>395</v>
      </c>
      <c r="H75" s="3" t="s">
        <v>1369</v>
      </c>
      <c r="I75" s="3" t="n">
        <v>184.2</v>
      </c>
      <c r="J75" s="6" t="n">
        <v>4.95726495726495</v>
      </c>
    </row>
    <row r="76" customFormat="false" ht="15" hidden="false" customHeight="false" outlineLevel="0" collapsed="false">
      <c r="A76" s="3" t="n">
        <v>75</v>
      </c>
      <c r="B76" s="3" t="s">
        <v>608</v>
      </c>
      <c r="C76" s="3" t="s">
        <v>609</v>
      </c>
      <c r="D76" s="3" t="n">
        <v>5</v>
      </c>
      <c r="E76" s="3" t="n">
        <v>5</v>
      </c>
      <c r="F76" s="3" t="s">
        <v>1667</v>
      </c>
      <c r="G76" s="3" t="s">
        <v>601</v>
      </c>
      <c r="H76" s="3" t="s">
        <v>848</v>
      </c>
      <c r="I76" s="3" t="n">
        <v>1728.1</v>
      </c>
      <c r="J76" s="6" t="n">
        <v>-10.5584597070545</v>
      </c>
    </row>
    <row r="77" customFormat="false" ht="15" hidden="false" customHeight="false" outlineLevel="0" collapsed="false">
      <c r="A77" s="3" t="n">
        <v>76</v>
      </c>
      <c r="B77" s="3" t="s">
        <v>554</v>
      </c>
      <c r="C77" s="3" t="s">
        <v>555</v>
      </c>
      <c r="D77" s="3" t="n">
        <v>5</v>
      </c>
      <c r="E77" s="3" t="n">
        <v>3</v>
      </c>
      <c r="F77" s="3" t="s">
        <v>1689</v>
      </c>
      <c r="G77" s="3" t="s">
        <v>533</v>
      </c>
      <c r="H77" s="3" t="s">
        <v>747</v>
      </c>
      <c r="I77" s="3" t="n">
        <v>1237.2</v>
      </c>
      <c r="J77" s="6" t="n">
        <v>-13.4219734079776</v>
      </c>
    </row>
    <row r="78" customFormat="false" ht="15" hidden="false" customHeight="false" outlineLevel="0" collapsed="false">
      <c r="A78" s="3" t="n">
        <v>77</v>
      </c>
      <c r="B78" s="3" t="s">
        <v>585</v>
      </c>
      <c r="C78" s="3" t="s">
        <v>586</v>
      </c>
      <c r="D78" s="3" t="n">
        <v>4</v>
      </c>
      <c r="E78" s="3" t="n">
        <v>4</v>
      </c>
      <c r="F78" s="3" t="s">
        <v>1520</v>
      </c>
      <c r="G78" s="3" t="s">
        <v>583</v>
      </c>
      <c r="H78" s="3" t="s">
        <v>1277</v>
      </c>
      <c r="I78" s="3" t="n">
        <v>8860</v>
      </c>
      <c r="J78" s="6" t="n">
        <v>0.163925159685716</v>
      </c>
    </row>
    <row r="79" customFormat="false" ht="15" hidden="false" customHeight="false" outlineLevel="0" collapsed="false">
      <c r="A79" s="3" t="n">
        <v>78</v>
      </c>
      <c r="B79" s="3" t="s">
        <v>90</v>
      </c>
      <c r="C79" s="3" t="s">
        <v>91</v>
      </c>
      <c r="D79" s="3" t="n">
        <v>4</v>
      </c>
      <c r="E79" s="3" t="n">
        <v>4</v>
      </c>
      <c r="F79" s="3" t="s">
        <v>1529</v>
      </c>
      <c r="G79" s="3" t="s">
        <v>89</v>
      </c>
      <c r="H79" s="3" t="s">
        <v>1296</v>
      </c>
      <c r="I79" s="3" t="n">
        <v>11024</v>
      </c>
      <c r="J79" s="6" t="n">
        <v>6.19400828436567</v>
      </c>
    </row>
    <row r="80" customFormat="false" ht="15" hidden="false" customHeight="false" outlineLevel="0" collapsed="false">
      <c r="A80" s="3" t="n">
        <v>79</v>
      </c>
      <c r="B80" s="3" t="s">
        <v>513</v>
      </c>
      <c r="C80" s="3" t="s">
        <v>514</v>
      </c>
      <c r="D80" s="3" t="n">
        <v>4</v>
      </c>
      <c r="E80" s="3" t="n">
        <v>4</v>
      </c>
      <c r="F80" s="3" t="s">
        <v>1535</v>
      </c>
      <c r="G80" s="3" t="s">
        <v>512</v>
      </c>
      <c r="H80" s="3" t="s">
        <v>1168</v>
      </c>
      <c r="I80" s="3" t="n">
        <v>227.5</v>
      </c>
      <c r="J80" s="6" t="n">
        <v>-16.8949771689498</v>
      </c>
    </row>
    <row r="81" customFormat="false" ht="15" hidden="false" customHeight="false" outlineLevel="0" collapsed="false">
      <c r="A81" s="3" t="n">
        <v>80</v>
      </c>
      <c r="B81" s="3" t="s">
        <v>130</v>
      </c>
      <c r="C81" s="3" t="s">
        <v>131</v>
      </c>
      <c r="D81" s="3" t="n">
        <v>4</v>
      </c>
      <c r="E81" s="3" t="n">
        <v>4</v>
      </c>
      <c r="F81" s="3" t="s">
        <v>1548</v>
      </c>
      <c r="G81" s="3" t="s">
        <v>129</v>
      </c>
      <c r="H81" s="3" t="s">
        <v>1242</v>
      </c>
      <c r="I81" s="3" t="n">
        <v>691.55</v>
      </c>
      <c r="J81" s="6" t="n">
        <v>-13.3558854851845</v>
      </c>
    </row>
    <row r="82" customFormat="false" ht="15" hidden="false" customHeight="false" outlineLevel="0" collapsed="false">
      <c r="A82" s="3" t="n">
        <v>81</v>
      </c>
      <c r="B82" s="3" t="s">
        <v>519</v>
      </c>
      <c r="C82" s="3" t="s">
        <v>520</v>
      </c>
      <c r="D82" s="3" t="n">
        <v>4</v>
      </c>
      <c r="E82" s="3" t="n">
        <v>4</v>
      </c>
      <c r="F82" s="3" t="s">
        <v>1549</v>
      </c>
      <c r="G82" s="3" t="s">
        <v>512</v>
      </c>
      <c r="H82" s="3" t="s">
        <v>1208</v>
      </c>
      <c r="I82" s="3" t="n">
        <v>120.65</v>
      </c>
      <c r="J82" s="6" t="n">
        <v>-10.7882283348122</v>
      </c>
    </row>
    <row r="83" customFormat="false" ht="15" hidden="false" customHeight="false" outlineLevel="0" collapsed="false">
      <c r="A83" s="3" t="n">
        <v>82</v>
      </c>
      <c r="B83" s="3" t="s">
        <v>195</v>
      </c>
      <c r="C83" s="3" t="s">
        <v>196</v>
      </c>
      <c r="D83" s="3" t="n">
        <v>4</v>
      </c>
      <c r="E83" s="3" t="n">
        <v>3</v>
      </c>
      <c r="F83" s="3" t="s">
        <v>1573</v>
      </c>
      <c r="G83" s="3" t="s">
        <v>193</v>
      </c>
      <c r="H83" s="3" t="s">
        <v>771</v>
      </c>
      <c r="I83" s="3" t="n">
        <v>325</v>
      </c>
      <c r="J83" s="6" t="n">
        <v>11.8760757314974</v>
      </c>
    </row>
    <row r="84" customFormat="false" ht="15" hidden="false" customHeight="false" outlineLevel="0" collapsed="false">
      <c r="A84" s="3" t="n">
        <v>83</v>
      </c>
      <c r="B84" s="3" t="s">
        <v>1118</v>
      </c>
      <c r="C84" s="3" t="s">
        <v>1119</v>
      </c>
      <c r="D84" s="3" t="n">
        <v>4</v>
      </c>
      <c r="E84" s="3" t="n">
        <v>3</v>
      </c>
      <c r="F84" s="3" t="s">
        <v>1582</v>
      </c>
      <c r="G84" s="3" t="s">
        <v>1117</v>
      </c>
      <c r="H84" s="3" t="s">
        <v>1218</v>
      </c>
      <c r="I84" s="3" t="n">
        <v>4203</v>
      </c>
      <c r="J84" s="6" t="n">
        <v>-24.0444564922743</v>
      </c>
    </row>
    <row r="85" customFormat="false" ht="15" hidden="false" customHeight="false" outlineLevel="0" collapsed="false">
      <c r="A85" s="3" t="n">
        <v>84</v>
      </c>
      <c r="B85" s="3" t="s">
        <v>565</v>
      </c>
      <c r="C85" s="3" t="s">
        <v>566</v>
      </c>
      <c r="D85" s="3" t="n">
        <v>4</v>
      </c>
      <c r="E85" s="3" t="n">
        <v>4</v>
      </c>
      <c r="F85" s="3" t="s">
        <v>1584</v>
      </c>
      <c r="G85" s="3" t="s">
        <v>557</v>
      </c>
      <c r="H85" s="3" t="s">
        <v>1117</v>
      </c>
      <c r="I85" s="3" t="n">
        <v>1085</v>
      </c>
      <c r="J85" s="6" t="n">
        <v>-10.4046242774567</v>
      </c>
    </row>
    <row r="86" customFormat="false" ht="15" hidden="false" customHeight="false" outlineLevel="0" collapsed="false">
      <c r="A86" s="3" t="n">
        <v>85</v>
      </c>
      <c r="B86" s="3" t="s">
        <v>868</v>
      </c>
      <c r="C86" s="3" t="s">
        <v>869</v>
      </c>
      <c r="D86" s="3" t="n">
        <v>4</v>
      </c>
      <c r="E86" s="3" t="n">
        <v>4</v>
      </c>
      <c r="F86" s="3" t="s">
        <v>1589</v>
      </c>
      <c r="G86" s="3" t="s">
        <v>863</v>
      </c>
      <c r="H86" s="3" t="s">
        <v>1364</v>
      </c>
      <c r="I86" s="3" t="n">
        <v>5390</v>
      </c>
      <c r="J86" s="6" t="n">
        <v>-2.8478731074261</v>
      </c>
    </row>
    <row r="87" customFormat="false" ht="15" hidden="false" customHeight="false" outlineLevel="0" collapsed="false">
      <c r="A87" s="3" t="n">
        <v>86</v>
      </c>
      <c r="B87" s="3" t="s">
        <v>187</v>
      </c>
      <c r="C87" s="3" t="s">
        <v>188</v>
      </c>
      <c r="D87" s="3" t="n">
        <v>4</v>
      </c>
      <c r="E87" s="3" t="n">
        <v>4</v>
      </c>
      <c r="F87" s="3" t="s">
        <v>1596</v>
      </c>
      <c r="G87" s="3" t="s">
        <v>181</v>
      </c>
      <c r="H87" s="3" t="s">
        <v>1465</v>
      </c>
      <c r="I87" s="3" t="n">
        <v>80.55</v>
      </c>
      <c r="J87" s="6" t="n">
        <v>-7.94285714285715</v>
      </c>
    </row>
    <row r="88" customFormat="false" ht="15" hidden="false" customHeight="false" outlineLevel="0" collapsed="false">
      <c r="A88" s="3" t="n">
        <v>87</v>
      </c>
      <c r="B88" s="3" t="s">
        <v>509</v>
      </c>
      <c r="C88" s="3" t="s">
        <v>510</v>
      </c>
      <c r="D88" s="3" t="n">
        <v>4</v>
      </c>
      <c r="E88" s="3" t="n">
        <v>4</v>
      </c>
      <c r="F88" s="3" t="s">
        <v>1599</v>
      </c>
      <c r="G88" s="3" t="s">
        <v>507</v>
      </c>
      <c r="H88" s="3" t="s">
        <v>1177</v>
      </c>
      <c r="I88" s="3" t="n">
        <v>909.7</v>
      </c>
      <c r="J88" s="6" t="n">
        <v>-0.833923802256497</v>
      </c>
    </row>
    <row r="89" customFormat="false" ht="15" hidden="false" customHeight="false" outlineLevel="0" collapsed="false">
      <c r="A89" s="3" t="n">
        <v>88</v>
      </c>
      <c r="B89" s="3" t="s">
        <v>871</v>
      </c>
      <c r="C89" s="3" t="s">
        <v>872</v>
      </c>
      <c r="D89" s="3" t="n">
        <v>4</v>
      </c>
      <c r="E89" s="3" t="n">
        <v>4</v>
      </c>
      <c r="F89" s="3" t="s">
        <v>1601</v>
      </c>
      <c r="G89" s="3" t="s">
        <v>863</v>
      </c>
      <c r="H89" s="3" t="s">
        <v>1296</v>
      </c>
      <c r="I89" s="3" t="n">
        <v>1003.2</v>
      </c>
      <c r="J89" s="6" t="n">
        <v>-9.01505532378014</v>
      </c>
    </row>
    <row r="90" customFormat="false" ht="15" hidden="false" customHeight="false" outlineLevel="0" collapsed="false">
      <c r="A90" s="3" t="n">
        <v>89</v>
      </c>
      <c r="B90" s="3" t="s">
        <v>501</v>
      </c>
      <c r="C90" s="3" t="s">
        <v>502</v>
      </c>
      <c r="D90" s="3" t="n">
        <v>4</v>
      </c>
      <c r="E90" s="3" t="n">
        <v>4</v>
      </c>
      <c r="F90" s="3" t="s">
        <v>1609</v>
      </c>
      <c r="G90" s="3" t="s">
        <v>483</v>
      </c>
      <c r="H90" s="3" t="s">
        <v>1049</v>
      </c>
      <c r="I90" s="3" t="n">
        <v>4516</v>
      </c>
      <c r="J90" s="6" t="n">
        <v>-10.7209932190657</v>
      </c>
    </row>
    <row r="91" customFormat="false" ht="15" hidden="false" customHeight="false" outlineLevel="0" collapsed="false">
      <c r="A91" s="3" t="n">
        <v>90</v>
      </c>
      <c r="B91" s="3" t="s">
        <v>234</v>
      </c>
      <c r="C91" s="3" t="s">
        <v>235</v>
      </c>
      <c r="D91" s="3" t="n">
        <v>4</v>
      </c>
      <c r="E91" s="3" t="n">
        <v>3</v>
      </c>
      <c r="F91" s="3" t="s">
        <v>1610</v>
      </c>
      <c r="G91" s="3" t="s">
        <v>226</v>
      </c>
      <c r="H91" s="3" t="s">
        <v>1424</v>
      </c>
      <c r="I91" s="3" t="n">
        <v>401.55</v>
      </c>
      <c r="J91" s="6" t="n">
        <v>-5.33946251768033</v>
      </c>
    </row>
    <row r="92" customFormat="false" ht="15" hidden="false" customHeight="false" outlineLevel="0" collapsed="false">
      <c r="A92" s="3" t="n">
        <v>91</v>
      </c>
      <c r="B92" s="3" t="s">
        <v>312</v>
      </c>
      <c r="C92" s="3" t="s">
        <v>313</v>
      </c>
      <c r="D92" s="3" t="n">
        <v>4</v>
      </c>
      <c r="E92" s="3" t="n">
        <v>3</v>
      </c>
      <c r="F92" s="3" t="s">
        <v>1614</v>
      </c>
      <c r="G92" s="3" t="s">
        <v>306</v>
      </c>
      <c r="H92" s="3" t="s">
        <v>1401</v>
      </c>
      <c r="I92" s="3" t="n">
        <v>400.65</v>
      </c>
      <c r="J92" s="6" t="n">
        <v>-3.92086330935252</v>
      </c>
    </row>
    <row r="93" customFormat="false" ht="15" hidden="false" customHeight="false" outlineLevel="0" collapsed="false">
      <c r="A93" s="3" t="n">
        <v>92</v>
      </c>
      <c r="B93" s="3" t="s">
        <v>190</v>
      </c>
      <c r="C93" s="3" t="s">
        <v>60</v>
      </c>
      <c r="D93" s="3" t="n">
        <v>4</v>
      </c>
      <c r="E93" s="3" t="n">
        <v>4</v>
      </c>
      <c r="F93" s="3" t="s">
        <v>1617</v>
      </c>
      <c r="G93" s="3" t="s">
        <v>181</v>
      </c>
      <c r="H93" s="3" t="s">
        <v>648</v>
      </c>
      <c r="I93" s="3" t="s">
        <v>60</v>
      </c>
      <c r="J93" s="6" t="s">
        <v>60</v>
      </c>
    </row>
    <row r="94" customFormat="false" ht="15" hidden="false" customHeight="false" outlineLevel="0" collapsed="false">
      <c r="A94" s="3" t="n">
        <v>93</v>
      </c>
      <c r="B94" s="3" t="s">
        <v>346</v>
      </c>
      <c r="C94" s="3" t="s">
        <v>347</v>
      </c>
      <c r="D94" s="3" t="n">
        <v>4</v>
      </c>
      <c r="E94" s="3" t="n">
        <v>4</v>
      </c>
      <c r="F94" s="3" t="s">
        <v>1623</v>
      </c>
      <c r="G94" s="3" t="s">
        <v>341</v>
      </c>
      <c r="H94" s="3" t="s">
        <v>1343</v>
      </c>
      <c r="I94" s="3" t="n">
        <v>313</v>
      </c>
      <c r="J94" s="6" t="n">
        <v>-15.8262740352293</v>
      </c>
    </row>
    <row r="95" customFormat="false" ht="15" hidden="false" customHeight="false" outlineLevel="0" collapsed="false">
      <c r="A95" s="3" t="n">
        <v>94</v>
      </c>
      <c r="B95" s="3" t="s">
        <v>480</v>
      </c>
      <c r="C95" s="3" t="s">
        <v>481</v>
      </c>
      <c r="D95" s="3" t="n">
        <v>4</v>
      </c>
      <c r="E95" s="3" t="n">
        <v>4</v>
      </c>
      <c r="F95" s="3" t="s">
        <v>1627</v>
      </c>
      <c r="G95" s="3" t="s">
        <v>479</v>
      </c>
      <c r="H95" s="3" t="s">
        <v>1234</v>
      </c>
      <c r="I95" s="3" t="n">
        <v>12008</v>
      </c>
      <c r="J95" s="6" t="n">
        <v>-14.9273822174991</v>
      </c>
    </row>
    <row r="96" customFormat="false" ht="15" hidden="false" customHeight="false" outlineLevel="0" collapsed="false">
      <c r="A96" s="3" t="n">
        <v>95</v>
      </c>
      <c r="B96" s="3" t="s">
        <v>266</v>
      </c>
      <c r="C96" s="3" t="s">
        <v>267</v>
      </c>
      <c r="D96" s="3" t="n">
        <v>4</v>
      </c>
      <c r="E96" s="3" t="n">
        <v>4</v>
      </c>
      <c r="F96" s="3" t="s">
        <v>1631</v>
      </c>
      <c r="G96" s="3" t="s">
        <v>252</v>
      </c>
      <c r="H96" s="3" t="s">
        <v>1438</v>
      </c>
      <c r="I96" s="3" t="n">
        <v>2237.5</v>
      </c>
      <c r="J96" s="6" t="n">
        <v>-8.85947046843177</v>
      </c>
    </row>
    <row r="97" customFormat="false" ht="15" hidden="false" customHeight="false" outlineLevel="0" collapsed="false">
      <c r="A97" s="3" t="n">
        <v>96</v>
      </c>
      <c r="B97" s="3" t="s">
        <v>544</v>
      </c>
      <c r="C97" s="3" t="s">
        <v>545</v>
      </c>
      <c r="D97" s="3" t="n">
        <v>4</v>
      </c>
      <c r="E97" s="3" t="n">
        <v>4</v>
      </c>
      <c r="F97" s="3" t="s">
        <v>1635</v>
      </c>
      <c r="G97" s="3" t="s">
        <v>533</v>
      </c>
      <c r="H97" s="3" t="s">
        <v>1445</v>
      </c>
      <c r="I97" s="3" t="n">
        <v>1346</v>
      </c>
      <c r="J97" s="6" t="n">
        <v>-10.056799198129</v>
      </c>
    </row>
    <row r="98" customFormat="false" ht="15" hidden="false" customHeight="false" outlineLevel="0" collapsed="false">
      <c r="A98" s="3" t="n">
        <v>97</v>
      </c>
      <c r="B98" s="3" t="s">
        <v>414</v>
      </c>
      <c r="C98" s="3" t="s">
        <v>415</v>
      </c>
      <c r="D98" s="3" t="n">
        <v>4</v>
      </c>
      <c r="E98" s="3" t="n">
        <v>4</v>
      </c>
      <c r="F98" s="3" t="s">
        <v>1640</v>
      </c>
      <c r="G98" s="3" t="s">
        <v>412</v>
      </c>
      <c r="H98" s="3" t="s">
        <v>1074</v>
      </c>
      <c r="I98" s="3" t="n">
        <v>1640.6</v>
      </c>
      <c r="J98" s="6" t="n">
        <v>11.2648355374703</v>
      </c>
    </row>
    <row r="99" customFormat="false" ht="15" hidden="false" customHeight="false" outlineLevel="0" collapsed="false">
      <c r="A99" s="3" t="n">
        <v>98</v>
      </c>
      <c r="B99" s="3" t="s">
        <v>876</v>
      </c>
      <c r="C99" s="3" t="s">
        <v>877</v>
      </c>
      <c r="D99" s="3" t="n">
        <v>4</v>
      </c>
      <c r="E99" s="3" t="n">
        <v>4</v>
      </c>
      <c r="F99" s="3" t="s">
        <v>1654</v>
      </c>
      <c r="G99" s="3" t="s">
        <v>863</v>
      </c>
      <c r="H99" s="3" t="s">
        <v>1369</v>
      </c>
      <c r="I99" s="3" t="n">
        <v>2349</v>
      </c>
      <c r="J99" s="6" t="n">
        <v>-16.4056939501779</v>
      </c>
    </row>
    <row r="100" customFormat="false" ht="15" hidden="false" customHeight="false" outlineLevel="0" collapsed="false">
      <c r="A100" s="3" t="n">
        <v>99</v>
      </c>
      <c r="B100" s="3" t="s">
        <v>574</v>
      </c>
      <c r="C100" s="3" t="s">
        <v>575</v>
      </c>
      <c r="D100" s="3" t="n">
        <v>4</v>
      </c>
      <c r="E100" s="3" t="n">
        <v>3</v>
      </c>
      <c r="F100" s="3" t="s">
        <v>1662</v>
      </c>
      <c r="G100" s="3" t="s">
        <v>557</v>
      </c>
      <c r="H100" s="3" t="s">
        <v>1327</v>
      </c>
      <c r="I100" s="3" t="n">
        <v>303.25</v>
      </c>
      <c r="J100" s="6" t="n">
        <v>-18.9712758851035</v>
      </c>
    </row>
    <row r="101" customFormat="false" ht="15" hidden="false" customHeight="false" outlineLevel="0" collapsed="false">
      <c r="A101" s="3" t="n">
        <v>100</v>
      </c>
      <c r="B101" s="3" t="s">
        <v>504</v>
      </c>
      <c r="C101" s="3" t="s">
        <v>505</v>
      </c>
      <c r="D101" s="3" t="n">
        <v>4</v>
      </c>
      <c r="E101" s="3" t="n">
        <v>3</v>
      </c>
      <c r="F101" s="3" t="s">
        <v>1665</v>
      </c>
      <c r="G101" s="3" t="s">
        <v>483</v>
      </c>
      <c r="H101" s="3" t="s">
        <v>683</v>
      </c>
      <c r="I101" s="3" t="n">
        <v>138.82</v>
      </c>
      <c r="J101" s="6" t="n">
        <v>-5.92938944229857</v>
      </c>
    </row>
    <row r="102" customFormat="false" ht="15" hidden="false" customHeight="false" outlineLevel="0" collapsed="false">
      <c r="A102" s="3" t="n">
        <v>101</v>
      </c>
      <c r="B102" s="3" t="s">
        <v>303</v>
      </c>
      <c r="C102" s="3" t="s">
        <v>304</v>
      </c>
      <c r="D102" s="3" t="n">
        <v>4</v>
      </c>
      <c r="E102" s="3" t="n">
        <v>4</v>
      </c>
      <c r="F102" s="3" t="s">
        <v>1670</v>
      </c>
      <c r="G102" s="3" t="s">
        <v>288</v>
      </c>
      <c r="H102" s="3" t="s">
        <v>648</v>
      </c>
      <c r="I102" s="3" t="n">
        <v>976.3</v>
      </c>
      <c r="J102" s="6" t="n">
        <v>-1.92375307649808</v>
      </c>
    </row>
    <row r="103" customFormat="false" ht="15" hidden="false" customHeight="false" outlineLevel="0" collapsed="false">
      <c r="A103" s="3" t="n">
        <v>102</v>
      </c>
      <c r="B103" s="3" t="s">
        <v>740</v>
      </c>
      <c r="C103" s="3" t="s">
        <v>741</v>
      </c>
      <c r="D103" s="3" t="n">
        <v>4</v>
      </c>
      <c r="E103" s="3" t="n">
        <v>4</v>
      </c>
      <c r="F103" s="3" t="s">
        <v>1675</v>
      </c>
      <c r="G103" s="3" t="s">
        <v>728</v>
      </c>
      <c r="H103" s="3" t="s">
        <v>1012</v>
      </c>
      <c r="I103" s="3" t="n">
        <v>3499.8</v>
      </c>
      <c r="J103" s="6" t="n">
        <v>-5.64033432191965</v>
      </c>
    </row>
    <row r="104" customFormat="false" ht="15" hidden="false" customHeight="false" outlineLevel="0" collapsed="false">
      <c r="A104" s="3" t="n">
        <v>103</v>
      </c>
      <c r="B104" s="3" t="s">
        <v>178</v>
      </c>
      <c r="C104" s="3" t="s">
        <v>179</v>
      </c>
      <c r="D104" s="3" t="n">
        <v>4</v>
      </c>
      <c r="E104" s="3" t="n">
        <v>3</v>
      </c>
      <c r="F104" s="3" t="s">
        <v>1679</v>
      </c>
      <c r="G104" s="3" t="s">
        <v>167</v>
      </c>
      <c r="H104" s="3" t="s">
        <v>1190</v>
      </c>
      <c r="I104" s="3" t="n">
        <v>361.9</v>
      </c>
      <c r="J104" s="6" t="n">
        <v>-10.4429596634497</v>
      </c>
    </row>
    <row r="105" customFormat="false" ht="15" hidden="false" customHeight="false" outlineLevel="0" collapsed="false">
      <c r="A105" s="3" t="n">
        <v>104</v>
      </c>
      <c r="B105" s="3" t="s">
        <v>1354</v>
      </c>
      <c r="C105" s="3" t="s">
        <v>1355</v>
      </c>
      <c r="D105" s="3" t="n">
        <v>4</v>
      </c>
      <c r="E105" s="3" t="n">
        <v>3</v>
      </c>
      <c r="F105" s="3" t="s">
        <v>1680</v>
      </c>
      <c r="G105" s="3" t="s">
        <v>1343</v>
      </c>
      <c r="H105" s="3" t="s">
        <v>1417</v>
      </c>
      <c r="I105" s="3" t="n">
        <v>186.3</v>
      </c>
      <c r="J105" s="6" t="n">
        <v>-0.909526089037806</v>
      </c>
    </row>
    <row r="106" customFormat="false" ht="15" hidden="false" customHeight="false" outlineLevel="0" collapsed="false">
      <c r="A106" s="3" t="n">
        <v>105</v>
      </c>
      <c r="B106" s="3" t="s">
        <v>923</v>
      </c>
      <c r="C106" s="3" t="s">
        <v>924</v>
      </c>
      <c r="D106" s="3" t="n">
        <v>4</v>
      </c>
      <c r="E106" s="3" t="n">
        <v>4</v>
      </c>
      <c r="F106" s="3" t="s">
        <v>1681</v>
      </c>
      <c r="G106" s="3" t="s">
        <v>915</v>
      </c>
      <c r="H106" s="3" t="s">
        <v>1325</v>
      </c>
      <c r="I106" s="3" t="n">
        <v>2070.7</v>
      </c>
      <c r="J106" s="6" t="n">
        <v>-13.6488740617181</v>
      </c>
    </row>
    <row r="107" customFormat="false" ht="15" hidden="false" customHeight="false" outlineLevel="0" collapsed="false">
      <c r="A107" s="3" t="n">
        <v>106</v>
      </c>
      <c r="B107" s="3" t="s">
        <v>680</v>
      </c>
      <c r="C107" s="3" t="s">
        <v>681</v>
      </c>
      <c r="D107" s="3" t="n">
        <v>4</v>
      </c>
      <c r="E107" s="3" t="n">
        <v>3</v>
      </c>
      <c r="F107" s="3" t="s">
        <v>1683</v>
      </c>
      <c r="G107" s="3" t="s">
        <v>663</v>
      </c>
      <c r="H107" s="3" t="s">
        <v>1113</v>
      </c>
      <c r="I107" s="3" t="n">
        <v>2459</v>
      </c>
      <c r="J107" s="6" t="n">
        <v>-17.2304688814837</v>
      </c>
    </row>
    <row r="108" customFormat="false" ht="15" hidden="false" customHeight="false" outlineLevel="0" collapsed="false">
      <c r="A108" s="3" t="n">
        <v>107</v>
      </c>
      <c r="B108" s="3" t="s">
        <v>926</v>
      </c>
      <c r="C108" s="3" t="s">
        <v>927</v>
      </c>
      <c r="D108" s="3" t="n">
        <v>4</v>
      </c>
      <c r="E108" s="3" t="n">
        <v>3</v>
      </c>
      <c r="F108" s="3" t="s">
        <v>1684</v>
      </c>
      <c r="G108" s="3" t="s">
        <v>915</v>
      </c>
      <c r="H108" s="3" t="s">
        <v>1424</v>
      </c>
      <c r="I108" s="3" t="n">
        <v>4819.5</v>
      </c>
      <c r="J108" s="6" t="n">
        <v>-6.22263732414921</v>
      </c>
    </row>
    <row r="109" customFormat="false" ht="15" hidden="false" customHeight="false" outlineLevel="0" collapsed="false">
      <c r="A109" s="3" t="n">
        <v>108</v>
      </c>
      <c r="B109" s="3" t="s">
        <v>579</v>
      </c>
      <c r="C109" s="3" t="s">
        <v>580</v>
      </c>
      <c r="D109" s="3" t="n">
        <v>4</v>
      </c>
      <c r="E109" s="3" t="n">
        <v>3</v>
      </c>
      <c r="F109" s="3" t="s">
        <v>1696</v>
      </c>
      <c r="G109" s="3" t="s">
        <v>557</v>
      </c>
      <c r="H109" s="3" t="s">
        <v>1190</v>
      </c>
      <c r="I109" s="3" t="n">
        <v>430</v>
      </c>
      <c r="J109" s="6" t="n">
        <v>-20.5175600739372</v>
      </c>
    </row>
    <row r="110" customFormat="false" ht="15" hidden="false" customHeight="false" outlineLevel="0" collapsed="false">
      <c r="A110" s="3" t="n">
        <v>109</v>
      </c>
      <c r="B110" s="3" t="s">
        <v>484</v>
      </c>
      <c r="C110" s="3" t="s">
        <v>485</v>
      </c>
      <c r="D110" s="3" t="n">
        <v>3</v>
      </c>
      <c r="E110" s="3" t="n">
        <v>3</v>
      </c>
      <c r="F110" s="3" t="s">
        <v>1508</v>
      </c>
      <c r="G110" s="3" t="s">
        <v>483</v>
      </c>
      <c r="H110" s="3" t="s">
        <v>1462</v>
      </c>
      <c r="I110" s="3" t="n">
        <v>382.7</v>
      </c>
      <c r="J110" s="6" t="n">
        <v>-3.61415438861605</v>
      </c>
    </row>
    <row r="111" customFormat="false" ht="15" hidden="false" customHeight="false" outlineLevel="0" collapsed="false">
      <c r="A111" s="3" t="n">
        <v>110</v>
      </c>
      <c r="B111" s="3" t="s">
        <v>227</v>
      </c>
      <c r="C111" s="3" t="s">
        <v>228</v>
      </c>
      <c r="D111" s="3" t="n">
        <v>3</v>
      </c>
      <c r="E111" s="3" t="n">
        <v>3</v>
      </c>
      <c r="F111" s="3" t="s">
        <v>1513</v>
      </c>
      <c r="G111" s="3" t="s">
        <v>226</v>
      </c>
      <c r="H111" s="3" t="s">
        <v>1208</v>
      </c>
      <c r="I111" s="3" t="n">
        <v>1743.7</v>
      </c>
      <c r="J111" s="6" t="n">
        <v>-4.64289620474679</v>
      </c>
    </row>
    <row r="112" customFormat="false" ht="15" hidden="false" customHeight="false" outlineLevel="0" collapsed="false">
      <c r="A112" s="3" t="n">
        <v>111</v>
      </c>
      <c r="B112" s="3" t="s">
        <v>437</v>
      </c>
      <c r="C112" s="3" t="s">
        <v>438</v>
      </c>
      <c r="D112" s="3" t="n">
        <v>3</v>
      </c>
      <c r="E112" s="3" t="n">
        <v>3</v>
      </c>
      <c r="F112" s="3" t="s">
        <v>1517</v>
      </c>
      <c r="G112" s="3" t="s">
        <v>436</v>
      </c>
      <c r="H112" s="3" t="s">
        <v>1369</v>
      </c>
      <c r="I112" s="3" t="n">
        <v>374.35</v>
      </c>
      <c r="J112" s="6" t="n">
        <v>-15.876404494382</v>
      </c>
    </row>
    <row r="113" customFormat="false" ht="15" hidden="false" customHeight="false" outlineLevel="0" collapsed="false">
      <c r="A113" s="3" t="n">
        <v>112</v>
      </c>
      <c r="B113" s="3" t="s">
        <v>342</v>
      </c>
      <c r="C113" s="3" t="s">
        <v>343</v>
      </c>
      <c r="D113" s="3" t="n">
        <v>3</v>
      </c>
      <c r="E113" s="3" t="n">
        <v>3</v>
      </c>
      <c r="F113" s="3" t="s">
        <v>1523</v>
      </c>
      <c r="G113" s="3" t="s">
        <v>341</v>
      </c>
      <c r="H113" s="3" t="s">
        <v>472</v>
      </c>
      <c r="I113" s="3" t="n">
        <v>2420</v>
      </c>
      <c r="J113" s="6" t="n">
        <v>-13.5683417264902</v>
      </c>
    </row>
    <row r="114" customFormat="false" ht="15" hidden="false" customHeight="false" outlineLevel="0" collapsed="false">
      <c r="A114" s="3" t="n">
        <v>113</v>
      </c>
      <c r="B114" s="3" t="s">
        <v>213</v>
      </c>
      <c r="C114" s="3" t="s">
        <v>214</v>
      </c>
      <c r="D114" s="3" t="n">
        <v>3</v>
      </c>
      <c r="E114" s="3" t="n">
        <v>3</v>
      </c>
      <c r="F114" s="3" t="s">
        <v>1534</v>
      </c>
      <c r="G114" s="3" t="s">
        <v>206</v>
      </c>
      <c r="H114" s="3" t="s">
        <v>1218</v>
      </c>
      <c r="I114" s="3" t="n">
        <v>985</v>
      </c>
      <c r="J114" s="6" t="n">
        <v>2.41214389686006</v>
      </c>
    </row>
    <row r="115" customFormat="false" ht="15" hidden="false" customHeight="false" outlineLevel="0" collapsed="false">
      <c r="A115" s="3" t="n">
        <v>114</v>
      </c>
      <c r="B115" s="3" t="s">
        <v>794</v>
      </c>
      <c r="C115" s="3" t="s">
        <v>795</v>
      </c>
      <c r="D115" s="3" t="n">
        <v>3</v>
      </c>
      <c r="E115" s="3" t="n">
        <v>3</v>
      </c>
      <c r="F115" s="3" t="s">
        <v>1557</v>
      </c>
      <c r="G115" s="3" t="s">
        <v>792</v>
      </c>
      <c r="H115" s="3" t="s">
        <v>1318</v>
      </c>
      <c r="I115" s="3" t="n">
        <v>1845.9</v>
      </c>
      <c r="J115" s="6" t="n">
        <v>-9.62103407755582</v>
      </c>
    </row>
    <row r="116" customFormat="false" ht="15" hidden="false" customHeight="false" outlineLevel="0" collapsed="false">
      <c r="A116" s="3" t="n">
        <v>115</v>
      </c>
      <c r="B116" s="3" t="s">
        <v>357</v>
      </c>
      <c r="C116" s="3" t="s">
        <v>358</v>
      </c>
      <c r="D116" s="3" t="n">
        <v>3</v>
      </c>
      <c r="E116" s="3" t="n">
        <v>3</v>
      </c>
      <c r="F116" s="3" t="s">
        <v>1558</v>
      </c>
      <c r="G116" s="3" t="s">
        <v>356</v>
      </c>
      <c r="H116" s="3" t="s">
        <v>707</v>
      </c>
      <c r="I116" s="3" t="n">
        <v>450</v>
      </c>
      <c r="J116" s="6" t="n">
        <v>-14.7565826861148</v>
      </c>
    </row>
    <row r="117" customFormat="false" ht="15" hidden="false" customHeight="false" outlineLevel="0" collapsed="false">
      <c r="A117" s="3" t="n">
        <v>116</v>
      </c>
      <c r="B117" s="3" t="s">
        <v>493</v>
      </c>
      <c r="C117" s="3" t="s">
        <v>494</v>
      </c>
      <c r="D117" s="3" t="n">
        <v>3</v>
      </c>
      <c r="E117" s="3" t="n">
        <v>3</v>
      </c>
      <c r="F117" s="3" t="s">
        <v>1562</v>
      </c>
      <c r="G117" s="3" t="s">
        <v>483</v>
      </c>
      <c r="H117" s="3" t="s">
        <v>1242</v>
      </c>
      <c r="I117" s="3" t="n">
        <v>385.75</v>
      </c>
      <c r="J117" s="6" t="n">
        <v>-13.7024608501119</v>
      </c>
    </row>
    <row r="118" customFormat="false" ht="15" hidden="false" customHeight="false" outlineLevel="0" collapsed="false">
      <c r="A118" s="3" t="n">
        <v>117</v>
      </c>
      <c r="B118" s="3" t="s">
        <v>496</v>
      </c>
      <c r="C118" s="3" t="s">
        <v>497</v>
      </c>
      <c r="D118" s="3" t="n">
        <v>3</v>
      </c>
      <c r="E118" s="3" t="n">
        <v>3</v>
      </c>
      <c r="F118" s="3" t="s">
        <v>1580</v>
      </c>
      <c r="G118" s="3" t="s">
        <v>483</v>
      </c>
      <c r="H118" s="3" t="s">
        <v>1369</v>
      </c>
      <c r="I118" s="3" t="n">
        <v>868</v>
      </c>
      <c r="J118" s="6" t="n">
        <v>-18.8026192703461</v>
      </c>
    </row>
    <row r="119" customFormat="false" ht="15" hidden="false" customHeight="false" outlineLevel="0" collapsed="false">
      <c r="A119" s="3" t="n">
        <v>118</v>
      </c>
      <c r="B119" s="3" t="s">
        <v>820</v>
      </c>
      <c r="C119" s="3" t="s">
        <v>821</v>
      </c>
      <c r="D119" s="3" t="n">
        <v>3</v>
      </c>
      <c r="E119" s="3" t="n">
        <v>3</v>
      </c>
      <c r="F119" s="3" t="s">
        <v>1608</v>
      </c>
      <c r="G119" s="3" t="s">
        <v>818</v>
      </c>
      <c r="H119" s="3" t="s">
        <v>1393</v>
      </c>
      <c r="I119" s="3" t="n">
        <v>478.7</v>
      </c>
      <c r="J119" s="6" t="n">
        <v>-1.6032887975334</v>
      </c>
    </row>
    <row r="120" customFormat="false" ht="15" hidden="false" customHeight="false" outlineLevel="0" collapsed="false">
      <c r="A120" s="3" t="n">
        <v>119</v>
      </c>
      <c r="B120" s="3" t="s">
        <v>917</v>
      </c>
      <c r="C120" s="3" t="s">
        <v>918</v>
      </c>
      <c r="D120" s="3" t="n">
        <v>3</v>
      </c>
      <c r="E120" s="3" t="n">
        <v>2</v>
      </c>
      <c r="F120" s="3" t="s">
        <v>1620</v>
      </c>
      <c r="G120" s="3" t="s">
        <v>915</v>
      </c>
      <c r="H120" s="3" t="s">
        <v>1005</v>
      </c>
      <c r="I120" s="3" t="n">
        <v>4091.4</v>
      </c>
      <c r="J120" s="6" t="n">
        <v>-13.5010570824524</v>
      </c>
    </row>
    <row r="121" customFormat="false" ht="15" hidden="false" customHeight="false" outlineLevel="0" collapsed="false">
      <c r="A121" s="3" t="n">
        <v>120</v>
      </c>
      <c r="B121" s="3" t="s">
        <v>897</v>
      </c>
      <c r="C121" s="3" t="s">
        <v>898</v>
      </c>
      <c r="D121" s="3" t="n">
        <v>3</v>
      </c>
      <c r="E121" s="3" t="n">
        <v>2</v>
      </c>
      <c r="F121" s="3" t="s">
        <v>1625</v>
      </c>
      <c r="G121" s="3" t="s">
        <v>888</v>
      </c>
      <c r="H121" s="3" t="s">
        <v>1357</v>
      </c>
      <c r="I121" s="3" t="n">
        <v>813.25</v>
      </c>
      <c r="J121" s="6" t="n">
        <v>-7.68488563482604</v>
      </c>
    </row>
    <row r="122" customFormat="false" ht="15" hidden="false" customHeight="false" outlineLevel="0" collapsed="false">
      <c r="A122" s="3" t="n">
        <v>121</v>
      </c>
      <c r="B122" s="3" t="s">
        <v>619</v>
      </c>
      <c r="C122" s="3" t="s">
        <v>620</v>
      </c>
      <c r="D122" s="3" t="n">
        <v>3</v>
      </c>
      <c r="E122" s="3" t="n">
        <v>2</v>
      </c>
      <c r="F122" s="3" t="s">
        <v>1645</v>
      </c>
      <c r="G122" s="3" t="s">
        <v>616</v>
      </c>
      <c r="H122" s="3" t="s">
        <v>1261</v>
      </c>
      <c r="I122" s="3" t="n">
        <v>230</v>
      </c>
      <c r="J122" s="6" t="n">
        <v>-5.69905699056991</v>
      </c>
    </row>
    <row r="123" customFormat="false" ht="15" hidden="false" customHeight="false" outlineLevel="0" collapsed="false">
      <c r="A123" s="3" t="n">
        <v>122</v>
      </c>
      <c r="B123" s="3" t="s">
        <v>633</v>
      </c>
      <c r="C123" s="3" t="s">
        <v>634</v>
      </c>
      <c r="D123" s="3" t="n">
        <v>3</v>
      </c>
      <c r="E123" s="3" t="n">
        <v>3</v>
      </c>
      <c r="F123" s="3" t="s">
        <v>1646</v>
      </c>
      <c r="G123" s="3" t="s">
        <v>626</v>
      </c>
      <c r="H123" s="3" t="s">
        <v>987</v>
      </c>
      <c r="I123" s="3" t="n">
        <v>37500</v>
      </c>
      <c r="J123" s="6" t="n">
        <v>2.65535176567205</v>
      </c>
    </row>
    <row r="124" customFormat="false" ht="15" hidden="false" customHeight="false" outlineLevel="0" collapsed="false">
      <c r="A124" s="3" t="n">
        <v>123</v>
      </c>
      <c r="B124" s="3" t="s">
        <v>859</v>
      </c>
      <c r="C124" s="3" t="s">
        <v>860</v>
      </c>
      <c r="D124" s="3" t="n">
        <v>3</v>
      </c>
      <c r="E124" s="3" t="n">
        <v>3</v>
      </c>
      <c r="F124" s="3" t="s">
        <v>1657</v>
      </c>
      <c r="G124" s="3" t="s">
        <v>852</v>
      </c>
      <c r="H124" s="3" t="s">
        <v>1058</v>
      </c>
      <c r="I124" s="3" t="n">
        <v>8191</v>
      </c>
      <c r="J124" s="6" t="n">
        <v>-2.66769651238786</v>
      </c>
    </row>
    <row r="125" customFormat="false" ht="15" hidden="false" customHeight="false" outlineLevel="0" collapsed="false">
      <c r="A125" s="3" t="n">
        <v>124</v>
      </c>
      <c r="B125" s="3" t="s">
        <v>1145</v>
      </c>
      <c r="C125" s="3" t="s">
        <v>1146</v>
      </c>
      <c r="D125" s="3" t="n">
        <v>3</v>
      </c>
      <c r="E125" s="3" t="n">
        <v>3</v>
      </c>
      <c r="F125" s="3" t="s">
        <v>1661</v>
      </c>
      <c r="G125" s="3" t="s">
        <v>1129</v>
      </c>
      <c r="H125" s="3" t="s">
        <v>1321</v>
      </c>
      <c r="I125" s="3" t="n">
        <v>4478.3</v>
      </c>
      <c r="J125" s="6" t="n">
        <v>8.37043848610978</v>
      </c>
    </row>
    <row r="126" customFormat="false" ht="15" hidden="false" customHeight="false" outlineLevel="0" collapsed="false">
      <c r="A126" s="3" t="n">
        <v>125</v>
      </c>
      <c r="B126" s="3" t="s">
        <v>422</v>
      </c>
      <c r="C126" s="3" t="s">
        <v>423</v>
      </c>
      <c r="D126" s="3" t="n">
        <v>3</v>
      </c>
      <c r="E126" s="3" t="n">
        <v>3</v>
      </c>
      <c r="F126" s="3" t="s">
        <v>1669</v>
      </c>
      <c r="G126" s="3" t="s">
        <v>420</v>
      </c>
      <c r="H126" s="3" t="s">
        <v>1058</v>
      </c>
      <c r="I126" s="3" t="n">
        <v>22170</v>
      </c>
      <c r="J126" s="6" t="n">
        <v>-11.2312312312312</v>
      </c>
    </row>
    <row r="127" customFormat="false" ht="15" hidden="false" customHeight="false" outlineLevel="0" collapsed="false">
      <c r="A127" s="3" t="n">
        <v>126</v>
      </c>
      <c r="B127" s="3" t="s">
        <v>384</v>
      </c>
      <c r="C127" s="3" t="s">
        <v>385</v>
      </c>
      <c r="D127" s="3" t="n">
        <v>3</v>
      </c>
      <c r="E127" s="3" t="n">
        <v>2</v>
      </c>
      <c r="F127" s="3" t="s">
        <v>1671</v>
      </c>
      <c r="G127" s="3" t="s">
        <v>378</v>
      </c>
      <c r="H127" s="3" t="s">
        <v>728</v>
      </c>
      <c r="I127" s="3" t="n">
        <v>3785.5</v>
      </c>
      <c r="J127" s="6" t="n">
        <v>15.0433064883756</v>
      </c>
    </row>
    <row r="128" customFormat="false" ht="15" hidden="false" customHeight="false" outlineLevel="0" collapsed="false">
      <c r="A128" s="3" t="n">
        <v>127</v>
      </c>
      <c r="B128" s="3" t="s">
        <v>372</v>
      </c>
      <c r="C128" s="3" t="s">
        <v>373</v>
      </c>
      <c r="D128" s="3" t="n">
        <v>3</v>
      </c>
      <c r="E128" s="3" t="n">
        <v>3</v>
      </c>
      <c r="F128" s="3" t="s">
        <v>1677</v>
      </c>
      <c r="G128" s="3" t="s">
        <v>356</v>
      </c>
      <c r="H128" s="3" t="s">
        <v>771</v>
      </c>
      <c r="I128" s="3" t="n">
        <v>376</v>
      </c>
      <c r="J128" s="6" t="n">
        <v>-17.3807954295759</v>
      </c>
    </row>
    <row r="129" customFormat="false" ht="15" hidden="false" customHeight="false" outlineLevel="0" collapsed="false">
      <c r="A129" s="3" t="n">
        <v>128</v>
      </c>
      <c r="B129" s="3" t="s">
        <v>660</v>
      </c>
      <c r="C129" s="3" t="s">
        <v>661</v>
      </c>
      <c r="D129" s="3" t="n">
        <v>3</v>
      </c>
      <c r="E129" s="3" t="n">
        <v>3</v>
      </c>
      <c r="F129" s="3" t="s">
        <v>1692</v>
      </c>
      <c r="G129" s="3" t="s">
        <v>658</v>
      </c>
      <c r="H129" s="3" t="s">
        <v>1401</v>
      </c>
      <c r="I129" s="3" t="n">
        <v>171.75</v>
      </c>
      <c r="J129" s="6" t="n">
        <v>-8.15508021390374</v>
      </c>
    </row>
    <row r="130" customFormat="false" ht="15" hidden="false" customHeight="false" outlineLevel="0" collapsed="false">
      <c r="A130" s="3" t="n">
        <v>129</v>
      </c>
      <c r="B130" s="3" t="s">
        <v>159</v>
      </c>
      <c r="C130" s="3" t="s">
        <v>160</v>
      </c>
      <c r="D130" s="3" t="n">
        <v>3</v>
      </c>
      <c r="E130" s="3" t="n">
        <v>3</v>
      </c>
      <c r="F130" s="3" t="s">
        <v>1699</v>
      </c>
      <c r="G130" s="3" t="s">
        <v>151</v>
      </c>
      <c r="H130" s="3" t="s">
        <v>1269</v>
      </c>
      <c r="I130" s="3" t="n">
        <v>1135.5</v>
      </c>
      <c r="J130" s="6" t="n">
        <v>-11.8400621118012</v>
      </c>
    </row>
    <row r="131" customFormat="false" ht="15" hidden="false" customHeight="false" outlineLevel="0" collapsed="false">
      <c r="A131" s="3" t="n">
        <v>130</v>
      </c>
      <c r="B131" s="3" t="s">
        <v>86</v>
      </c>
      <c r="C131" s="3" t="s">
        <v>87</v>
      </c>
      <c r="D131" s="3" t="n">
        <v>3</v>
      </c>
      <c r="E131" s="3" t="n">
        <v>3</v>
      </c>
      <c r="F131" s="3" t="s">
        <v>1701</v>
      </c>
      <c r="G131" s="3" t="s">
        <v>57</v>
      </c>
      <c r="H131" s="3" t="s">
        <v>1129</v>
      </c>
      <c r="I131" s="3" t="n">
        <v>21.18</v>
      </c>
      <c r="J131" s="6" t="n">
        <v>-8.5097192224622</v>
      </c>
    </row>
    <row r="132" customFormat="false" ht="15" hidden="false" customHeight="false" outlineLevel="0" collapsed="false">
      <c r="A132" s="3" t="n">
        <v>131</v>
      </c>
      <c r="B132" s="3" t="s">
        <v>1014</v>
      </c>
      <c r="C132" s="3" t="s">
        <v>1015</v>
      </c>
      <c r="D132" s="3" t="n">
        <v>2</v>
      </c>
      <c r="E132" s="3" t="n">
        <v>2</v>
      </c>
      <c r="F132" s="3" t="s">
        <v>1510</v>
      </c>
      <c r="G132" s="3" t="s">
        <v>1012</v>
      </c>
      <c r="H132" s="3" t="s">
        <v>1405</v>
      </c>
      <c r="I132" s="3" t="n">
        <v>1287.9</v>
      </c>
      <c r="J132" s="6" t="n">
        <v>-20.3032178217822</v>
      </c>
    </row>
    <row r="133" customFormat="false" ht="15" hidden="false" customHeight="false" outlineLevel="0" collapsed="false">
      <c r="A133" s="3" t="n">
        <v>132</v>
      </c>
      <c r="B133" s="3" t="s">
        <v>426</v>
      </c>
      <c r="C133" s="3" t="s">
        <v>427</v>
      </c>
      <c r="D133" s="3" t="n">
        <v>2</v>
      </c>
      <c r="E133" s="3" t="n">
        <v>2</v>
      </c>
      <c r="F133" s="3" t="s">
        <v>1512</v>
      </c>
      <c r="G133" s="3" t="s">
        <v>425</v>
      </c>
      <c r="H133" s="3" t="s">
        <v>1237</v>
      </c>
      <c r="I133" s="3" t="n">
        <v>2831.1</v>
      </c>
      <c r="J133" s="6" t="n">
        <v>-9.94083216694236</v>
      </c>
    </row>
    <row r="134" customFormat="false" ht="15" hidden="false" customHeight="false" outlineLevel="0" collapsed="false">
      <c r="A134" s="3" t="n">
        <v>133</v>
      </c>
      <c r="B134" s="3" t="s">
        <v>289</v>
      </c>
      <c r="C134" s="3" t="s">
        <v>290</v>
      </c>
      <c r="D134" s="3" t="n">
        <v>2</v>
      </c>
      <c r="E134" s="3" t="n">
        <v>2</v>
      </c>
      <c r="F134" s="3" t="s">
        <v>1522</v>
      </c>
      <c r="G134" s="3" t="s">
        <v>288</v>
      </c>
      <c r="H134" s="3" t="s">
        <v>728</v>
      </c>
      <c r="I134" s="3" t="n">
        <v>155.22</v>
      </c>
      <c r="J134" s="6" t="n">
        <v>-22.7453712920565</v>
      </c>
    </row>
    <row r="135" customFormat="false" ht="15" hidden="false" customHeight="false" outlineLevel="0" collapsed="false">
      <c r="A135" s="3" t="n">
        <v>134</v>
      </c>
      <c r="B135" s="3" t="s">
        <v>639</v>
      </c>
      <c r="C135" s="3" t="s">
        <v>640</v>
      </c>
      <c r="D135" s="3" t="n">
        <v>2</v>
      </c>
      <c r="E135" s="3" t="n">
        <v>2</v>
      </c>
      <c r="F135" s="3" t="s">
        <v>1536</v>
      </c>
      <c r="G135" s="3" t="s">
        <v>636</v>
      </c>
      <c r="H135" s="3" t="s">
        <v>1168</v>
      </c>
      <c r="I135" s="3" t="n">
        <v>129.99</v>
      </c>
      <c r="J135" s="6" t="n">
        <v>-12.0024370430544</v>
      </c>
    </row>
    <row r="136" customFormat="false" ht="15" hidden="false" customHeight="false" outlineLevel="0" collapsed="false">
      <c r="A136" s="3" t="n">
        <v>135</v>
      </c>
      <c r="B136" s="3" t="s">
        <v>642</v>
      </c>
      <c r="C136" s="3" t="s">
        <v>643</v>
      </c>
      <c r="D136" s="3" t="n">
        <v>2</v>
      </c>
      <c r="E136" s="3" t="n">
        <v>2</v>
      </c>
      <c r="F136" s="3" t="s">
        <v>1537</v>
      </c>
      <c r="G136" s="3" t="s">
        <v>636</v>
      </c>
      <c r="H136" s="3" t="s">
        <v>1208</v>
      </c>
      <c r="I136" s="3" t="n">
        <v>385.5</v>
      </c>
      <c r="J136" s="6" t="n">
        <v>-8.18149339049661</v>
      </c>
    </row>
    <row r="137" customFormat="false" ht="15" hidden="false" customHeight="false" outlineLevel="0" collapsed="false">
      <c r="A137" s="3" t="n">
        <v>136</v>
      </c>
      <c r="B137" s="3" t="s">
        <v>242</v>
      </c>
      <c r="C137" s="3" t="s">
        <v>243</v>
      </c>
      <c r="D137" s="3" t="n">
        <v>2</v>
      </c>
      <c r="E137" s="3" t="n">
        <v>2</v>
      </c>
      <c r="F137" s="3" t="s">
        <v>1539</v>
      </c>
      <c r="G137" s="3" t="s">
        <v>241</v>
      </c>
      <c r="H137" s="3" t="s">
        <v>1277</v>
      </c>
      <c r="I137" s="3" t="n">
        <v>1771.4</v>
      </c>
      <c r="J137" s="6" t="n">
        <v>-8.26989798560405</v>
      </c>
    </row>
    <row r="138" customFormat="false" ht="15" hidden="false" customHeight="false" outlineLevel="0" collapsed="false">
      <c r="A138" s="3" t="n">
        <v>137</v>
      </c>
      <c r="B138" s="3" t="s">
        <v>1007</v>
      </c>
      <c r="C138" s="3" t="s">
        <v>1008</v>
      </c>
      <c r="D138" s="3" t="n">
        <v>2</v>
      </c>
      <c r="E138" s="3" t="n">
        <v>2</v>
      </c>
      <c r="F138" s="3" t="s">
        <v>1540</v>
      </c>
      <c r="G138" s="3" t="s">
        <v>1005</v>
      </c>
      <c r="H138" s="3" t="s">
        <v>1305</v>
      </c>
      <c r="I138" s="3" t="n">
        <v>411.9</v>
      </c>
      <c r="J138" s="6" t="n">
        <v>-1.44754157195837</v>
      </c>
    </row>
    <row r="139" customFormat="false" ht="15" hidden="false" customHeight="false" outlineLevel="0" collapsed="false">
      <c r="A139" s="3" t="n">
        <v>138</v>
      </c>
      <c r="B139" s="3" t="s">
        <v>809</v>
      </c>
      <c r="C139" s="3" t="s">
        <v>810</v>
      </c>
      <c r="D139" s="3" t="n">
        <v>2</v>
      </c>
      <c r="E139" s="3" t="n">
        <v>2</v>
      </c>
      <c r="F139" s="3" t="s">
        <v>1550</v>
      </c>
      <c r="G139" s="3" t="s">
        <v>808</v>
      </c>
      <c r="H139" s="3" t="s">
        <v>987</v>
      </c>
      <c r="I139" s="3" t="n">
        <v>865</v>
      </c>
      <c r="J139" s="6" t="n">
        <v>15.6417112299465</v>
      </c>
    </row>
    <row r="140" customFormat="false" ht="15" hidden="false" customHeight="false" outlineLevel="0" collapsed="false">
      <c r="A140" s="3" t="n">
        <v>139</v>
      </c>
      <c r="B140" s="3" t="s">
        <v>1152</v>
      </c>
      <c r="C140" s="3" t="s">
        <v>1153</v>
      </c>
      <c r="D140" s="3" t="n">
        <v>2</v>
      </c>
      <c r="E140" s="3" t="n">
        <v>1</v>
      </c>
      <c r="F140" s="3" t="s">
        <v>1555</v>
      </c>
      <c r="G140" s="3" t="s">
        <v>1150</v>
      </c>
      <c r="H140" s="3" t="s">
        <v>1155</v>
      </c>
      <c r="I140" s="3" t="n">
        <v>1773</v>
      </c>
      <c r="J140" s="6" t="n">
        <v>16.6831194471866</v>
      </c>
    </row>
    <row r="141" customFormat="false" ht="15" hidden="false" customHeight="false" outlineLevel="0" collapsed="false">
      <c r="A141" s="3" t="n">
        <v>140</v>
      </c>
      <c r="B141" s="3" t="s">
        <v>612</v>
      </c>
      <c r="C141" s="3" t="s">
        <v>613</v>
      </c>
      <c r="D141" s="3" t="n">
        <v>2</v>
      </c>
      <c r="E141" s="3" t="n">
        <v>2</v>
      </c>
      <c r="F141" s="3" t="s">
        <v>1569</v>
      </c>
      <c r="G141" s="3" t="s">
        <v>611</v>
      </c>
      <c r="H141" s="3" t="s">
        <v>744</v>
      </c>
      <c r="I141" s="3" t="n">
        <v>3803.5</v>
      </c>
      <c r="J141" s="6" t="n">
        <v>-3.33934788685863</v>
      </c>
    </row>
    <row r="142" customFormat="false" ht="15" hidden="false" customHeight="false" outlineLevel="0" collapsed="false">
      <c r="A142" s="3" t="n">
        <v>141</v>
      </c>
      <c r="B142" s="3" t="s">
        <v>168</v>
      </c>
      <c r="C142" s="3" t="s">
        <v>169</v>
      </c>
      <c r="D142" s="3" t="n">
        <v>2</v>
      </c>
      <c r="E142" s="3" t="n">
        <v>2</v>
      </c>
      <c r="F142" s="3" t="s">
        <v>1570</v>
      </c>
      <c r="G142" s="3" t="s">
        <v>167</v>
      </c>
      <c r="H142" s="3" t="s">
        <v>1012</v>
      </c>
      <c r="I142" s="3" t="n">
        <v>1221</v>
      </c>
      <c r="J142" s="6" t="n">
        <v>-1.18960912842923</v>
      </c>
    </row>
    <row r="143" customFormat="false" ht="15" hidden="false" customHeight="false" outlineLevel="0" collapsed="false">
      <c r="A143" s="3" t="n">
        <v>142</v>
      </c>
      <c r="B143" s="3" t="s">
        <v>337</v>
      </c>
      <c r="C143" s="3" t="s">
        <v>338</v>
      </c>
      <c r="D143" s="3" t="n">
        <v>2</v>
      </c>
      <c r="E143" s="3" t="n">
        <v>2</v>
      </c>
      <c r="F143" s="3" t="s">
        <v>1571</v>
      </c>
      <c r="G143" s="3" t="s">
        <v>332</v>
      </c>
      <c r="H143" s="3" t="s">
        <v>943</v>
      </c>
      <c r="I143" s="3" t="n">
        <v>7213.5</v>
      </c>
      <c r="J143" s="6" t="n">
        <v>1.1569204880101</v>
      </c>
    </row>
    <row r="144" customFormat="false" ht="15" hidden="false" customHeight="false" outlineLevel="0" collapsed="false">
      <c r="A144" s="3" t="n">
        <v>143</v>
      </c>
      <c r="B144" s="3" t="s">
        <v>71</v>
      </c>
      <c r="C144" s="3" t="s">
        <v>72</v>
      </c>
      <c r="D144" s="3" t="n">
        <v>2</v>
      </c>
      <c r="E144" s="3" t="n">
        <v>2</v>
      </c>
      <c r="F144" s="3" t="s">
        <v>1575</v>
      </c>
      <c r="G144" s="3" t="s">
        <v>57</v>
      </c>
      <c r="H144" s="3" t="s">
        <v>1081</v>
      </c>
      <c r="I144" s="3" t="n">
        <v>830.75</v>
      </c>
      <c r="J144" s="6" t="n">
        <v>-12.7684149734866</v>
      </c>
    </row>
    <row r="145" customFormat="false" ht="15" hidden="false" customHeight="false" outlineLevel="0" collapsed="false">
      <c r="A145" s="3" t="n">
        <v>144</v>
      </c>
      <c r="B145" s="3" t="s">
        <v>671</v>
      </c>
      <c r="C145" s="3" t="s">
        <v>672</v>
      </c>
      <c r="D145" s="3" t="n">
        <v>2</v>
      </c>
      <c r="E145" s="3" t="n">
        <v>2</v>
      </c>
      <c r="F145" s="3" t="s">
        <v>1583</v>
      </c>
      <c r="G145" s="3" t="s">
        <v>663</v>
      </c>
      <c r="H145" s="3" t="s">
        <v>1385</v>
      </c>
      <c r="I145" s="3" t="n">
        <v>4738</v>
      </c>
      <c r="J145" s="6" t="n">
        <v>-3.69918699186992</v>
      </c>
    </row>
    <row r="146" customFormat="false" ht="15" hidden="false" customHeight="false" outlineLevel="0" collapsed="false">
      <c r="A146" s="3" t="n">
        <v>145</v>
      </c>
      <c r="B146" s="3" t="s">
        <v>77</v>
      </c>
      <c r="C146" s="3" t="s">
        <v>78</v>
      </c>
      <c r="D146" s="3" t="n">
        <v>2</v>
      </c>
      <c r="E146" s="3" t="n">
        <v>1</v>
      </c>
      <c r="F146" s="3" t="s">
        <v>1597</v>
      </c>
      <c r="G146" s="3" t="s">
        <v>57</v>
      </c>
      <c r="H146" s="3" t="s">
        <v>89</v>
      </c>
      <c r="I146" s="3" t="n">
        <v>111.35</v>
      </c>
      <c r="J146" s="6" t="n">
        <v>-22.452817048541</v>
      </c>
    </row>
    <row r="147" customFormat="false" ht="15" hidden="false" customHeight="false" outlineLevel="0" collapsed="false">
      <c r="A147" s="3" t="n">
        <v>146</v>
      </c>
      <c r="B147" s="3" t="s">
        <v>293</v>
      </c>
      <c r="C147" s="3" t="s">
        <v>294</v>
      </c>
      <c r="D147" s="3" t="n">
        <v>2</v>
      </c>
      <c r="E147" s="3" t="n">
        <v>2</v>
      </c>
      <c r="F147" s="3" t="s">
        <v>1598</v>
      </c>
      <c r="G147" s="3" t="s">
        <v>288</v>
      </c>
      <c r="H147" s="3" t="s">
        <v>636</v>
      </c>
      <c r="I147" s="3" t="n">
        <v>802.45</v>
      </c>
      <c r="J147" s="6" t="n">
        <v>-5.19258034026464</v>
      </c>
    </row>
    <row r="148" customFormat="false" ht="15" hidden="false" customHeight="false" outlineLevel="0" collapsed="false">
      <c r="A148" s="3" t="n">
        <v>147</v>
      </c>
      <c r="B148" s="3" t="s">
        <v>263</v>
      </c>
      <c r="C148" s="3" t="s">
        <v>264</v>
      </c>
      <c r="D148" s="3" t="n">
        <v>2</v>
      </c>
      <c r="E148" s="3" t="n">
        <v>2</v>
      </c>
      <c r="F148" s="3" t="s">
        <v>1604</v>
      </c>
      <c r="G148" s="3" t="s">
        <v>252</v>
      </c>
      <c r="H148" s="3" t="s">
        <v>477</v>
      </c>
      <c r="I148" s="3" t="n">
        <v>453.5</v>
      </c>
      <c r="J148" s="6" t="n">
        <v>-33.4702559964791</v>
      </c>
    </row>
    <row r="149" customFormat="false" ht="15" hidden="false" customHeight="false" outlineLevel="0" collapsed="false">
      <c r="A149" s="3" t="n">
        <v>148</v>
      </c>
      <c r="B149" s="3" t="s">
        <v>108</v>
      </c>
      <c r="C149" s="3" t="s">
        <v>109</v>
      </c>
      <c r="D149" s="3" t="n">
        <v>2</v>
      </c>
      <c r="E149" s="3" t="n">
        <v>2</v>
      </c>
      <c r="F149" s="3" t="s">
        <v>1605</v>
      </c>
      <c r="G149" s="3" t="s">
        <v>89</v>
      </c>
      <c r="H149" s="3" t="s">
        <v>728</v>
      </c>
      <c r="I149" s="3" t="n">
        <v>1139.6</v>
      </c>
      <c r="J149" s="6" t="n">
        <v>-2.37299751563437</v>
      </c>
    </row>
    <row r="150" customFormat="false" ht="15" hidden="false" customHeight="false" outlineLevel="0" collapsed="false">
      <c r="A150" s="3" t="n">
        <v>149</v>
      </c>
      <c r="B150" s="3" t="s">
        <v>111</v>
      </c>
      <c r="C150" s="3" t="s">
        <v>112</v>
      </c>
      <c r="D150" s="3" t="n">
        <v>2</v>
      </c>
      <c r="E150" s="3" t="n">
        <v>2</v>
      </c>
      <c r="F150" s="3" t="s">
        <v>1616</v>
      </c>
      <c r="G150" s="3" t="s">
        <v>89</v>
      </c>
      <c r="H150" s="3" t="s">
        <v>1129</v>
      </c>
      <c r="I150" s="3" t="n">
        <v>280.85</v>
      </c>
      <c r="J150" s="6" t="n">
        <v>-2.0062805303559</v>
      </c>
    </row>
    <row r="151" customFormat="false" ht="15" hidden="false" customHeight="false" outlineLevel="0" collapsed="false">
      <c r="A151" s="3" t="n">
        <v>150</v>
      </c>
      <c r="B151" s="3" t="s">
        <v>762</v>
      </c>
      <c r="C151" s="3" t="s">
        <v>763</v>
      </c>
      <c r="D151" s="3" t="n">
        <v>2</v>
      </c>
      <c r="E151" s="3" t="n">
        <v>2</v>
      </c>
      <c r="F151" s="3" t="s">
        <v>1628</v>
      </c>
      <c r="G151" s="3" t="s">
        <v>760</v>
      </c>
      <c r="H151" s="3" t="s">
        <v>863</v>
      </c>
      <c r="I151" s="3" t="n">
        <v>1000.1</v>
      </c>
      <c r="J151" s="6" t="n">
        <v>3.65878938640133</v>
      </c>
    </row>
    <row r="152" customFormat="false" ht="15" hidden="false" customHeight="false" outlineLevel="0" collapsed="false">
      <c r="A152" s="3" t="n">
        <v>151</v>
      </c>
      <c r="B152" s="3" t="s">
        <v>595</v>
      </c>
      <c r="C152" s="3" t="s">
        <v>596</v>
      </c>
      <c r="D152" s="3" t="n">
        <v>2</v>
      </c>
      <c r="E152" s="3" t="n">
        <v>2</v>
      </c>
      <c r="F152" s="3" t="s">
        <v>1634</v>
      </c>
      <c r="G152" s="3" t="s">
        <v>583</v>
      </c>
      <c r="H152" s="3" t="s">
        <v>1408</v>
      </c>
      <c r="I152" s="3" t="n">
        <v>1253.9</v>
      </c>
      <c r="J152" s="6" t="n">
        <v>-7.51585779613511</v>
      </c>
    </row>
    <row r="153" customFormat="false" ht="15" hidden="false" customHeight="false" outlineLevel="0" collapsed="false">
      <c r="A153" s="3" t="n">
        <v>152</v>
      </c>
      <c r="B153" s="3" t="s">
        <v>845</v>
      </c>
      <c r="C153" s="3" t="s">
        <v>846</v>
      </c>
      <c r="D153" s="3" t="n">
        <v>2</v>
      </c>
      <c r="E153" s="3" t="n">
        <v>2</v>
      </c>
      <c r="F153" s="3" t="s">
        <v>1636</v>
      </c>
      <c r="G153" s="3" t="s">
        <v>844</v>
      </c>
      <c r="H153" s="3" t="s">
        <v>1012</v>
      </c>
      <c r="I153" s="3" t="n">
        <v>74.5</v>
      </c>
      <c r="J153" s="6" t="n">
        <v>-10.842508377214</v>
      </c>
    </row>
    <row r="154" customFormat="false" ht="15" hidden="false" customHeight="false" outlineLevel="0" collapsed="false">
      <c r="A154" s="3" t="n">
        <v>153</v>
      </c>
      <c r="B154" s="3" t="s">
        <v>1036</v>
      </c>
      <c r="C154" s="3" t="s">
        <v>1037</v>
      </c>
      <c r="D154" s="3" t="n">
        <v>2</v>
      </c>
      <c r="E154" s="3" t="n">
        <v>2</v>
      </c>
      <c r="F154" s="3" t="s">
        <v>1643</v>
      </c>
      <c r="G154" s="3" t="s">
        <v>1035</v>
      </c>
      <c r="H154" s="3" t="s">
        <v>1445</v>
      </c>
      <c r="I154" s="3" t="n">
        <v>10800</v>
      </c>
      <c r="J154" s="6" t="n">
        <v>-13.8755980861244</v>
      </c>
    </row>
    <row r="155" customFormat="false" ht="15" hidden="false" customHeight="false" outlineLevel="0" collapsed="false">
      <c r="A155" s="3" t="n">
        <v>154</v>
      </c>
      <c r="B155" s="3" t="s">
        <v>629</v>
      </c>
      <c r="C155" s="3" t="s">
        <v>630</v>
      </c>
      <c r="D155" s="3" t="n">
        <v>2</v>
      </c>
      <c r="E155" s="3" t="n">
        <v>2</v>
      </c>
      <c r="F155" s="3" t="s">
        <v>1644</v>
      </c>
      <c r="G155" s="3" t="s">
        <v>626</v>
      </c>
      <c r="H155" s="3" t="s">
        <v>1300</v>
      </c>
      <c r="I155" s="3" t="n">
        <v>468</v>
      </c>
      <c r="J155" s="6" t="n">
        <v>6.09839038766719</v>
      </c>
    </row>
    <row r="156" customFormat="false" ht="15" hidden="false" customHeight="false" outlineLevel="0" collapsed="false">
      <c r="A156" s="3" t="n">
        <v>155</v>
      </c>
      <c r="B156" s="3" t="s">
        <v>352</v>
      </c>
      <c r="C156" s="3" t="s">
        <v>353</v>
      </c>
      <c r="D156" s="3" t="n">
        <v>2</v>
      </c>
      <c r="E156" s="3" t="n">
        <v>2</v>
      </c>
      <c r="F156" s="3" t="s">
        <v>1648</v>
      </c>
      <c r="G156" s="3" t="s">
        <v>350</v>
      </c>
      <c r="H156" s="3" t="s">
        <v>425</v>
      </c>
      <c r="I156" s="3" t="n">
        <v>5328.5</v>
      </c>
      <c r="J156" s="6" t="n">
        <v>-17.4132052076875</v>
      </c>
    </row>
    <row r="157" customFormat="false" ht="15" hidden="false" customHeight="false" outlineLevel="0" collapsed="false">
      <c r="A157" s="3" t="n">
        <v>156</v>
      </c>
      <c r="B157" s="3" t="s">
        <v>907</v>
      </c>
      <c r="C157" s="3" t="s">
        <v>908</v>
      </c>
      <c r="D157" s="3" t="n">
        <v>2</v>
      </c>
      <c r="E157" s="3" t="n">
        <v>2</v>
      </c>
      <c r="F157" s="3" t="s">
        <v>1659</v>
      </c>
      <c r="G157" s="3" t="s">
        <v>888</v>
      </c>
      <c r="H157" s="3" t="s">
        <v>1012</v>
      </c>
      <c r="I157" s="3" t="n">
        <v>906</v>
      </c>
      <c r="J157" s="6" t="n">
        <v>-12.4299246085444</v>
      </c>
    </row>
    <row r="158" customFormat="false" ht="15" hidden="false" customHeight="false" outlineLevel="0" collapsed="false">
      <c r="A158" s="3" t="n">
        <v>157</v>
      </c>
      <c r="B158" s="3" t="s">
        <v>880</v>
      </c>
      <c r="C158" s="3" t="s">
        <v>881</v>
      </c>
      <c r="D158" s="3" t="n">
        <v>2</v>
      </c>
      <c r="E158" s="3" t="n">
        <v>2</v>
      </c>
      <c r="F158" s="3" t="s">
        <v>1663</v>
      </c>
      <c r="G158" s="3" t="s">
        <v>863</v>
      </c>
      <c r="H158" s="3" t="s">
        <v>1385</v>
      </c>
      <c r="I158" s="3" t="n">
        <v>1197.6</v>
      </c>
      <c r="J158" s="6" t="n">
        <v>-9.61509433962265</v>
      </c>
    </row>
    <row r="159" customFormat="false" ht="15" hidden="false" customHeight="false" outlineLevel="0" collapsed="false">
      <c r="A159" s="3" t="n">
        <v>158</v>
      </c>
      <c r="B159" s="3" t="s">
        <v>1070</v>
      </c>
      <c r="C159" s="3" t="s">
        <v>1071</v>
      </c>
      <c r="D159" s="3" t="n">
        <v>2</v>
      </c>
      <c r="E159" s="3" t="n">
        <v>2</v>
      </c>
      <c r="F159" s="3" t="s">
        <v>1666</v>
      </c>
      <c r="G159" s="3" t="s">
        <v>1058</v>
      </c>
      <c r="H159" s="3" t="s">
        <v>1300</v>
      </c>
      <c r="I159" s="3" t="n">
        <v>591</v>
      </c>
      <c r="J159" s="6" t="n">
        <v>-7.49002113172106</v>
      </c>
    </row>
    <row r="160" customFormat="false" ht="15" hidden="false" customHeight="false" outlineLevel="0" collapsed="false">
      <c r="A160" s="3" t="n">
        <v>159</v>
      </c>
      <c r="B160" s="3" t="s">
        <v>912</v>
      </c>
      <c r="C160" s="3" t="s">
        <v>913</v>
      </c>
      <c r="D160" s="3" t="n">
        <v>2</v>
      </c>
      <c r="E160" s="3" t="n">
        <v>2</v>
      </c>
      <c r="F160" s="3" t="s">
        <v>1676</v>
      </c>
      <c r="G160" s="3" t="s">
        <v>888</v>
      </c>
      <c r="H160" s="3" t="s">
        <v>1465</v>
      </c>
      <c r="I160" s="3" t="n">
        <v>256</v>
      </c>
      <c r="J160" s="6" t="n">
        <v>-4.93873004084664</v>
      </c>
    </row>
    <row r="161" customFormat="false" ht="15" hidden="false" customHeight="false" outlineLevel="0" collapsed="false">
      <c r="A161" s="3" t="n">
        <v>160</v>
      </c>
      <c r="B161" s="3" t="s">
        <v>814</v>
      </c>
      <c r="C161" s="3" t="s">
        <v>815</v>
      </c>
      <c r="D161" s="3" t="n">
        <v>2</v>
      </c>
      <c r="E161" s="3" t="n">
        <v>2</v>
      </c>
      <c r="F161" s="3" t="s">
        <v>1685</v>
      </c>
      <c r="G161" s="3" t="s">
        <v>808</v>
      </c>
      <c r="H161" s="3" t="s">
        <v>863</v>
      </c>
      <c r="I161" s="3" t="n">
        <v>281.75</v>
      </c>
      <c r="J161" s="6" t="n">
        <v>-10.2992677491245</v>
      </c>
    </row>
    <row r="162" customFormat="false" ht="15" hidden="false" customHeight="false" outlineLevel="0" collapsed="false">
      <c r="A162" s="3" t="n">
        <v>161</v>
      </c>
      <c r="B162" s="3" t="s">
        <v>700</v>
      </c>
      <c r="C162" s="3" t="s">
        <v>701</v>
      </c>
      <c r="D162" s="3" t="n">
        <v>2</v>
      </c>
      <c r="E162" s="3" t="n">
        <v>2</v>
      </c>
      <c r="F162" s="3" t="s">
        <v>1690</v>
      </c>
      <c r="G162" s="3" t="s">
        <v>694</v>
      </c>
      <c r="H162" s="3" t="s">
        <v>1177</v>
      </c>
      <c r="I162" s="3" t="n">
        <v>4095</v>
      </c>
      <c r="J162" s="6" t="n">
        <v>23.6114465105047</v>
      </c>
    </row>
    <row r="163" customFormat="false" ht="15" hidden="false" customHeight="false" outlineLevel="0" collapsed="false">
      <c r="A163" s="3" t="n">
        <v>162</v>
      </c>
      <c r="B163" s="3" t="s">
        <v>655</v>
      </c>
      <c r="C163" s="3" t="s">
        <v>656</v>
      </c>
      <c r="D163" s="3" t="n">
        <v>2</v>
      </c>
      <c r="E163" s="3" t="n">
        <v>2</v>
      </c>
      <c r="F163" s="3" t="s">
        <v>1691</v>
      </c>
      <c r="G163" s="3" t="s">
        <v>648</v>
      </c>
      <c r="H163" s="3" t="s">
        <v>1305</v>
      </c>
      <c r="I163" s="3" t="n">
        <v>11025</v>
      </c>
      <c r="J163" s="6" t="n">
        <v>-6.66271588215374</v>
      </c>
    </row>
    <row r="164" customFormat="false" ht="15" hidden="false" customHeight="false" outlineLevel="0" collapsed="false">
      <c r="A164" s="3" t="n">
        <v>163</v>
      </c>
      <c r="B164" s="3" t="s">
        <v>984</v>
      </c>
      <c r="C164" s="3" t="s">
        <v>985</v>
      </c>
      <c r="D164" s="3" t="n">
        <v>2</v>
      </c>
      <c r="E164" s="3" t="n">
        <v>2</v>
      </c>
      <c r="F164" s="3" t="s">
        <v>1693</v>
      </c>
      <c r="G164" s="3" t="s">
        <v>976</v>
      </c>
      <c r="H164" s="3" t="s">
        <v>1261</v>
      </c>
      <c r="I164" s="3" t="n">
        <v>1415.4</v>
      </c>
      <c r="J164" s="6" t="n">
        <v>-0.833742030407053</v>
      </c>
    </row>
    <row r="165" customFormat="false" ht="15" hidden="false" customHeight="false" outlineLevel="0" collapsed="false">
      <c r="A165" s="3" t="n">
        <v>164</v>
      </c>
      <c r="B165" s="3" t="s">
        <v>279</v>
      </c>
      <c r="C165" s="3" t="s">
        <v>280</v>
      </c>
      <c r="D165" s="3" t="n">
        <v>2</v>
      </c>
      <c r="E165" s="3" t="n">
        <v>2</v>
      </c>
      <c r="F165" s="3" t="s">
        <v>1695</v>
      </c>
      <c r="G165" s="3" t="s">
        <v>252</v>
      </c>
      <c r="H165" s="3" t="s">
        <v>943</v>
      </c>
      <c r="I165" s="3" t="n">
        <v>549.5</v>
      </c>
      <c r="J165" s="6" t="n">
        <v>-14.1741507223741</v>
      </c>
    </row>
    <row r="166" customFormat="false" ht="15" hidden="false" customHeight="false" outlineLevel="0" collapsed="false">
      <c r="A166" s="3" t="n">
        <v>165</v>
      </c>
      <c r="B166" s="3" t="s">
        <v>1032</v>
      </c>
      <c r="C166" s="3" t="s">
        <v>1033</v>
      </c>
      <c r="D166" s="3" t="n">
        <v>2</v>
      </c>
      <c r="E166" s="3" t="n">
        <v>2</v>
      </c>
      <c r="F166" s="3" t="s">
        <v>1698</v>
      </c>
      <c r="G166" s="3" t="s">
        <v>1012</v>
      </c>
      <c r="H166" s="3" t="s">
        <v>1164</v>
      </c>
      <c r="I166" s="3" t="n">
        <v>100.81</v>
      </c>
      <c r="J166" s="6" t="n">
        <v>-15.0930683062411</v>
      </c>
    </row>
    <row r="167" customFormat="false" ht="15" hidden="false" customHeight="false" outlineLevel="0" collapsed="false">
      <c r="A167" s="3" t="n">
        <v>166</v>
      </c>
      <c r="B167" s="3" t="s">
        <v>1258</v>
      </c>
      <c r="C167" s="3" t="s">
        <v>1259</v>
      </c>
      <c r="D167" s="3" t="n">
        <v>2</v>
      </c>
      <c r="E167" s="3" t="n">
        <v>2</v>
      </c>
      <c r="F167" s="3" t="s">
        <v>1702</v>
      </c>
      <c r="G167" s="3" t="s">
        <v>1251</v>
      </c>
      <c r="H167" s="3" t="s">
        <v>1424</v>
      </c>
      <c r="I167" s="3" t="n">
        <v>1215</v>
      </c>
      <c r="J167" s="6" t="n">
        <v>2.16952573158426</v>
      </c>
    </row>
    <row r="168" customFormat="false" ht="15" hidden="false" customHeight="false" outlineLevel="0" collapsed="false">
      <c r="A168" s="3" t="n">
        <v>167</v>
      </c>
      <c r="B168" s="3" t="s">
        <v>930</v>
      </c>
      <c r="C168" s="3" t="s">
        <v>931</v>
      </c>
      <c r="D168" s="3" t="n">
        <v>1</v>
      </c>
      <c r="E168" s="3" t="n">
        <v>1</v>
      </c>
      <c r="F168" s="3" t="s">
        <v>929</v>
      </c>
      <c r="G168" s="3" t="s">
        <v>929</v>
      </c>
      <c r="H168" s="3" t="s">
        <v>929</v>
      </c>
      <c r="I168" s="3" t="n">
        <v>196.14</v>
      </c>
      <c r="J168" s="6" t="n">
        <v>20.1396545387725</v>
      </c>
    </row>
    <row r="169" customFormat="false" ht="15" hidden="false" customHeight="false" outlineLevel="0" collapsed="false">
      <c r="A169" s="3" t="n">
        <v>168</v>
      </c>
      <c r="B169" s="3" t="s">
        <v>1412</v>
      </c>
      <c r="C169" s="3" t="s">
        <v>1413</v>
      </c>
      <c r="D169" s="3" t="n">
        <v>1</v>
      </c>
      <c r="E169" s="3" t="n">
        <v>1</v>
      </c>
      <c r="F169" s="3" t="s">
        <v>1411</v>
      </c>
      <c r="G169" s="3" t="s">
        <v>1411</v>
      </c>
      <c r="H169" s="3" t="s">
        <v>1411</v>
      </c>
      <c r="I169" s="3" t="n">
        <v>6990</v>
      </c>
      <c r="J169" s="6" t="n">
        <v>-4.89795918367347</v>
      </c>
    </row>
    <row r="170" customFormat="false" ht="15" hidden="false" customHeight="false" outlineLevel="0" collapsed="false">
      <c r="A170" s="3" t="n">
        <v>169</v>
      </c>
      <c r="B170" s="3" t="s">
        <v>1328</v>
      </c>
      <c r="C170" s="3" t="s">
        <v>1329</v>
      </c>
      <c r="D170" s="3" t="n">
        <v>1</v>
      </c>
      <c r="E170" s="3" t="n">
        <v>1</v>
      </c>
      <c r="F170" s="3" t="s">
        <v>1327</v>
      </c>
      <c r="G170" s="3" t="s">
        <v>1327</v>
      </c>
      <c r="H170" s="3" t="s">
        <v>1327</v>
      </c>
      <c r="I170" s="3" t="n">
        <v>1209.9</v>
      </c>
      <c r="J170" s="6" t="n">
        <v>-2.06410879067509</v>
      </c>
    </row>
    <row r="171" customFormat="false" ht="15" hidden="false" customHeight="false" outlineLevel="0" collapsed="false">
      <c r="A171" s="3" t="n">
        <v>170</v>
      </c>
      <c r="B171" s="3" t="s">
        <v>1386</v>
      </c>
      <c r="C171" s="3" t="s">
        <v>1387</v>
      </c>
      <c r="D171" s="3" t="n">
        <v>1</v>
      </c>
      <c r="E171" s="3" t="n">
        <v>1</v>
      </c>
      <c r="F171" s="3" t="s">
        <v>1385</v>
      </c>
      <c r="G171" s="3" t="s">
        <v>1385</v>
      </c>
      <c r="H171" s="3" t="s">
        <v>1385</v>
      </c>
      <c r="I171" s="3" t="n">
        <v>181</v>
      </c>
      <c r="J171" s="6" t="n">
        <v>3.62990953853201</v>
      </c>
    </row>
    <row r="172" customFormat="false" ht="15" hidden="false" customHeight="false" outlineLevel="0" collapsed="false">
      <c r="A172" s="3" t="n">
        <v>171</v>
      </c>
      <c r="B172" s="3" t="s">
        <v>1448</v>
      </c>
      <c r="C172" s="3" t="s">
        <v>1449</v>
      </c>
      <c r="D172" s="3" t="n">
        <v>1</v>
      </c>
      <c r="E172" s="3" t="n">
        <v>1</v>
      </c>
      <c r="F172" s="3" t="s">
        <v>1445</v>
      </c>
      <c r="G172" s="3" t="s">
        <v>1445</v>
      </c>
      <c r="H172" s="3" t="s">
        <v>1445</v>
      </c>
      <c r="I172" s="3" t="n">
        <v>47020</v>
      </c>
      <c r="J172" s="6" t="n">
        <v>-5.96</v>
      </c>
    </row>
    <row r="173" customFormat="false" ht="15" hidden="false" customHeight="false" outlineLevel="0" collapsed="false">
      <c r="A173" s="3" t="n">
        <v>172</v>
      </c>
      <c r="B173" s="3" t="s">
        <v>133</v>
      </c>
      <c r="C173" s="3" t="s">
        <v>134</v>
      </c>
      <c r="D173" s="3" t="n">
        <v>1</v>
      </c>
      <c r="E173" s="3" t="n">
        <v>1</v>
      </c>
      <c r="F173" s="3" t="s">
        <v>129</v>
      </c>
      <c r="G173" s="3" t="s">
        <v>129</v>
      </c>
      <c r="H173" s="3" t="s">
        <v>129</v>
      </c>
      <c r="I173" s="3" t="n">
        <v>1082.3</v>
      </c>
      <c r="J173" s="6" t="n">
        <v>-8.32627477553786</v>
      </c>
    </row>
    <row r="174" customFormat="false" ht="15" hidden="false" customHeight="false" outlineLevel="0" collapsed="false">
      <c r="A174" s="3" t="n">
        <v>173</v>
      </c>
      <c r="B174" s="3" t="s">
        <v>797</v>
      </c>
      <c r="C174" s="3" t="s">
        <v>798</v>
      </c>
      <c r="D174" s="3" t="n">
        <v>1</v>
      </c>
      <c r="E174" s="3" t="n">
        <v>1</v>
      </c>
      <c r="F174" s="3" t="s">
        <v>792</v>
      </c>
      <c r="G174" s="3" t="s">
        <v>792</v>
      </c>
      <c r="H174" s="3" t="s">
        <v>792</v>
      </c>
      <c r="I174" s="3" t="n">
        <v>411.75</v>
      </c>
      <c r="J174" s="6" t="n">
        <v>22.054246331703</v>
      </c>
    </row>
    <row r="175" customFormat="false" ht="15" hidden="false" customHeight="false" outlineLevel="0" collapsed="false">
      <c r="A175" s="3" t="n">
        <v>174</v>
      </c>
      <c r="B175" s="3" t="s">
        <v>1427</v>
      </c>
      <c r="C175" s="3" t="s">
        <v>1428</v>
      </c>
      <c r="D175" s="3" t="n">
        <v>1</v>
      </c>
      <c r="E175" s="3" t="n">
        <v>1</v>
      </c>
      <c r="F175" s="3" t="s">
        <v>1424</v>
      </c>
      <c r="G175" s="3" t="s">
        <v>1424</v>
      </c>
      <c r="H175" s="3" t="s">
        <v>1424</v>
      </c>
      <c r="I175" s="3" t="n">
        <v>1669.8</v>
      </c>
      <c r="J175" s="6" t="n">
        <v>-19.3099449115686</v>
      </c>
    </row>
    <row r="176" customFormat="false" ht="15" hidden="false" customHeight="false" outlineLevel="0" collapsed="false">
      <c r="A176" s="3" t="n">
        <v>175</v>
      </c>
      <c r="B176" s="3" t="s">
        <v>892</v>
      </c>
      <c r="C176" s="3" t="s">
        <v>893</v>
      </c>
      <c r="D176" s="3" t="n">
        <v>1</v>
      </c>
      <c r="E176" s="3" t="n">
        <v>1</v>
      </c>
      <c r="F176" s="3" t="s">
        <v>888</v>
      </c>
      <c r="G176" s="3" t="s">
        <v>888</v>
      </c>
      <c r="H176" s="3" t="s">
        <v>888</v>
      </c>
      <c r="I176" s="3" t="n">
        <v>719.05</v>
      </c>
      <c r="J176" s="6" t="n">
        <v>-3.12563152576626</v>
      </c>
    </row>
    <row r="177" customFormat="false" ht="15" hidden="false" customHeight="false" outlineLevel="0" collapsed="false">
      <c r="A177" s="3" t="n">
        <v>176</v>
      </c>
      <c r="B177" s="3" t="s">
        <v>1063</v>
      </c>
      <c r="C177" s="3" t="s">
        <v>1064</v>
      </c>
      <c r="D177" s="3" t="n">
        <v>1</v>
      </c>
      <c r="E177" s="3" t="n">
        <v>1</v>
      </c>
      <c r="F177" s="3" t="s">
        <v>1058</v>
      </c>
      <c r="G177" s="3" t="s">
        <v>1058</v>
      </c>
      <c r="H177" s="3" t="s">
        <v>1058</v>
      </c>
      <c r="I177" s="3" t="n">
        <v>573</v>
      </c>
      <c r="J177" s="6" t="n">
        <v>-9.70690198550268</v>
      </c>
    </row>
    <row r="178" customFormat="false" ht="15" hidden="false" customHeight="false" outlineLevel="0" collapsed="false">
      <c r="A178" s="3" t="n">
        <v>177</v>
      </c>
      <c r="B178" s="3" t="s">
        <v>1021</v>
      </c>
      <c r="C178" s="3" t="s">
        <v>1022</v>
      </c>
      <c r="D178" s="3" t="n">
        <v>1</v>
      </c>
      <c r="E178" s="3" t="n">
        <v>1</v>
      </c>
      <c r="F178" s="3" t="s">
        <v>1012</v>
      </c>
      <c r="G178" s="3" t="s">
        <v>1012</v>
      </c>
      <c r="H178" s="3" t="s">
        <v>1012</v>
      </c>
      <c r="I178" s="3" t="n">
        <v>2050.7</v>
      </c>
      <c r="J178" s="6" t="n">
        <v>7.77275593861677</v>
      </c>
    </row>
    <row r="179" customFormat="false" ht="15" hidden="false" customHeight="false" outlineLevel="0" collapsed="false">
      <c r="A179" s="3" t="n">
        <v>178</v>
      </c>
      <c r="B179" s="3" t="s">
        <v>1468</v>
      </c>
      <c r="C179" s="3" t="s">
        <v>1469</v>
      </c>
      <c r="D179" s="3" t="n">
        <v>1</v>
      </c>
      <c r="E179" s="3" t="n">
        <v>1</v>
      </c>
      <c r="F179" s="3" t="s">
        <v>1465</v>
      </c>
      <c r="G179" s="3" t="s">
        <v>1465</v>
      </c>
      <c r="H179" s="3" t="s">
        <v>1465</v>
      </c>
      <c r="I179" s="3" t="n">
        <v>711</v>
      </c>
      <c r="J179" s="6" t="n">
        <v>-2.86885245901639</v>
      </c>
    </row>
    <row r="180" customFormat="false" ht="15" hidden="false" customHeight="false" outlineLevel="0" collapsed="false">
      <c r="A180" s="3" t="n">
        <v>179</v>
      </c>
      <c r="B180" s="3" t="s">
        <v>1181</v>
      </c>
      <c r="C180" s="3" t="s">
        <v>1182</v>
      </c>
      <c r="D180" s="3" t="n">
        <v>1</v>
      </c>
      <c r="E180" s="3" t="n">
        <v>1</v>
      </c>
      <c r="F180" s="3" t="s">
        <v>1177</v>
      </c>
      <c r="G180" s="3" t="s">
        <v>1177</v>
      </c>
      <c r="H180" s="3" t="s">
        <v>1177</v>
      </c>
      <c r="I180" s="3" t="n">
        <v>4874.5</v>
      </c>
      <c r="J180" s="6" t="n">
        <v>3.49916130539101</v>
      </c>
    </row>
    <row r="181" customFormat="false" ht="15" hidden="false" customHeight="false" outlineLevel="0" collapsed="false">
      <c r="A181" s="3" t="n">
        <v>180</v>
      </c>
      <c r="B181" s="3" t="s">
        <v>1293</v>
      </c>
      <c r="C181" s="3" t="s">
        <v>1294</v>
      </c>
      <c r="D181" s="3" t="n">
        <v>1</v>
      </c>
      <c r="E181" s="3" t="n">
        <v>1</v>
      </c>
      <c r="F181" s="3" t="s">
        <v>1288</v>
      </c>
      <c r="G181" s="3" t="s">
        <v>1288</v>
      </c>
      <c r="H181" s="3" t="s">
        <v>1288</v>
      </c>
      <c r="I181" s="3" t="n">
        <v>72</v>
      </c>
      <c r="J181" s="6" t="n">
        <v>-12.8434814187144</v>
      </c>
    </row>
    <row r="182" customFormat="false" ht="15" hidden="false" customHeight="false" outlineLevel="0" collapsed="false">
      <c r="A182" s="3" t="n">
        <v>181</v>
      </c>
      <c r="B182" s="3" t="s">
        <v>1135</v>
      </c>
      <c r="C182" s="3" t="s">
        <v>1136</v>
      </c>
      <c r="D182" s="3" t="n">
        <v>1</v>
      </c>
      <c r="E182" s="3" t="n">
        <v>1</v>
      </c>
      <c r="F182" s="3" t="s">
        <v>1129</v>
      </c>
      <c r="G182" s="3" t="s">
        <v>1129</v>
      </c>
      <c r="H182" s="3" t="s">
        <v>1129</v>
      </c>
      <c r="I182" s="3" t="n">
        <v>114.82</v>
      </c>
      <c r="J182" s="6" t="n">
        <v>-13.8311444652908</v>
      </c>
    </row>
    <row r="183" customFormat="false" ht="15" hidden="false" customHeight="false" outlineLevel="0" collapsed="false">
      <c r="A183" s="3" t="n">
        <v>182</v>
      </c>
      <c r="B183" s="3" t="s">
        <v>231</v>
      </c>
      <c r="C183" s="3" t="s">
        <v>232</v>
      </c>
      <c r="D183" s="3" t="n">
        <v>1</v>
      </c>
      <c r="E183" s="3" t="n">
        <v>1</v>
      </c>
      <c r="F183" s="3" t="s">
        <v>226</v>
      </c>
      <c r="G183" s="3" t="s">
        <v>226</v>
      </c>
      <c r="H183" s="3" t="s">
        <v>226</v>
      </c>
      <c r="I183" s="3" t="n">
        <v>265.2</v>
      </c>
      <c r="J183" s="6" t="n">
        <v>-34.5427619400222</v>
      </c>
    </row>
    <row r="184" customFormat="false" ht="15" hidden="false" customHeight="false" outlineLevel="0" collapsed="false">
      <c r="A184" s="3" t="n">
        <v>183</v>
      </c>
      <c r="B184" s="3" t="s">
        <v>1122</v>
      </c>
      <c r="C184" s="3" t="s">
        <v>1123</v>
      </c>
      <c r="D184" s="3" t="n">
        <v>1</v>
      </c>
      <c r="E184" s="3" t="n">
        <v>1</v>
      </c>
      <c r="F184" s="3" t="s">
        <v>1117</v>
      </c>
      <c r="G184" s="3" t="s">
        <v>1117</v>
      </c>
      <c r="H184" s="3" t="s">
        <v>1117</v>
      </c>
      <c r="I184" s="3" t="n">
        <v>495</v>
      </c>
      <c r="J184" s="6" t="n">
        <v>-17.7809152063782</v>
      </c>
    </row>
    <row r="185" customFormat="false" ht="15" hidden="false" customHeight="false" outlineLevel="0" collapsed="false">
      <c r="A185" s="3" t="n">
        <v>184</v>
      </c>
      <c r="B185" s="3" t="s">
        <v>538</v>
      </c>
      <c r="C185" s="3" t="s">
        <v>539</v>
      </c>
      <c r="D185" s="3" t="n">
        <v>1</v>
      </c>
      <c r="E185" s="3" t="n">
        <v>1</v>
      </c>
      <c r="F185" s="3" t="s">
        <v>533</v>
      </c>
      <c r="G185" s="3" t="s">
        <v>533</v>
      </c>
      <c r="H185" s="3" t="s">
        <v>533</v>
      </c>
      <c r="I185" s="3" t="n">
        <v>564</v>
      </c>
      <c r="J185" s="6" t="n">
        <v>11.8603728679096</v>
      </c>
    </row>
    <row r="186" customFormat="false" ht="15" hidden="false" customHeight="false" outlineLevel="0" collapsed="false">
      <c r="A186" s="3" t="n">
        <v>185</v>
      </c>
      <c r="B186" s="3" t="s">
        <v>1282</v>
      </c>
      <c r="C186" s="3" t="s">
        <v>1283</v>
      </c>
      <c r="D186" s="3" t="n">
        <v>1</v>
      </c>
      <c r="E186" s="3" t="n">
        <v>1</v>
      </c>
      <c r="F186" s="3" t="s">
        <v>1277</v>
      </c>
      <c r="G186" s="3" t="s">
        <v>1277</v>
      </c>
      <c r="H186" s="3" t="s">
        <v>1277</v>
      </c>
      <c r="I186" s="3" t="n">
        <v>884.05</v>
      </c>
      <c r="J186" s="6" t="n">
        <v>1.04583380957824</v>
      </c>
    </row>
    <row r="187" customFormat="false" ht="15" hidden="false" customHeight="false" outlineLevel="0" collapsed="false">
      <c r="A187" s="3" t="n">
        <v>186</v>
      </c>
      <c r="B187" s="3" t="s">
        <v>1285</v>
      </c>
      <c r="C187" s="3" t="s">
        <v>1286</v>
      </c>
      <c r="D187" s="3" t="n">
        <v>1</v>
      </c>
      <c r="E187" s="3" t="n">
        <v>1</v>
      </c>
      <c r="F187" s="3" t="s">
        <v>1277</v>
      </c>
      <c r="G187" s="3" t="s">
        <v>1277</v>
      </c>
      <c r="H187" s="3" t="s">
        <v>1277</v>
      </c>
      <c r="I187" s="3" t="n">
        <v>1011.6</v>
      </c>
      <c r="J187" s="6" t="n">
        <v>7.3315649867374</v>
      </c>
    </row>
    <row r="188" customFormat="false" ht="15" hidden="false" customHeight="false" outlineLevel="0" collapsed="false">
      <c r="A188" s="3" t="n">
        <v>187</v>
      </c>
      <c r="B188" s="3" t="s">
        <v>269</v>
      </c>
      <c r="C188" s="3" t="s">
        <v>270</v>
      </c>
      <c r="D188" s="3" t="n">
        <v>1</v>
      </c>
      <c r="E188" s="3" t="n">
        <v>1</v>
      </c>
      <c r="F188" s="3" t="s">
        <v>252</v>
      </c>
      <c r="G188" s="3" t="s">
        <v>252</v>
      </c>
      <c r="H188" s="3" t="s">
        <v>252</v>
      </c>
      <c r="I188" s="3" t="n">
        <v>80.21</v>
      </c>
      <c r="J188" s="6" t="n">
        <v>-30.3853497656657</v>
      </c>
    </row>
    <row r="189" customFormat="false" ht="15" hidden="false" customHeight="false" outlineLevel="0" collapsed="false">
      <c r="A189" s="3" t="n">
        <v>188</v>
      </c>
      <c r="B189" s="3" t="s">
        <v>123</v>
      </c>
      <c r="C189" s="3" t="s">
        <v>124</v>
      </c>
      <c r="D189" s="3" t="n">
        <v>1</v>
      </c>
      <c r="E189" s="3" t="n">
        <v>1</v>
      </c>
      <c r="F189" s="3" t="s">
        <v>89</v>
      </c>
      <c r="G189" s="3" t="s">
        <v>89</v>
      </c>
      <c r="H189" s="3" t="s">
        <v>89</v>
      </c>
      <c r="I189" s="3" t="n">
        <v>112.6</v>
      </c>
      <c r="J189" s="6" t="n">
        <v>-1.54760863862902</v>
      </c>
    </row>
    <row r="190" customFormat="false" ht="15" hidden="false" customHeight="false" outlineLevel="0" collapsed="false">
      <c r="A190" s="3" t="n">
        <v>189</v>
      </c>
      <c r="B190" s="3" t="s">
        <v>768</v>
      </c>
      <c r="C190" s="3" t="s">
        <v>769</v>
      </c>
      <c r="D190" s="3" t="n">
        <v>1</v>
      </c>
      <c r="E190" s="3" t="n">
        <v>1</v>
      </c>
      <c r="F190" s="3" t="s">
        <v>760</v>
      </c>
      <c r="G190" s="3" t="s">
        <v>760</v>
      </c>
      <c r="H190" s="3" t="s">
        <v>760</v>
      </c>
      <c r="I190" s="3" t="n">
        <v>206.59</v>
      </c>
      <c r="J190" s="6" t="n">
        <v>26.416595275976</v>
      </c>
    </row>
    <row r="191" customFormat="false" ht="15" hidden="false" customHeight="false" outlineLevel="0" collapsed="false">
      <c r="A191" s="3" t="n">
        <v>190</v>
      </c>
      <c r="B191" s="3" t="s">
        <v>1433</v>
      </c>
      <c r="C191" s="3" t="s">
        <v>1434</v>
      </c>
      <c r="D191" s="3" t="n">
        <v>1</v>
      </c>
      <c r="E191" s="3" t="n">
        <v>1</v>
      </c>
      <c r="F191" s="3" t="s">
        <v>1424</v>
      </c>
      <c r="G191" s="3" t="s">
        <v>1424</v>
      </c>
      <c r="H191" s="3" t="s">
        <v>1424</v>
      </c>
      <c r="I191" s="3" t="n">
        <v>43.45</v>
      </c>
      <c r="J191" s="6" t="n">
        <v>-1.85227016037949</v>
      </c>
    </row>
    <row r="192" customFormat="false" ht="15" hidden="false" customHeight="false" outlineLevel="0" collapsed="false">
      <c r="A192" s="3" t="n">
        <v>191</v>
      </c>
      <c r="B192" s="3" t="s">
        <v>1126</v>
      </c>
      <c r="C192" s="3" t="s">
        <v>1127</v>
      </c>
      <c r="D192" s="3" t="n">
        <v>1</v>
      </c>
      <c r="E192" s="3" t="n">
        <v>1</v>
      </c>
      <c r="F192" s="3" t="s">
        <v>1117</v>
      </c>
      <c r="G192" s="3" t="s">
        <v>1117</v>
      </c>
      <c r="H192" s="3" t="s">
        <v>1117</v>
      </c>
      <c r="I192" s="3" t="n">
        <v>39.66</v>
      </c>
      <c r="J192" s="6" t="n">
        <v>-31.062054580219</v>
      </c>
    </row>
    <row r="193" customFormat="false" ht="15" hidden="false" customHeight="false" outlineLevel="0" collapsed="false">
      <c r="A193" s="3" t="n">
        <v>192</v>
      </c>
      <c r="B193" s="3" t="s">
        <v>1224</v>
      </c>
      <c r="C193" s="3" t="s">
        <v>1225</v>
      </c>
      <c r="D193" s="3" t="n">
        <v>1</v>
      </c>
      <c r="E193" s="3" t="n">
        <v>1</v>
      </c>
      <c r="F193" s="3" t="s">
        <v>1218</v>
      </c>
      <c r="G193" s="3" t="s">
        <v>1218</v>
      </c>
      <c r="H193" s="3" t="s">
        <v>1218</v>
      </c>
      <c r="I193" s="3" t="n">
        <v>2626</v>
      </c>
      <c r="J193" s="6" t="n">
        <v>-18.0859691808597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40"/>
    <col collapsed="false" customWidth="true" hidden="false" outlineLevel="0" max="9" min="9" style="0" width="34"/>
    <col collapsed="false" customWidth="true" hidden="false" outlineLevel="0" max="10" min="10" style="0" width="95"/>
  </cols>
  <sheetData>
    <row r="1" customFormat="false" ht="35.05" hidden="false" customHeight="false" outlineLevel="0" collapsed="false">
      <c r="A1" s="1" t="s">
        <v>1709</v>
      </c>
      <c r="B1" s="1" t="s">
        <v>1710</v>
      </c>
      <c r="C1" s="1" t="s">
        <v>1711</v>
      </c>
      <c r="D1" s="1" t="s">
        <v>1712</v>
      </c>
      <c r="E1" s="1" t="s">
        <v>1713</v>
      </c>
      <c r="F1" s="1" t="s">
        <v>1714</v>
      </c>
      <c r="G1" s="1" t="s">
        <v>1715</v>
      </c>
      <c r="H1" s="1" t="s">
        <v>1716</v>
      </c>
      <c r="I1" s="1" t="s">
        <v>1717</v>
      </c>
      <c r="J1" s="1" t="s">
        <v>1718</v>
      </c>
    </row>
    <row r="2" customFormat="false" ht="15" hidden="false" customHeight="false" outlineLevel="0" collapsed="false">
      <c r="A2" s="3" t="s">
        <v>1719</v>
      </c>
      <c r="B2" s="3" t="s">
        <v>1720</v>
      </c>
      <c r="C2" s="3" t="s">
        <v>1720</v>
      </c>
      <c r="D2" s="3" t="s">
        <v>1720</v>
      </c>
      <c r="E2" s="3" t="s">
        <v>1720</v>
      </c>
      <c r="F2" s="3" t="s">
        <v>1720</v>
      </c>
      <c r="G2" s="3" t="s">
        <v>1720</v>
      </c>
      <c r="H2" s="3" t="s">
        <v>1720</v>
      </c>
      <c r="I2" s="3" t="s">
        <v>1720</v>
      </c>
      <c r="J2" s="3" t="s">
        <v>1721</v>
      </c>
    </row>
    <row r="3" customFormat="false" ht="15" hidden="false" customHeight="false" outlineLevel="0" collapsed="false">
      <c r="A3" s="3" t="s">
        <v>1722</v>
      </c>
      <c r="B3" s="3" t="s">
        <v>1720</v>
      </c>
      <c r="C3" s="3" t="s">
        <v>1720</v>
      </c>
      <c r="D3" s="3" t="s">
        <v>1720</v>
      </c>
      <c r="E3" s="3" t="s">
        <v>1720</v>
      </c>
      <c r="F3" s="3" t="s">
        <v>1720</v>
      </c>
      <c r="G3" s="3" t="s">
        <v>1720</v>
      </c>
      <c r="H3" s="3" t="s">
        <v>1720</v>
      </c>
      <c r="I3" s="3" t="s">
        <v>1720</v>
      </c>
      <c r="J3" s="3" t="s">
        <v>1721</v>
      </c>
    </row>
    <row r="4" customFormat="false" ht="15" hidden="false" customHeight="false" outlineLevel="0" collapsed="false">
      <c r="A4" s="3" t="s">
        <v>1723</v>
      </c>
      <c r="B4" s="3" t="s">
        <v>1720</v>
      </c>
      <c r="C4" s="3" t="s">
        <v>1720</v>
      </c>
      <c r="D4" s="3" t="s">
        <v>1720</v>
      </c>
      <c r="E4" s="3" t="s">
        <v>1720</v>
      </c>
      <c r="F4" s="3" t="s">
        <v>1720</v>
      </c>
      <c r="G4" s="3" t="s">
        <v>1720</v>
      </c>
      <c r="H4" s="3" t="s">
        <v>1720</v>
      </c>
      <c r="I4" s="3" t="s">
        <v>1720</v>
      </c>
      <c r="J4" s="3" t="s">
        <v>1721</v>
      </c>
    </row>
    <row r="5" customFormat="false" ht="15" hidden="false" customHeight="false" outlineLevel="0" collapsed="false">
      <c r="A5" s="3" t="s">
        <v>1724</v>
      </c>
      <c r="B5" s="3" t="s">
        <v>1720</v>
      </c>
      <c r="C5" s="3" t="s">
        <v>1720</v>
      </c>
      <c r="D5" s="3" t="s">
        <v>1720</v>
      </c>
      <c r="E5" s="3" t="s">
        <v>1720</v>
      </c>
      <c r="F5" s="3" t="s">
        <v>1720</v>
      </c>
      <c r="G5" s="3" t="s">
        <v>1720</v>
      </c>
      <c r="H5" s="3" t="s">
        <v>1720</v>
      </c>
      <c r="I5" s="3" t="s">
        <v>1720</v>
      </c>
      <c r="J5" s="3" t="s">
        <v>1721</v>
      </c>
    </row>
    <row r="6" customFormat="false" ht="15" hidden="false" customHeight="false" outlineLevel="0" collapsed="false">
      <c r="A6" s="3" t="s">
        <v>1725</v>
      </c>
      <c r="B6" s="3" t="s">
        <v>1720</v>
      </c>
      <c r="C6" s="3" t="s">
        <v>1720</v>
      </c>
      <c r="D6" s="3" t="s">
        <v>1720</v>
      </c>
      <c r="E6" s="3" t="s">
        <v>1720</v>
      </c>
      <c r="F6" s="3" t="s">
        <v>1720</v>
      </c>
      <c r="G6" s="3" t="s">
        <v>1720</v>
      </c>
      <c r="H6" s="3" t="s">
        <v>1720</v>
      </c>
      <c r="I6" s="3" t="s">
        <v>1720</v>
      </c>
      <c r="J6" s="3" t="s">
        <v>1721</v>
      </c>
    </row>
    <row r="7" customFormat="false" ht="15" hidden="false" customHeight="false" outlineLevel="0" collapsed="false">
      <c r="A7" s="3" t="s">
        <v>1726</v>
      </c>
      <c r="B7" s="3" t="s">
        <v>1720</v>
      </c>
      <c r="C7" s="3" t="s">
        <v>1720</v>
      </c>
      <c r="D7" s="3" t="s">
        <v>1720</v>
      </c>
      <c r="E7" s="3" t="s">
        <v>1720</v>
      </c>
      <c r="F7" s="3" t="s">
        <v>1720</v>
      </c>
      <c r="G7" s="3" t="s">
        <v>1720</v>
      </c>
      <c r="H7" s="3" t="s">
        <v>1720</v>
      </c>
      <c r="I7" s="3" t="s">
        <v>1720</v>
      </c>
      <c r="J7" s="3" t="s">
        <v>1721</v>
      </c>
    </row>
    <row r="8" customFormat="false" ht="15" hidden="false" customHeight="false" outlineLevel="0" collapsed="false">
      <c r="A8" s="3" t="s">
        <v>1727</v>
      </c>
      <c r="B8" s="3" t="s">
        <v>1720</v>
      </c>
      <c r="C8" s="3" t="s">
        <v>1720</v>
      </c>
      <c r="D8" s="3" t="s">
        <v>1720</v>
      </c>
      <c r="E8" s="3" t="s">
        <v>1720</v>
      </c>
      <c r="F8" s="3" t="s">
        <v>1720</v>
      </c>
      <c r="G8" s="3" t="s">
        <v>1720</v>
      </c>
      <c r="H8" s="3" t="s">
        <v>1720</v>
      </c>
      <c r="I8" s="3" t="s">
        <v>1720</v>
      </c>
      <c r="J8" s="3" t="s">
        <v>1721</v>
      </c>
    </row>
    <row r="9" customFormat="false" ht="15" hidden="false" customHeight="false" outlineLevel="0" collapsed="false">
      <c r="A9" s="3" t="s">
        <v>1728</v>
      </c>
      <c r="B9" s="3" t="s">
        <v>1720</v>
      </c>
      <c r="C9" s="3" t="s">
        <v>1720</v>
      </c>
      <c r="D9" s="3" t="s">
        <v>1720</v>
      </c>
      <c r="E9" s="3" t="s">
        <v>1720</v>
      </c>
      <c r="F9" s="3" t="s">
        <v>1720</v>
      </c>
      <c r="G9" s="3" t="s">
        <v>1720</v>
      </c>
      <c r="H9" s="3" t="s">
        <v>1720</v>
      </c>
      <c r="I9" s="3" t="s">
        <v>1720</v>
      </c>
      <c r="J9" s="3" t="s">
        <v>1721</v>
      </c>
    </row>
    <row r="10" customFormat="false" ht="15" hidden="false" customHeight="false" outlineLevel="0" collapsed="false">
      <c r="A10" s="3" t="s">
        <v>1729</v>
      </c>
      <c r="B10" s="3" t="s">
        <v>1720</v>
      </c>
      <c r="C10" s="3" t="s">
        <v>1720</v>
      </c>
      <c r="D10" s="3" t="s">
        <v>1720</v>
      </c>
      <c r="E10" s="3" t="s">
        <v>1720</v>
      </c>
      <c r="F10" s="3" t="s">
        <v>1720</v>
      </c>
      <c r="G10" s="3" t="s">
        <v>1720</v>
      </c>
      <c r="H10" s="3" t="s">
        <v>1720</v>
      </c>
      <c r="I10" s="3" t="s">
        <v>1720</v>
      </c>
      <c r="J10" s="3" t="s">
        <v>1721</v>
      </c>
    </row>
    <row r="11" customFormat="false" ht="15" hidden="false" customHeight="false" outlineLevel="0" collapsed="false">
      <c r="A11" s="3" t="s">
        <v>1730</v>
      </c>
      <c r="B11" s="3" t="s">
        <v>1720</v>
      </c>
      <c r="C11" s="3" t="s">
        <v>1720</v>
      </c>
      <c r="D11" s="3" t="s">
        <v>1720</v>
      </c>
      <c r="E11" s="3" t="s">
        <v>1720</v>
      </c>
      <c r="F11" s="3" t="s">
        <v>1720</v>
      </c>
      <c r="G11" s="3" t="s">
        <v>1720</v>
      </c>
      <c r="H11" s="3" t="s">
        <v>1720</v>
      </c>
      <c r="I11" s="3" t="s">
        <v>1720</v>
      </c>
      <c r="J11" s="3" t="s">
        <v>1721</v>
      </c>
    </row>
    <row r="12" customFormat="false" ht="15" hidden="false" customHeight="false" outlineLevel="0" collapsed="false">
      <c r="A12" s="3" t="s">
        <v>1731</v>
      </c>
      <c r="B12" s="3" t="s">
        <v>1720</v>
      </c>
      <c r="C12" s="3" t="s">
        <v>1720</v>
      </c>
      <c r="D12" s="3" t="s">
        <v>1720</v>
      </c>
      <c r="E12" s="3" t="s">
        <v>1720</v>
      </c>
      <c r="F12" s="3" t="s">
        <v>1720</v>
      </c>
      <c r="G12" s="3" t="s">
        <v>1720</v>
      </c>
      <c r="H12" s="3" t="s">
        <v>1720</v>
      </c>
      <c r="I12" s="3" t="s">
        <v>1720</v>
      </c>
      <c r="J12" s="3" t="s">
        <v>1721</v>
      </c>
    </row>
    <row r="13" customFormat="false" ht="15" hidden="false" customHeight="false" outlineLevel="0" collapsed="false">
      <c r="A13" s="3" t="s">
        <v>1732</v>
      </c>
      <c r="B13" s="3" t="s">
        <v>1720</v>
      </c>
      <c r="C13" s="3" t="s">
        <v>1720</v>
      </c>
      <c r="D13" s="3" t="s">
        <v>1720</v>
      </c>
      <c r="E13" s="3" t="s">
        <v>1720</v>
      </c>
      <c r="F13" s="3" t="s">
        <v>1720</v>
      </c>
      <c r="G13" s="3" t="s">
        <v>1720</v>
      </c>
      <c r="H13" s="3" t="s">
        <v>1720</v>
      </c>
      <c r="I13" s="3" t="s">
        <v>1720</v>
      </c>
      <c r="J13" s="3" t="s">
        <v>1721</v>
      </c>
    </row>
    <row r="14" customFormat="false" ht="15" hidden="false" customHeight="false" outlineLevel="0" collapsed="false">
      <c r="A14" s="3" t="s">
        <v>1733</v>
      </c>
      <c r="B14" s="3" t="s">
        <v>1720</v>
      </c>
      <c r="C14" s="3" t="s">
        <v>1720</v>
      </c>
      <c r="D14" s="3" t="s">
        <v>1720</v>
      </c>
      <c r="E14" s="3" t="s">
        <v>1720</v>
      </c>
      <c r="F14" s="3" t="s">
        <v>1720</v>
      </c>
      <c r="G14" s="3" t="s">
        <v>1720</v>
      </c>
      <c r="H14" s="3" t="s">
        <v>1720</v>
      </c>
      <c r="I14" s="3" t="s">
        <v>1720</v>
      </c>
      <c r="J14" s="3" t="s">
        <v>1721</v>
      </c>
    </row>
    <row r="15" customFormat="false" ht="15" hidden="false" customHeight="false" outlineLevel="0" collapsed="false">
      <c r="A15" s="3" t="s">
        <v>1734</v>
      </c>
      <c r="B15" s="3" t="s">
        <v>1720</v>
      </c>
      <c r="C15" s="3" t="s">
        <v>1720</v>
      </c>
      <c r="D15" s="3" t="s">
        <v>1720</v>
      </c>
      <c r="E15" s="3" t="s">
        <v>1720</v>
      </c>
      <c r="F15" s="3" t="s">
        <v>1720</v>
      </c>
      <c r="G15" s="3" t="s">
        <v>1720</v>
      </c>
      <c r="H15" s="3" t="s">
        <v>1720</v>
      </c>
      <c r="I15" s="3" t="s">
        <v>1720</v>
      </c>
      <c r="J15" s="3" t="s">
        <v>1721</v>
      </c>
    </row>
    <row r="16" customFormat="false" ht="15" hidden="false" customHeight="false" outlineLevel="0" collapsed="false">
      <c r="A16" s="3" t="s">
        <v>1735</v>
      </c>
      <c r="B16" s="3" t="s">
        <v>1720</v>
      </c>
      <c r="C16" s="3" t="s">
        <v>1720</v>
      </c>
      <c r="D16" s="3" t="s">
        <v>1720</v>
      </c>
      <c r="E16" s="3" t="s">
        <v>1720</v>
      </c>
      <c r="F16" s="3" t="s">
        <v>1720</v>
      </c>
      <c r="G16" s="3" t="s">
        <v>1720</v>
      </c>
      <c r="H16" s="3" t="s">
        <v>1720</v>
      </c>
      <c r="I16" s="3" t="s">
        <v>1720</v>
      </c>
      <c r="J16" s="3" t="s">
        <v>1721</v>
      </c>
    </row>
    <row r="17" customFormat="false" ht="15" hidden="false" customHeight="false" outlineLevel="0" collapsed="false">
      <c r="A17" s="3" t="s">
        <v>1736</v>
      </c>
      <c r="B17" s="3" t="s">
        <v>1720</v>
      </c>
      <c r="C17" s="3" t="s">
        <v>1720</v>
      </c>
      <c r="D17" s="3" t="s">
        <v>1720</v>
      </c>
      <c r="E17" s="3" t="s">
        <v>1720</v>
      </c>
      <c r="F17" s="3" t="s">
        <v>1720</v>
      </c>
      <c r="G17" s="3" t="s">
        <v>1720</v>
      </c>
      <c r="H17" s="3" t="s">
        <v>1720</v>
      </c>
      <c r="I17" s="3" t="s">
        <v>1720</v>
      </c>
      <c r="J17" s="3" t="s">
        <v>1721</v>
      </c>
    </row>
    <row r="18" customFormat="false" ht="15" hidden="false" customHeight="false" outlineLevel="0" collapsed="false">
      <c r="A18" s="3" t="s">
        <v>1737</v>
      </c>
      <c r="B18" s="3" t="s">
        <v>1720</v>
      </c>
      <c r="C18" s="3" t="s">
        <v>1720</v>
      </c>
      <c r="D18" s="3" t="s">
        <v>1720</v>
      </c>
      <c r="E18" s="3" t="s">
        <v>1720</v>
      </c>
      <c r="F18" s="3" t="s">
        <v>1720</v>
      </c>
      <c r="G18" s="3" t="s">
        <v>1720</v>
      </c>
      <c r="H18" s="3" t="s">
        <v>1720</v>
      </c>
      <c r="I18" s="3" t="s">
        <v>1720</v>
      </c>
      <c r="J18" s="3" t="s">
        <v>1721</v>
      </c>
    </row>
    <row r="19" customFormat="false" ht="15" hidden="false" customHeight="false" outlineLevel="0" collapsed="false">
      <c r="A19" s="3" t="s">
        <v>1738</v>
      </c>
      <c r="B19" s="3" t="s">
        <v>1720</v>
      </c>
      <c r="C19" s="3" t="s">
        <v>1720</v>
      </c>
      <c r="D19" s="3" t="s">
        <v>1720</v>
      </c>
      <c r="E19" s="3" t="s">
        <v>1720</v>
      </c>
      <c r="F19" s="3" t="s">
        <v>1720</v>
      </c>
      <c r="G19" s="3" t="s">
        <v>1720</v>
      </c>
      <c r="H19" s="3" t="s">
        <v>1720</v>
      </c>
      <c r="I19" s="3" t="s">
        <v>1720</v>
      </c>
      <c r="J19" s="3" t="s">
        <v>1721</v>
      </c>
    </row>
    <row r="20" customFormat="false" ht="15" hidden="false" customHeight="false" outlineLevel="0" collapsed="false">
      <c r="A20" s="3" t="s">
        <v>1739</v>
      </c>
      <c r="B20" s="3" t="s">
        <v>1720</v>
      </c>
      <c r="C20" s="3" t="s">
        <v>1720</v>
      </c>
      <c r="D20" s="3" t="s">
        <v>1720</v>
      </c>
      <c r="E20" s="3" t="s">
        <v>1720</v>
      </c>
      <c r="F20" s="3" t="s">
        <v>1720</v>
      </c>
      <c r="G20" s="3" t="s">
        <v>1720</v>
      </c>
      <c r="H20" s="3" t="s">
        <v>1720</v>
      </c>
      <c r="I20" s="3" t="s">
        <v>1720</v>
      </c>
      <c r="J20" s="3" t="s">
        <v>1721</v>
      </c>
    </row>
    <row r="21" customFormat="false" ht="15" hidden="false" customHeight="false" outlineLevel="0" collapsed="false">
      <c r="A21" s="3" t="s">
        <v>1740</v>
      </c>
      <c r="B21" s="3" t="s">
        <v>1720</v>
      </c>
      <c r="C21" s="3" t="s">
        <v>1720</v>
      </c>
      <c r="D21" s="3" t="s">
        <v>1720</v>
      </c>
      <c r="E21" s="3" t="s">
        <v>1720</v>
      </c>
      <c r="F21" s="3" t="s">
        <v>1720</v>
      </c>
      <c r="G21" s="3" t="s">
        <v>1720</v>
      </c>
      <c r="H21" s="3" t="s">
        <v>1720</v>
      </c>
      <c r="I21" s="3" t="s">
        <v>1720</v>
      </c>
      <c r="J21" s="3" t="s">
        <v>1721</v>
      </c>
    </row>
    <row r="22" customFormat="false" ht="15" hidden="false" customHeight="false" outlineLevel="0" collapsed="false">
      <c r="A22" s="3" t="s">
        <v>1741</v>
      </c>
      <c r="B22" s="3" t="n">
        <v>2085</v>
      </c>
      <c r="C22" s="3" t="s">
        <v>1742</v>
      </c>
      <c r="D22" s="3" t="n">
        <v>0</v>
      </c>
      <c r="E22" s="3" t="n">
        <v>0</v>
      </c>
      <c r="F22" s="3" t="n">
        <v>0</v>
      </c>
      <c r="G22" s="3" t="n">
        <v>0</v>
      </c>
      <c r="H22" s="3" t="s">
        <v>1743</v>
      </c>
      <c r="I22" s="3" t="s">
        <v>1744</v>
      </c>
      <c r="J22" s="3" t="s">
        <v>1745</v>
      </c>
    </row>
    <row r="23" customFormat="false" ht="15" hidden="false" customHeight="false" outlineLevel="0" collapsed="false">
      <c r="A23" s="3" t="s">
        <v>57</v>
      </c>
      <c r="B23" s="3" t="n">
        <v>2087</v>
      </c>
      <c r="C23" s="3" t="s">
        <v>1742</v>
      </c>
      <c r="D23" s="3" t="n">
        <v>8</v>
      </c>
      <c r="E23" s="3" t="n">
        <v>8</v>
      </c>
      <c r="F23" s="3" t="n">
        <v>0</v>
      </c>
      <c r="G23" s="3" t="n">
        <v>8</v>
      </c>
      <c r="H23" s="3" t="s">
        <v>1743</v>
      </c>
      <c r="I23" s="3" t="s">
        <v>1746</v>
      </c>
      <c r="J23" s="3" t="s">
        <v>1745</v>
      </c>
    </row>
    <row r="24" customFormat="false" ht="15" hidden="false" customHeight="false" outlineLevel="0" collapsed="false">
      <c r="A24" s="3" t="s">
        <v>89</v>
      </c>
      <c r="B24" s="3" t="n">
        <v>2086</v>
      </c>
      <c r="C24" s="3" t="s">
        <v>1742</v>
      </c>
      <c r="D24" s="3" t="n">
        <v>14</v>
      </c>
      <c r="E24" s="3" t="n">
        <v>14</v>
      </c>
      <c r="F24" s="3" t="n">
        <v>2</v>
      </c>
      <c r="G24" s="3" t="n">
        <v>12</v>
      </c>
      <c r="H24" s="3" t="s">
        <v>1743</v>
      </c>
      <c r="I24" s="3" t="s">
        <v>1747</v>
      </c>
      <c r="J24" s="3" t="s">
        <v>1745</v>
      </c>
    </row>
    <row r="25" customFormat="false" ht="15" hidden="false" customHeight="false" outlineLevel="0" collapsed="false">
      <c r="A25" s="3" t="s">
        <v>129</v>
      </c>
      <c r="B25" s="3" t="n">
        <v>2086</v>
      </c>
      <c r="C25" s="3" t="s">
        <v>1742</v>
      </c>
      <c r="D25" s="3" t="n">
        <v>7</v>
      </c>
      <c r="E25" s="3" t="n">
        <v>7</v>
      </c>
      <c r="F25" s="3" t="n">
        <v>0</v>
      </c>
      <c r="G25" s="3" t="n">
        <v>7</v>
      </c>
      <c r="H25" s="3" t="s">
        <v>1743</v>
      </c>
      <c r="I25" s="3" t="s">
        <v>1748</v>
      </c>
      <c r="J25" s="3" t="s">
        <v>1745</v>
      </c>
    </row>
    <row r="26" customFormat="false" ht="15" hidden="false" customHeight="false" outlineLevel="0" collapsed="false">
      <c r="A26" s="3" t="s">
        <v>151</v>
      </c>
      <c r="B26" s="3" t="n">
        <v>2102</v>
      </c>
      <c r="C26" s="3" t="s">
        <v>1742</v>
      </c>
      <c r="D26" s="3" t="n">
        <v>5</v>
      </c>
      <c r="E26" s="3" t="n">
        <v>5</v>
      </c>
      <c r="F26" s="3" t="n">
        <v>2</v>
      </c>
      <c r="G26" s="3" t="n">
        <v>3</v>
      </c>
      <c r="H26" s="3" t="s">
        <v>1743</v>
      </c>
      <c r="I26" s="3" t="s">
        <v>1749</v>
      </c>
      <c r="J26" s="3" t="s">
        <v>1745</v>
      </c>
    </row>
    <row r="27" customFormat="false" ht="15" hidden="false" customHeight="false" outlineLevel="0" collapsed="false">
      <c r="A27" s="3" t="s">
        <v>163</v>
      </c>
      <c r="B27" s="3" t="n">
        <v>2170</v>
      </c>
      <c r="C27" s="3" t="s">
        <v>1742</v>
      </c>
      <c r="D27" s="3" t="n">
        <v>1</v>
      </c>
      <c r="E27" s="3" t="n">
        <v>1</v>
      </c>
      <c r="F27" s="3" t="n">
        <v>0</v>
      </c>
      <c r="G27" s="3" t="n">
        <v>1</v>
      </c>
      <c r="H27" s="3" t="s">
        <v>1743</v>
      </c>
      <c r="I27" s="3" t="s">
        <v>1750</v>
      </c>
      <c r="J27" s="3" t="s">
        <v>1745</v>
      </c>
    </row>
    <row r="28" customFormat="false" ht="15" hidden="false" customHeight="false" outlineLevel="0" collapsed="false">
      <c r="A28" s="3" t="s">
        <v>167</v>
      </c>
      <c r="B28" s="3" t="n">
        <v>2169</v>
      </c>
      <c r="C28" s="3" t="s">
        <v>1742</v>
      </c>
      <c r="D28" s="3" t="n">
        <v>5</v>
      </c>
      <c r="E28" s="3" t="n">
        <v>5</v>
      </c>
      <c r="F28" s="3" t="n">
        <v>1</v>
      </c>
      <c r="G28" s="3" t="n">
        <v>4</v>
      </c>
      <c r="H28" s="3" t="s">
        <v>1743</v>
      </c>
      <c r="I28" s="3" t="s">
        <v>1751</v>
      </c>
      <c r="J28" s="3" t="s">
        <v>1745</v>
      </c>
    </row>
    <row r="29" customFormat="false" ht="15" hidden="false" customHeight="false" outlineLevel="0" collapsed="false">
      <c r="A29" s="3" t="s">
        <v>181</v>
      </c>
      <c r="B29" s="3" t="n">
        <v>2166</v>
      </c>
      <c r="C29" s="3" t="s">
        <v>1742</v>
      </c>
      <c r="D29" s="3" t="n">
        <v>6</v>
      </c>
      <c r="E29" s="3" t="n">
        <v>6</v>
      </c>
      <c r="F29" s="3" t="n">
        <v>3</v>
      </c>
      <c r="G29" s="3" t="n">
        <v>3</v>
      </c>
      <c r="H29" s="3" t="s">
        <v>1743</v>
      </c>
      <c r="I29" s="3" t="s">
        <v>1752</v>
      </c>
      <c r="J29" s="3" t="s">
        <v>1745</v>
      </c>
    </row>
    <row r="30" customFormat="false" ht="15" hidden="false" customHeight="false" outlineLevel="0" collapsed="false">
      <c r="A30" s="3" t="s">
        <v>193</v>
      </c>
      <c r="B30" s="3" t="n">
        <v>2166</v>
      </c>
      <c r="C30" s="3" t="s">
        <v>1742</v>
      </c>
      <c r="D30" s="3" t="n">
        <v>2</v>
      </c>
      <c r="E30" s="3" t="n">
        <v>2</v>
      </c>
      <c r="F30" s="3" t="n">
        <v>1</v>
      </c>
      <c r="G30" s="3" t="n">
        <v>1</v>
      </c>
      <c r="H30" s="3" t="s">
        <v>1743</v>
      </c>
      <c r="I30" s="3" t="s">
        <v>1753</v>
      </c>
      <c r="J30" s="3" t="s">
        <v>1745</v>
      </c>
    </row>
    <row r="31" customFormat="false" ht="15" hidden="false" customHeight="false" outlineLevel="0" collapsed="false">
      <c r="A31" s="3" t="s">
        <v>198</v>
      </c>
      <c r="B31" s="3" t="n">
        <v>2188</v>
      </c>
      <c r="C31" s="3" t="s">
        <v>1742</v>
      </c>
      <c r="D31" s="3" t="n">
        <v>3</v>
      </c>
      <c r="E31" s="3" t="n">
        <v>3</v>
      </c>
      <c r="F31" s="3" t="n">
        <v>1</v>
      </c>
      <c r="G31" s="3" t="n">
        <v>2</v>
      </c>
      <c r="H31" s="3" t="s">
        <v>1743</v>
      </c>
      <c r="I31" s="3" t="s">
        <v>1754</v>
      </c>
      <c r="J31" s="3" t="s">
        <v>1745</v>
      </c>
    </row>
    <row r="32" customFormat="false" ht="15" hidden="false" customHeight="false" outlineLevel="0" collapsed="false">
      <c r="A32" s="3" t="s">
        <v>206</v>
      </c>
      <c r="B32" s="3" t="n">
        <v>2184</v>
      </c>
      <c r="C32" s="3" t="s">
        <v>1742</v>
      </c>
      <c r="D32" s="3" t="n">
        <v>9</v>
      </c>
      <c r="E32" s="3" t="n">
        <v>9</v>
      </c>
      <c r="F32" s="3" t="n">
        <v>4</v>
      </c>
      <c r="G32" s="3" t="n">
        <v>5</v>
      </c>
      <c r="H32" s="3" t="s">
        <v>1743</v>
      </c>
      <c r="I32" s="3" t="s">
        <v>1755</v>
      </c>
      <c r="J32" s="3" t="s">
        <v>1745</v>
      </c>
    </row>
    <row r="33" customFormat="false" ht="15" hidden="false" customHeight="false" outlineLevel="0" collapsed="false">
      <c r="A33" s="3" t="s">
        <v>226</v>
      </c>
      <c r="B33" s="3" t="n">
        <v>2181</v>
      </c>
      <c r="C33" s="3" t="s">
        <v>1742</v>
      </c>
      <c r="D33" s="3" t="n">
        <v>6</v>
      </c>
      <c r="E33" s="3" t="n">
        <v>6</v>
      </c>
      <c r="F33" s="3" t="n">
        <v>2</v>
      </c>
      <c r="G33" s="3" t="n">
        <v>4</v>
      </c>
      <c r="H33" s="3" t="s">
        <v>1743</v>
      </c>
      <c r="I33" s="3" t="s">
        <v>1756</v>
      </c>
      <c r="J33" s="3" t="s">
        <v>1745</v>
      </c>
    </row>
    <row r="34" customFormat="false" ht="15" hidden="false" customHeight="false" outlineLevel="0" collapsed="false">
      <c r="A34" s="3" t="s">
        <v>241</v>
      </c>
      <c r="B34" s="3" t="n">
        <v>2184</v>
      </c>
      <c r="C34" s="3" t="s">
        <v>1742</v>
      </c>
      <c r="D34" s="3" t="n">
        <v>4</v>
      </c>
      <c r="E34" s="3" t="n">
        <v>4</v>
      </c>
      <c r="F34" s="3" t="n">
        <v>2</v>
      </c>
      <c r="G34" s="3" t="n">
        <v>2</v>
      </c>
      <c r="H34" s="3" t="s">
        <v>1743</v>
      </c>
      <c r="I34" s="3" t="s">
        <v>1757</v>
      </c>
      <c r="J34" s="3" t="s">
        <v>1745</v>
      </c>
    </row>
    <row r="35" customFormat="false" ht="15" hidden="false" customHeight="false" outlineLevel="0" collapsed="false">
      <c r="A35" s="3" t="s">
        <v>250</v>
      </c>
      <c r="B35" s="3" t="n">
        <v>2186</v>
      </c>
      <c r="C35" s="3" t="s">
        <v>1742</v>
      </c>
      <c r="D35" s="3" t="n">
        <v>1</v>
      </c>
      <c r="E35" s="3" t="n">
        <v>1</v>
      </c>
      <c r="F35" s="3" t="n">
        <v>1</v>
      </c>
      <c r="G35" s="3" t="n">
        <v>0</v>
      </c>
      <c r="H35" s="3" t="s">
        <v>1743</v>
      </c>
      <c r="I35" s="3" t="s">
        <v>1758</v>
      </c>
      <c r="J35" s="3" t="s">
        <v>1745</v>
      </c>
    </row>
    <row r="36" customFormat="false" ht="15" hidden="false" customHeight="false" outlineLevel="0" collapsed="false">
      <c r="A36" s="3" t="s">
        <v>1759</v>
      </c>
      <c r="B36" s="3" t="n">
        <v>2197</v>
      </c>
      <c r="C36" s="3" t="s">
        <v>1742</v>
      </c>
      <c r="D36" s="3" t="n">
        <v>0</v>
      </c>
      <c r="E36" s="3" t="n">
        <v>0</v>
      </c>
      <c r="F36" s="3" t="n">
        <v>0</v>
      </c>
      <c r="G36" s="3" t="n">
        <v>0</v>
      </c>
      <c r="H36" s="3" t="s">
        <v>1743</v>
      </c>
      <c r="I36" s="3" t="s">
        <v>1760</v>
      </c>
      <c r="J36" s="3" t="s">
        <v>1745</v>
      </c>
    </row>
    <row r="37" customFormat="false" ht="15" hidden="false" customHeight="false" outlineLevel="0" collapsed="false">
      <c r="A37" s="3" t="s">
        <v>1761</v>
      </c>
      <c r="B37" s="3" t="n">
        <v>2202</v>
      </c>
      <c r="C37" s="3" t="s">
        <v>1742</v>
      </c>
      <c r="D37" s="3" t="n">
        <v>0</v>
      </c>
      <c r="E37" s="3" t="n">
        <v>0</v>
      </c>
      <c r="F37" s="3" t="n">
        <v>0</v>
      </c>
      <c r="G37" s="3" t="n">
        <v>0</v>
      </c>
      <c r="H37" s="3" t="s">
        <v>1743</v>
      </c>
      <c r="I37" s="3" t="s">
        <v>1762</v>
      </c>
      <c r="J37" s="3" t="s">
        <v>1745</v>
      </c>
    </row>
    <row r="38" customFormat="false" ht="15" hidden="false" customHeight="false" outlineLevel="0" collapsed="false">
      <c r="A38" s="3" t="s">
        <v>1763</v>
      </c>
      <c r="B38" s="3" t="n">
        <v>2202</v>
      </c>
      <c r="C38" s="3" t="s">
        <v>1742</v>
      </c>
      <c r="D38" s="3" t="n">
        <v>0</v>
      </c>
      <c r="E38" s="3" t="n">
        <v>0</v>
      </c>
      <c r="F38" s="3" t="n">
        <v>0</v>
      </c>
      <c r="G38" s="3" t="n">
        <v>0</v>
      </c>
      <c r="H38" s="3" t="s">
        <v>1743</v>
      </c>
      <c r="I38" s="3" t="s">
        <v>1762</v>
      </c>
      <c r="J38" s="3" t="s">
        <v>1745</v>
      </c>
    </row>
    <row r="39" customFormat="false" ht="15" hidden="false" customHeight="false" outlineLevel="0" collapsed="false">
      <c r="A39" s="3" t="s">
        <v>1764</v>
      </c>
      <c r="B39" s="3" t="n">
        <v>2200</v>
      </c>
      <c r="C39" s="3" t="s">
        <v>1742</v>
      </c>
      <c r="D39" s="3" t="n">
        <v>0</v>
      </c>
      <c r="E39" s="3" t="n">
        <v>0</v>
      </c>
      <c r="F39" s="3" t="n">
        <v>0</v>
      </c>
      <c r="G39" s="3" t="n">
        <v>0</v>
      </c>
      <c r="H39" s="3" t="s">
        <v>1743</v>
      </c>
      <c r="I39" s="3" t="s">
        <v>1765</v>
      </c>
      <c r="J39" s="3" t="s">
        <v>1745</v>
      </c>
    </row>
    <row r="40" customFormat="false" ht="15" hidden="false" customHeight="false" outlineLevel="0" collapsed="false">
      <c r="A40" s="3" t="s">
        <v>1766</v>
      </c>
      <c r="B40" s="3" t="n">
        <v>2200</v>
      </c>
      <c r="C40" s="3" t="s">
        <v>1742</v>
      </c>
      <c r="D40" s="3" t="n">
        <v>0</v>
      </c>
      <c r="E40" s="3" t="n">
        <v>0</v>
      </c>
      <c r="F40" s="3" t="n">
        <v>0</v>
      </c>
      <c r="G40" s="3" t="n">
        <v>0</v>
      </c>
      <c r="H40" s="3" t="s">
        <v>1743</v>
      </c>
      <c r="I40" s="3" t="s">
        <v>1765</v>
      </c>
      <c r="J40" s="3" t="s">
        <v>1745</v>
      </c>
    </row>
    <row r="41" customFormat="false" ht="15" hidden="false" customHeight="false" outlineLevel="0" collapsed="false">
      <c r="A41" s="3" t="s">
        <v>252</v>
      </c>
      <c r="B41" s="3" t="n">
        <v>2199</v>
      </c>
      <c r="C41" s="3" t="s">
        <v>1742</v>
      </c>
      <c r="D41" s="3" t="n">
        <v>11</v>
      </c>
      <c r="E41" s="3" t="n">
        <v>11</v>
      </c>
      <c r="F41" s="3" t="n">
        <v>2</v>
      </c>
      <c r="G41" s="3" t="n">
        <v>9</v>
      </c>
      <c r="H41" s="3" t="s">
        <v>1743</v>
      </c>
      <c r="I41" s="3" t="s">
        <v>1767</v>
      </c>
      <c r="J41" s="3" t="s">
        <v>1745</v>
      </c>
    </row>
    <row r="42" customFormat="false" ht="15" hidden="false" customHeight="false" outlineLevel="0" collapsed="false">
      <c r="A42" s="3" t="s">
        <v>282</v>
      </c>
      <c r="B42" s="3" t="n">
        <v>2198</v>
      </c>
      <c r="C42" s="3" t="s">
        <v>1742</v>
      </c>
      <c r="D42" s="3" t="n">
        <v>3</v>
      </c>
      <c r="E42" s="3" t="n">
        <v>3</v>
      </c>
      <c r="F42" s="3" t="n">
        <v>2</v>
      </c>
      <c r="G42" s="3" t="n">
        <v>1</v>
      </c>
      <c r="H42" s="3" t="s">
        <v>1743</v>
      </c>
      <c r="I42" s="3" t="s">
        <v>1768</v>
      </c>
      <c r="J42" s="3" t="s">
        <v>1745</v>
      </c>
    </row>
    <row r="43" customFormat="false" ht="15" hidden="false" customHeight="false" outlineLevel="0" collapsed="false">
      <c r="A43" s="3" t="s">
        <v>288</v>
      </c>
      <c r="B43" s="3" t="n">
        <v>2199</v>
      </c>
      <c r="C43" s="3" t="s">
        <v>1742</v>
      </c>
      <c r="D43" s="3" t="n">
        <v>6</v>
      </c>
      <c r="E43" s="3" t="n">
        <v>6</v>
      </c>
      <c r="F43" s="3" t="n">
        <v>1</v>
      </c>
      <c r="G43" s="3" t="n">
        <v>5</v>
      </c>
      <c r="H43" s="3" t="s">
        <v>1743</v>
      </c>
      <c r="I43" s="3" t="s">
        <v>1769</v>
      </c>
      <c r="J43" s="3" t="s">
        <v>1745</v>
      </c>
    </row>
    <row r="44" customFormat="false" ht="15" hidden="false" customHeight="false" outlineLevel="0" collapsed="false">
      <c r="A44" s="3" t="s">
        <v>306</v>
      </c>
      <c r="B44" s="3" t="n">
        <v>2200</v>
      </c>
      <c r="C44" s="3" t="s">
        <v>1742</v>
      </c>
      <c r="D44" s="3" t="n">
        <v>5</v>
      </c>
      <c r="E44" s="3" t="n">
        <v>5</v>
      </c>
      <c r="F44" s="3" t="n">
        <v>3</v>
      </c>
      <c r="G44" s="3" t="n">
        <v>2</v>
      </c>
      <c r="H44" s="3" t="s">
        <v>1743</v>
      </c>
      <c r="I44" s="3" t="s">
        <v>1770</v>
      </c>
      <c r="J44" s="3" t="s">
        <v>1745</v>
      </c>
    </row>
    <row r="45" customFormat="false" ht="15" hidden="false" customHeight="false" outlineLevel="0" collapsed="false">
      <c r="A45" s="3" t="s">
        <v>318</v>
      </c>
      <c r="B45" s="3" t="n">
        <v>2220</v>
      </c>
      <c r="C45" s="3" t="s">
        <v>1742</v>
      </c>
      <c r="D45" s="3" t="n">
        <v>4</v>
      </c>
      <c r="E45" s="3" t="n">
        <v>4</v>
      </c>
      <c r="F45" s="3" t="n">
        <v>3</v>
      </c>
      <c r="G45" s="3" t="n">
        <v>1</v>
      </c>
      <c r="H45" s="3" t="s">
        <v>1743</v>
      </c>
      <c r="I45" s="3" t="s">
        <v>1771</v>
      </c>
      <c r="J45" s="3" t="s">
        <v>1745</v>
      </c>
    </row>
    <row r="46" customFormat="false" ht="15" hidden="false" customHeight="false" outlineLevel="0" collapsed="false">
      <c r="A46" s="3" t="s">
        <v>326</v>
      </c>
      <c r="B46" s="3" t="n">
        <v>2221</v>
      </c>
      <c r="C46" s="3" t="s">
        <v>1742</v>
      </c>
      <c r="D46" s="3" t="n">
        <v>3</v>
      </c>
      <c r="E46" s="3" t="n">
        <v>3</v>
      </c>
      <c r="F46" s="3" t="n">
        <v>2</v>
      </c>
      <c r="G46" s="3" t="n">
        <v>1</v>
      </c>
      <c r="H46" s="3" t="s">
        <v>1743</v>
      </c>
      <c r="I46" s="3" t="s">
        <v>1772</v>
      </c>
      <c r="J46" s="3" t="s">
        <v>1745</v>
      </c>
    </row>
    <row r="47" customFormat="false" ht="15" hidden="false" customHeight="false" outlineLevel="0" collapsed="false">
      <c r="A47" s="3" t="s">
        <v>332</v>
      </c>
      <c r="B47" s="3" t="n">
        <v>2222</v>
      </c>
      <c r="C47" s="3" t="s">
        <v>1742</v>
      </c>
      <c r="D47" s="3" t="n">
        <v>4</v>
      </c>
      <c r="E47" s="3" t="n">
        <v>4</v>
      </c>
      <c r="F47" s="3" t="n">
        <v>2</v>
      </c>
      <c r="G47" s="3" t="n">
        <v>2</v>
      </c>
      <c r="H47" s="3" t="s">
        <v>1743</v>
      </c>
      <c r="I47" s="3" t="s">
        <v>1773</v>
      </c>
      <c r="J47" s="3" t="s">
        <v>1745</v>
      </c>
    </row>
    <row r="48" customFormat="false" ht="15" hidden="false" customHeight="false" outlineLevel="0" collapsed="false">
      <c r="A48" s="3" t="s">
        <v>341</v>
      </c>
      <c r="B48" s="3" t="n">
        <v>2223</v>
      </c>
      <c r="C48" s="3" t="s">
        <v>1742</v>
      </c>
      <c r="D48" s="3" t="n">
        <v>4</v>
      </c>
      <c r="E48" s="3" t="n">
        <v>4</v>
      </c>
      <c r="F48" s="3" t="n">
        <v>2</v>
      </c>
      <c r="G48" s="3" t="n">
        <v>2</v>
      </c>
      <c r="H48" s="3" t="s">
        <v>1743</v>
      </c>
      <c r="I48" s="3" t="s">
        <v>1774</v>
      </c>
      <c r="J48" s="3" t="s">
        <v>1745</v>
      </c>
    </row>
    <row r="49" customFormat="false" ht="15" hidden="false" customHeight="false" outlineLevel="0" collapsed="false">
      <c r="A49" s="3" t="s">
        <v>350</v>
      </c>
      <c r="B49" s="3" t="n">
        <v>2223</v>
      </c>
      <c r="C49" s="3" t="s">
        <v>1742</v>
      </c>
      <c r="D49" s="3" t="n">
        <v>3</v>
      </c>
      <c r="E49" s="3" t="n">
        <v>3</v>
      </c>
      <c r="F49" s="3" t="n">
        <v>2</v>
      </c>
      <c r="G49" s="3" t="n">
        <v>1</v>
      </c>
      <c r="H49" s="3" t="s">
        <v>1743</v>
      </c>
      <c r="I49" s="3" t="s">
        <v>1775</v>
      </c>
      <c r="J49" s="3" t="s">
        <v>1745</v>
      </c>
    </row>
    <row r="50" customFormat="false" ht="15" hidden="false" customHeight="false" outlineLevel="0" collapsed="false">
      <c r="A50" s="3" t="s">
        <v>356</v>
      </c>
      <c r="B50" s="3" t="n">
        <v>2236</v>
      </c>
      <c r="C50" s="3" t="s">
        <v>1742</v>
      </c>
      <c r="D50" s="3" t="n">
        <v>8</v>
      </c>
      <c r="E50" s="3" t="n">
        <v>8</v>
      </c>
      <c r="F50" s="3" t="n">
        <v>3</v>
      </c>
      <c r="G50" s="3" t="n">
        <v>5</v>
      </c>
      <c r="H50" s="3" t="s">
        <v>1743</v>
      </c>
      <c r="I50" s="3" t="s">
        <v>1776</v>
      </c>
      <c r="J50" s="3" t="s">
        <v>1745</v>
      </c>
    </row>
    <row r="51" customFormat="false" ht="15" hidden="false" customHeight="false" outlineLevel="0" collapsed="false">
      <c r="A51" s="3" t="s">
        <v>375</v>
      </c>
      <c r="B51" s="3" t="n">
        <v>2238</v>
      </c>
      <c r="C51" s="3" t="s">
        <v>1742</v>
      </c>
      <c r="D51" s="3" t="n">
        <v>2</v>
      </c>
      <c r="E51" s="3" t="n">
        <v>2</v>
      </c>
      <c r="F51" s="3" t="n">
        <v>2</v>
      </c>
      <c r="G51" s="3" t="n">
        <v>0</v>
      </c>
      <c r="H51" s="3" t="s">
        <v>1743</v>
      </c>
      <c r="I51" s="3" t="s">
        <v>1777</v>
      </c>
      <c r="J51" s="3" t="s">
        <v>1745</v>
      </c>
    </row>
    <row r="52" customFormat="false" ht="15" hidden="false" customHeight="false" outlineLevel="0" collapsed="false">
      <c r="A52" s="3" t="s">
        <v>378</v>
      </c>
      <c r="B52" s="3" t="n">
        <v>2239</v>
      </c>
      <c r="C52" s="3" t="s">
        <v>1742</v>
      </c>
      <c r="D52" s="3" t="n">
        <v>4</v>
      </c>
      <c r="E52" s="3" t="n">
        <v>4</v>
      </c>
      <c r="F52" s="3" t="n">
        <v>2</v>
      </c>
      <c r="G52" s="3" t="n">
        <v>2</v>
      </c>
      <c r="H52" s="3" t="s">
        <v>1743</v>
      </c>
      <c r="I52" s="3" t="s">
        <v>1778</v>
      </c>
      <c r="J52" s="3" t="s">
        <v>1745</v>
      </c>
    </row>
    <row r="53" customFormat="false" ht="15" hidden="false" customHeight="false" outlineLevel="0" collapsed="false">
      <c r="A53" s="3" t="s">
        <v>387</v>
      </c>
      <c r="B53" s="3" t="n">
        <v>2249</v>
      </c>
      <c r="C53" s="3" t="s">
        <v>1742</v>
      </c>
      <c r="D53" s="3" t="n">
        <v>1</v>
      </c>
      <c r="E53" s="3" t="n">
        <v>1</v>
      </c>
      <c r="F53" s="3" t="n">
        <v>0</v>
      </c>
      <c r="G53" s="3" t="n">
        <v>1</v>
      </c>
      <c r="H53" s="3" t="s">
        <v>1743</v>
      </c>
      <c r="I53" s="3" t="s">
        <v>1779</v>
      </c>
      <c r="J53" s="3" t="s">
        <v>1745</v>
      </c>
    </row>
    <row r="54" customFormat="false" ht="15" hidden="false" customHeight="false" outlineLevel="0" collapsed="false">
      <c r="A54" s="3" t="s">
        <v>391</v>
      </c>
      <c r="B54" s="3" t="n">
        <v>2252</v>
      </c>
      <c r="C54" s="3" t="s">
        <v>1742</v>
      </c>
      <c r="D54" s="3" t="n">
        <v>1</v>
      </c>
      <c r="E54" s="3" t="n">
        <v>1</v>
      </c>
      <c r="F54" s="3" t="n">
        <v>1</v>
      </c>
      <c r="G54" s="3" t="n">
        <v>0</v>
      </c>
      <c r="H54" s="3" t="s">
        <v>1743</v>
      </c>
      <c r="I54" s="3" t="s">
        <v>1780</v>
      </c>
      <c r="J54" s="3" t="s">
        <v>1745</v>
      </c>
    </row>
    <row r="55" customFormat="false" ht="15" hidden="false" customHeight="false" outlineLevel="0" collapsed="false">
      <c r="A55" s="3" t="s">
        <v>393</v>
      </c>
      <c r="B55" s="3" t="n">
        <v>2262</v>
      </c>
      <c r="C55" s="3" t="s">
        <v>1742</v>
      </c>
      <c r="D55" s="3" t="n">
        <v>1</v>
      </c>
      <c r="E55" s="3" t="n">
        <v>1</v>
      </c>
      <c r="F55" s="3" t="n">
        <v>1</v>
      </c>
      <c r="G55" s="3" t="n">
        <v>0</v>
      </c>
      <c r="H55" s="3" t="s">
        <v>1743</v>
      </c>
      <c r="I55" s="3" t="s">
        <v>1781</v>
      </c>
      <c r="J55" s="3" t="s">
        <v>1745</v>
      </c>
    </row>
    <row r="56" customFormat="false" ht="15" hidden="false" customHeight="false" outlineLevel="0" collapsed="false">
      <c r="A56" s="3" t="s">
        <v>1782</v>
      </c>
      <c r="B56" s="3" t="n">
        <v>2264</v>
      </c>
      <c r="C56" s="3" t="s">
        <v>1742</v>
      </c>
      <c r="D56" s="3" t="n">
        <v>0</v>
      </c>
      <c r="E56" s="3" t="n">
        <v>0</v>
      </c>
      <c r="F56" s="3" t="n">
        <v>0</v>
      </c>
      <c r="G56" s="3" t="n">
        <v>0</v>
      </c>
      <c r="H56" s="3" t="s">
        <v>1743</v>
      </c>
      <c r="I56" s="3" t="s">
        <v>1783</v>
      </c>
      <c r="J56" s="3" t="s">
        <v>1745</v>
      </c>
    </row>
    <row r="57" customFormat="false" ht="15" hidden="false" customHeight="false" outlineLevel="0" collapsed="false">
      <c r="A57" s="3" t="s">
        <v>1784</v>
      </c>
      <c r="B57" s="3" t="n">
        <v>2264</v>
      </c>
      <c r="C57" s="3" t="s">
        <v>1742</v>
      </c>
      <c r="D57" s="3" t="n">
        <v>0</v>
      </c>
      <c r="E57" s="3" t="n">
        <v>0</v>
      </c>
      <c r="F57" s="3" t="n">
        <v>0</v>
      </c>
      <c r="G57" s="3" t="n">
        <v>0</v>
      </c>
      <c r="H57" s="3" t="s">
        <v>1743</v>
      </c>
      <c r="I57" s="3" t="s">
        <v>1783</v>
      </c>
      <c r="J57" s="3" t="s">
        <v>1745</v>
      </c>
    </row>
    <row r="58" customFormat="false" ht="15" hidden="false" customHeight="false" outlineLevel="0" collapsed="false">
      <c r="A58" s="3" t="s">
        <v>1785</v>
      </c>
      <c r="B58" s="3" t="n">
        <v>2267</v>
      </c>
      <c r="C58" s="3" t="s">
        <v>1742</v>
      </c>
      <c r="D58" s="3" t="n">
        <v>0</v>
      </c>
      <c r="E58" s="3" t="n">
        <v>0</v>
      </c>
      <c r="F58" s="3" t="n">
        <v>0</v>
      </c>
      <c r="G58" s="3" t="n">
        <v>0</v>
      </c>
      <c r="H58" s="3" t="s">
        <v>1743</v>
      </c>
      <c r="I58" s="3" t="s">
        <v>1786</v>
      </c>
      <c r="J58" s="3" t="s">
        <v>1745</v>
      </c>
    </row>
    <row r="59" customFormat="false" ht="15" hidden="false" customHeight="false" outlineLevel="0" collapsed="false">
      <c r="A59" s="3" t="s">
        <v>1787</v>
      </c>
      <c r="B59" s="3" t="n">
        <v>2270</v>
      </c>
      <c r="C59" s="3" t="s">
        <v>1742</v>
      </c>
      <c r="D59" s="3" t="n">
        <v>0</v>
      </c>
      <c r="E59" s="3" t="n">
        <v>0</v>
      </c>
      <c r="F59" s="3" t="n">
        <v>0</v>
      </c>
      <c r="G59" s="3" t="n">
        <v>0</v>
      </c>
      <c r="H59" s="3" t="s">
        <v>1743</v>
      </c>
      <c r="I59" s="3" t="s">
        <v>1788</v>
      </c>
      <c r="J59" s="3" t="s">
        <v>1745</v>
      </c>
    </row>
    <row r="60" customFormat="false" ht="15" hidden="false" customHeight="false" outlineLevel="0" collapsed="false">
      <c r="A60" s="3" t="s">
        <v>395</v>
      </c>
      <c r="B60" s="3" t="n">
        <v>2270</v>
      </c>
      <c r="C60" s="3" t="s">
        <v>1742</v>
      </c>
      <c r="D60" s="3" t="n">
        <v>6</v>
      </c>
      <c r="E60" s="3" t="n">
        <v>6</v>
      </c>
      <c r="F60" s="3" t="n">
        <v>2</v>
      </c>
      <c r="G60" s="3" t="n">
        <v>4</v>
      </c>
      <c r="H60" s="3" t="s">
        <v>1743</v>
      </c>
      <c r="I60" s="3" t="s">
        <v>1789</v>
      </c>
      <c r="J60" s="3" t="s">
        <v>1745</v>
      </c>
    </row>
    <row r="61" customFormat="false" ht="15" hidden="false" customHeight="false" outlineLevel="0" collapsed="false">
      <c r="A61" s="3" t="s">
        <v>410</v>
      </c>
      <c r="B61" s="3" t="n">
        <v>2269</v>
      </c>
      <c r="C61" s="3" t="s">
        <v>1742</v>
      </c>
      <c r="D61" s="3" t="n">
        <v>1</v>
      </c>
      <c r="E61" s="3" t="n">
        <v>1</v>
      </c>
      <c r="F61" s="3" t="n">
        <v>1</v>
      </c>
      <c r="G61" s="3" t="n">
        <v>0</v>
      </c>
      <c r="H61" s="3" t="s">
        <v>1743</v>
      </c>
      <c r="I61" s="3" t="s">
        <v>1790</v>
      </c>
      <c r="J61" s="3" t="s">
        <v>1745</v>
      </c>
    </row>
    <row r="62" customFormat="false" ht="15" hidden="false" customHeight="false" outlineLevel="0" collapsed="false">
      <c r="A62" s="3" t="s">
        <v>412</v>
      </c>
      <c r="B62" s="3" t="n">
        <v>2267</v>
      </c>
      <c r="C62" s="3" t="s">
        <v>1742</v>
      </c>
      <c r="D62" s="3" t="n">
        <v>2</v>
      </c>
      <c r="E62" s="3" t="n">
        <v>2</v>
      </c>
      <c r="F62" s="3" t="n">
        <v>1</v>
      </c>
      <c r="G62" s="3" t="n">
        <v>1</v>
      </c>
      <c r="H62" s="3" t="s">
        <v>1743</v>
      </c>
      <c r="I62" s="3" t="s">
        <v>1791</v>
      </c>
      <c r="J62" s="3" t="s">
        <v>1745</v>
      </c>
    </row>
    <row r="63" customFormat="false" ht="15" hidden="false" customHeight="false" outlineLevel="0" collapsed="false">
      <c r="A63" s="3" t="s">
        <v>417</v>
      </c>
      <c r="B63" s="3" t="n">
        <v>2268</v>
      </c>
      <c r="C63" s="3" t="s">
        <v>1742</v>
      </c>
      <c r="D63" s="3" t="n">
        <v>2</v>
      </c>
      <c r="E63" s="3" t="n">
        <v>2</v>
      </c>
      <c r="F63" s="3" t="n">
        <v>2</v>
      </c>
      <c r="G63" s="3" t="n">
        <v>0</v>
      </c>
      <c r="H63" s="3" t="s">
        <v>1743</v>
      </c>
      <c r="I63" s="3" t="s">
        <v>1792</v>
      </c>
      <c r="J63" s="3" t="s">
        <v>1745</v>
      </c>
    </row>
    <row r="64" customFormat="false" ht="15" hidden="false" customHeight="false" outlineLevel="0" collapsed="false">
      <c r="A64" s="3" t="s">
        <v>420</v>
      </c>
      <c r="B64" s="3" t="n">
        <v>2279</v>
      </c>
      <c r="C64" s="3" t="s">
        <v>1742</v>
      </c>
      <c r="D64" s="3" t="n">
        <v>2</v>
      </c>
      <c r="E64" s="3" t="n">
        <v>2</v>
      </c>
      <c r="F64" s="3" t="n">
        <v>1</v>
      </c>
      <c r="G64" s="3" t="n">
        <v>1</v>
      </c>
      <c r="H64" s="3" t="s">
        <v>1743</v>
      </c>
      <c r="I64" s="3" t="s">
        <v>1793</v>
      </c>
      <c r="J64" s="3" t="s">
        <v>1745</v>
      </c>
    </row>
    <row r="65" customFormat="false" ht="15" hidden="false" customHeight="false" outlineLevel="0" collapsed="false">
      <c r="A65" s="3" t="s">
        <v>1794</v>
      </c>
      <c r="B65" s="3" t="n">
        <v>2279</v>
      </c>
      <c r="C65" s="3" t="s">
        <v>1742</v>
      </c>
      <c r="D65" s="3" t="n">
        <v>0</v>
      </c>
      <c r="E65" s="3" t="n">
        <v>0</v>
      </c>
      <c r="F65" s="3" t="n">
        <v>0</v>
      </c>
      <c r="G65" s="3" t="n">
        <v>0</v>
      </c>
      <c r="H65" s="3" t="s">
        <v>1743</v>
      </c>
      <c r="I65" s="3" t="s">
        <v>1795</v>
      </c>
      <c r="J65" s="3" t="s">
        <v>1745</v>
      </c>
    </row>
    <row r="66" customFormat="false" ht="15" hidden="false" customHeight="false" outlineLevel="0" collapsed="false">
      <c r="A66" s="3" t="s">
        <v>425</v>
      </c>
      <c r="B66" s="3" t="n">
        <v>2277</v>
      </c>
      <c r="C66" s="3" t="s">
        <v>1742</v>
      </c>
      <c r="D66" s="3" t="n">
        <v>2</v>
      </c>
      <c r="E66" s="3" t="n">
        <v>2</v>
      </c>
      <c r="F66" s="3" t="n">
        <v>1</v>
      </c>
      <c r="G66" s="3" t="n">
        <v>1</v>
      </c>
      <c r="H66" s="3" t="s">
        <v>1743</v>
      </c>
      <c r="I66" s="3" t="s">
        <v>1796</v>
      </c>
      <c r="J66" s="3" t="s">
        <v>1745</v>
      </c>
    </row>
    <row r="67" customFormat="false" ht="15" hidden="false" customHeight="false" outlineLevel="0" collapsed="false">
      <c r="A67" s="3" t="s">
        <v>1797</v>
      </c>
      <c r="B67" s="3" t="n">
        <v>2277</v>
      </c>
      <c r="C67" s="3" t="s">
        <v>1742</v>
      </c>
      <c r="D67" s="3" t="n">
        <v>0</v>
      </c>
      <c r="E67" s="3" t="n">
        <v>0</v>
      </c>
      <c r="F67" s="3" t="n">
        <v>0</v>
      </c>
      <c r="G67" s="3" t="n">
        <v>0</v>
      </c>
      <c r="H67" s="3" t="s">
        <v>1743</v>
      </c>
      <c r="I67" s="3" t="s">
        <v>1798</v>
      </c>
      <c r="J67" s="3" t="s">
        <v>1745</v>
      </c>
    </row>
    <row r="68" customFormat="false" ht="15" hidden="false" customHeight="false" outlineLevel="0" collapsed="false">
      <c r="A68" s="3" t="s">
        <v>1799</v>
      </c>
      <c r="B68" s="3" t="n">
        <v>2284</v>
      </c>
      <c r="C68" s="3" t="s">
        <v>1742</v>
      </c>
      <c r="D68" s="3" t="n">
        <v>0</v>
      </c>
      <c r="E68" s="3" t="n">
        <v>0</v>
      </c>
      <c r="F68" s="3" t="n">
        <v>0</v>
      </c>
      <c r="G68" s="3" t="n">
        <v>0</v>
      </c>
      <c r="H68" s="3" t="s">
        <v>1743</v>
      </c>
      <c r="I68" s="3" t="s">
        <v>1800</v>
      </c>
      <c r="J68" s="3" t="s">
        <v>1745</v>
      </c>
    </row>
    <row r="69" customFormat="false" ht="15" hidden="false" customHeight="false" outlineLevel="0" collapsed="false">
      <c r="A69" s="3" t="s">
        <v>430</v>
      </c>
      <c r="B69" s="3" t="n">
        <v>2286</v>
      </c>
      <c r="C69" s="3" t="s">
        <v>1742</v>
      </c>
      <c r="D69" s="3" t="n">
        <v>1</v>
      </c>
      <c r="E69" s="3" t="n">
        <v>1</v>
      </c>
      <c r="F69" s="3" t="n">
        <v>1</v>
      </c>
      <c r="G69" s="3" t="n">
        <v>0</v>
      </c>
      <c r="H69" s="3" t="s">
        <v>1743</v>
      </c>
      <c r="I69" s="3" t="s">
        <v>1801</v>
      </c>
      <c r="J69" s="3" t="s">
        <v>1745</v>
      </c>
    </row>
    <row r="70" customFormat="false" ht="15" hidden="false" customHeight="false" outlineLevel="0" collapsed="false">
      <c r="A70" s="3" t="s">
        <v>432</v>
      </c>
      <c r="B70" s="3" t="n">
        <v>2285</v>
      </c>
      <c r="C70" s="3" t="s">
        <v>1742</v>
      </c>
      <c r="D70" s="3" t="n">
        <v>3</v>
      </c>
      <c r="E70" s="3" t="n">
        <v>3</v>
      </c>
      <c r="F70" s="3" t="n">
        <v>3</v>
      </c>
      <c r="G70" s="3" t="n">
        <v>0</v>
      </c>
      <c r="H70" s="3" t="s">
        <v>1743</v>
      </c>
      <c r="I70" s="3" t="s">
        <v>1802</v>
      </c>
      <c r="J70" s="3" t="s">
        <v>1745</v>
      </c>
    </row>
    <row r="71" customFormat="false" ht="15" hidden="false" customHeight="false" outlineLevel="0" collapsed="false">
      <c r="A71" s="3" t="s">
        <v>436</v>
      </c>
      <c r="B71" s="3" t="n">
        <v>2285</v>
      </c>
      <c r="C71" s="3" t="s">
        <v>1742</v>
      </c>
      <c r="D71" s="3" t="n">
        <v>3</v>
      </c>
      <c r="E71" s="3" t="n">
        <v>3</v>
      </c>
      <c r="F71" s="3" t="n">
        <v>1</v>
      </c>
      <c r="G71" s="3" t="n">
        <v>2</v>
      </c>
      <c r="H71" s="3" t="s">
        <v>1743</v>
      </c>
      <c r="I71" s="3" t="s">
        <v>1802</v>
      </c>
      <c r="J71" s="3" t="s">
        <v>1745</v>
      </c>
    </row>
    <row r="72" customFormat="false" ht="15" hidden="false" customHeight="false" outlineLevel="0" collapsed="false">
      <c r="A72" s="3" t="s">
        <v>444</v>
      </c>
      <c r="B72" s="3" t="n">
        <v>2288</v>
      </c>
      <c r="C72" s="3" t="s">
        <v>1742</v>
      </c>
      <c r="D72" s="3" t="n">
        <v>12</v>
      </c>
      <c r="E72" s="3" t="n">
        <v>12</v>
      </c>
      <c r="F72" s="3" t="n">
        <v>11</v>
      </c>
      <c r="G72" s="3" t="n">
        <v>1</v>
      </c>
      <c r="H72" s="3" t="s">
        <v>1743</v>
      </c>
      <c r="I72" s="3" t="s">
        <v>1803</v>
      </c>
      <c r="J72" s="3" t="s">
        <v>1745</v>
      </c>
    </row>
    <row r="73" customFormat="false" ht="15" hidden="false" customHeight="false" outlineLevel="0" collapsed="false">
      <c r="A73" s="3" t="s">
        <v>459</v>
      </c>
      <c r="B73" s="3" t="n">
        <v>2291</v>
      </c>
      <c r="C73" s="3" t="s">
        <v>1742</v>
      </c>
      <c r="D73" s="3" t="n">
        <v>2</v>
      </c>
      <c r="E73" s="3" t="n">
        <v>2</v>
      </c>
      <c r="F73" s="3" t="n">
        <v>2</v>
      </c>
      <c r="G73" s="3" t="n">
        <v>0</v>
      </c>
      <c r="H73" s="3" t="s">
        <v>1743</v>
      </c>
      <c r="I73" s="3" t="s">
        <v>1804</v>
      </c>
      <c r="J73" s="3" t="s">
        <v>1745</v>
      </c>
    </row>
    <row r="74" customFormat="false" ht="15" hidden="false" customHeight="false" outlineLevel="0" collapsed="false">
      <c r="A74" s="3" t="s">
        <v>1805</v>
      </c>
      <c r="B74" s="3" t="n">
        <v>2290</v>
      </c>
      <c r="C74" s="3" t="s">
        <v>1742</v>
      </c>
      <c r="D74" s="3" t="n">
        <v>0</v>
      </c>
      <c r="E74" s="3" t="n">
        <v>0</v>
      </c>
      <c r="F74" s="3" t="n">
        <v>0</v>
      </c>
      <c r="G74" s="3" t="n">
        <v>0</v>
      </c>
      <c r="H74" s="3" t="s">
        <v>1743</v>
      </c>
      <c r="I74" s="3" t="s">
        <v>1806</v>
      </c>
      <c r="J74" s="3" t="s">
        <v>1745</v>
      </c>
    </row>
    <row r="75" customFormat="false" ht="15" hidden="false" customHeight="false" outlineLevel="0" collapsed="false">
      <c r="A75" s="3" t="s">
        <v>462</v>
      </c>
      <c r="B75" s="3" t="n">
        <v>2293</v>
      </c>
      <c r="C75" s="3" t="s">
        <v>1742</v>
      </c>
      <c r="D75" s="3" t="n">
        <v>6</v>
      </c>
      <c r="E75" s="3" t="n">
        <v>6</v>
      </c>
      <c r="F75" s="3" t="n">
        <v>6</v>
      </c>
      <c r="G75" s="3" t="n">
        <v>0</v>
      </c>
      <c r="H75" s="3" t="s">
        <v>1743</v>
      </c>
      <c r="I75" s="3" t="s">
        <v>1807</v>
      </c>
      <c r="J75" s="3" t="s">
        <v>1745</v>
      </c>
    </row>
    <row r="76" customFormat="false" ht="15" hidden="false" customHeight="false" outlineLevel="0" collapsed="false">
      <c r="A76" s="3" t="s">
        <v>469</v>
      </c>
      <c r="B76" s="3" t="n">
        <v>2296</v>
      </c>
      <c r="C76" s="3" t="s">
        <v>1742</v>
      </c>
      <c r="D76" s="3" t="n">
        <v>2</v>
      </c>
      <c r="E76" s="3" t="n">
        <v>2</v>
      </c>
      <c r="F76" s="3" t="n">
        <v>2</v>
      </c>
      <c r="G76" s="3" t="n">
        <v>0</v>
      </c>
      <c r="H76" s="3" t="s">
        <v>1743</v>
      </c>
      <c r="I76" s="3" t="s">
        <v>1808</v>
      </c>
      <c r="J76" s="3" t="s">
        <v>1745</v>
      </c>
    </row>
    <row r="77" customFormat="false" ht="15" hidden="false" customHeight="false" outlineLevel="0" collapsed="false">
      <c r="A77" s="3" t="s">
        <v>472</v>
      </c>
      <c r="B77" s="3" t="n">
        <v>2298</v>
      </c>
      <c r="C77" s="3" t="s">
        <v>1742</v>
      </c>
      <c r="D77" s="3" t="n">
        <v>4</v>
      </c>
      <c r="E77" s="3" t="n">
        <v>4</v>
      </c>
      <c r="F77" s="3" t="n">
        <v>4</v>
      </c>
      <c r="G77" s="3" t="n">
        <v>0</v>
      </c>
      <c r="H77" s="3" t="s">
        <v>1743</v>
      </c>
      <c r="I77" s="3" t="s">
        <v>1809</v>
      </c>
      <c r="J77" s="3" t="s">
        <v>1745</v>
      </c>
    </row>
    <row r="78" customFormat="false" ht="15" hidden="false" customHeight="false" outlineLevel="0" collapsed="false">
      <c r="A78" s="3" t="s">
        <v>477</v>
      </c>
      <c r="B78" s="3" t="n">
        <v>2301</v>
      </c>
      <c r="C78" s="3" t="s">
        <v>1742</v>
      </c>
      <c r="D78" s="3" t="n">
        <v>1</v>
      </c>
      <c r="E78" s="3" t="n">
        <v>1</v>
      </c>
      <c r="F78" s="3" t="n">
        <v>1</v>
      </c>
      <c r="G78" s="3" t="n">
        <v>0</v>
      </c>
      <c r="H78" s="3" t="s">
        <v>1743</v>
      </c>
      <c r="I78" s="3" t="s">
        <v>1810</v>
      </c>
      <c r="J78" s="3" t="s">
        <v>1745</v>
      </c>
    </row>
    <row r="79" customFormat="false" ht="15" hidden="false" customHeight="false" outlineLevel="0" collapsed="false">
      <c r="A79" s="3" t="s">
        <v>1811</v>
      </c>
      <c r="B79" s="3" t="n">
        <v>2307</v>
      </c>
      <c r="C79" s="3" t="s">
        <v>1742</v>
      </c>
      <c r="D79" s="3" t="n">
        <v>0</v>
      </c>
      <c r="E79" s="3" t="n">
        <v>0</v>
      </c>
      <c r="F79" s="3" t="n">
        <v>0</v>
      </c>
      <c r="G79" s="3" t="n">
        <v>0</v>
      </c>
      <c r="H79" s="3" t="s">
        <v>1743</v>
      </c>
      <c r="I79" s="3" t="s">
        <v>1812</v>
      </c>
      <c r="J79" s="3" t="s">
        <v>1745</v>
      </c>
    </row>
    <row r="80" customFormat="false" ht="15" hidden="false" customHeight="false" outlineLevel="0" collapsed="false">
      <c r="A80" s="3" t="s">
        <v>1813</v>
      </c>
      <c r="B80" s="3" t="n">
        <v>2293</v>
      </c>
      <c r="C80" s="3" t="s">
        <v>1742</v>
      </c>
      <c r="D80" s="3" t="n">
        <v>0</v>
      </c>
      <c r="E80" s="3" t="n">
        <v>0</v>
      </c>
      <c r="F80" s="3" t="n">
        <v>0</v>
      </c>
      <c r="G80" s="3" t="n">
        <v>0</v>
      </c>
      <c r="H80" s="3" t="s">
        <v>1743</v>
      </c>
      <c r="I80" s="3" t="s">
        <v>1814</v>
      </c>
      <c r="J80" s="3" t="s">
        <v>1745</v>
      </c>
    </row>
    <row r="81" customFormat="false" ht="15" hidden="false" customHeight="false" outlineLevel="0" collapsed="false">
      <c r="A81" s="3" t="s">
        <v>1815</v>
      </c>
      <c r="B81" s="3" t="n">
        <v>2295</v>
      </c>
      <c r="C81" s="3" t="s">
        <v>1742</v>
      </c>
      <c r="D81" s="3" t="n">
        <v>0</v>
      </c>
      <c r="E81" s="3" t="n">
        <v>0</v>
      </c>
      <c r="F81" s="3" t="n">
        <v>0</v>
      </c>
      <c r="G81" s="3" t="n">
        <v>0</v>
      </c>
      <c r="H81" s="3" t="s">
        <v>1743</v>
      </c>
      <c r="I81" s="3" t="s">
        <v>1816</v>
      </c>
      <c r="J81" s="3" t="s">
        <v>1745</v>
      </c>
    </row>
    <row r="82" customFormat="false" ht="15" hidden="false" customHeight="false" outlineLevel="0" collapsed="false">
      <c r="A82" s="3" t="s">
        <v>1817</v>
      </c>
      <c r="B82" s="3" t="n">
        <v>2294</v>
      </c>
      <c r="C82" s="3" t="s">
        <v>1742</v>
      </c>
      <c r="D82" s="3" t="n">
        <v>0</v>
      </c>
      <c r="E82" s="3" t="n">
        <v>0</v>
      </c>
      <c r="F82" s="3" t="n">
        <v>0</v>
      </c>
      <c r="G82" s="3" t="n">
        <v>0</v>
      </c>
      <c r="H82" s="3" t="s">
        <v>1743</v>
      </c>
      <c r="I82" s="3" t="s">
        <v>1818</v>
      </c>
      <c r="J82" s="3" t="s">
        <v>1745</v>
      </c>
    </row>
    <row r="83" customFormat="false" ht="15" hidden="false" customHeight="false" outlineLevel="0" collapsed="false">
      <c r="A83" s="3" t="s">
        <v>479</v>
      </c>
      <c r="B83" s="3" t="n">
        <v>2301</v>
      </c>
      <c r="C83" s="3" t="s">
        <v>1742</v>
      </c>
      <c r="D83" s="3" t="n">
        <v>1</v>
      </c>
      <c r="E83" s="3" t="n">
        <v>1</v>
      </c>
      <c r="F83" s="3" t="n">
        <v>0</v>
      </c>
      <c r="G83" s="3" t="n">
        <v>1</v>
      </c>
      <c r="H83" s="3" t="s">
        <v>1743</v>
      </c>
      <c r="I83" s="3" t="s">
        <v>1810</v>
      </c>
      <c r="J83" s="3" t="s">
        <v>1745</v>
      </c>
    </row>
    <row r="84" customFormat="false" ht="15" hidden="false" customHeight="false" outlineLevel="0" collapsed="false">
      <c r="A84" s="3" t="s">
        <v>483</v>
      </c>
      <c r="B84" s="3" t="n">
        <v>2313</v>
      </c>
      <c r="C84" s="3" t="s">
        <v>1742</v>
      </c>
      <c r="D84" s="3" t="n">
        <v>9</v>
      </c>
      <c r="E84" s="3" t="n">
        <v>9</v>
      </c>
      <c r="F84" s="3" t="n">
        <v>2</v>
      </c>
      <c r="G84" s="3" t="n">
        <v>7</v>
      </c>
      <c r="H84" s="3" t="s">
        <v>1743</v>
      </c>
      <c r="I84" s="3" t="s">
        <v>1819</v>
      </c>
      <c r="J84" s="3" t="s">
        <v>1745</v>
      </c>
    </row>
    <row r="85" customFormat="false" ht="15" hidden="false" customHeight="false" outlineLevel="0" collapsed="false">
      <c r="A85" s="3" t="s">
        <v>507</v>
      </c>
      <c r="B85" s="3" t="n">
        <v>2320</v>
      </c>
      <c r="C85" s="3" t="s">
        <v>1742</v>
      </c>
      <c r="D85" s="3" t="n">
        <v>2</v>
      </c>
      <c r="E85" s="3" t="n">
        <v>2</v>
      </c>
      <c r="F85" s="3" t="n">
        <v>1</v>
      </c>
      <c r="G85" s="3" t="n">
        <v>1</v>
      </c>
      <c r="H85" s="3" t="s">
        <v>1743</v>
      </c>
      <c r="I85" s="3" t="s">
        <v>1820</v>
      </c>
      <c r="J85" s="3" t="s">
        <v>1745</v>
      </c>
    </row>
    <row r="86" customFormat="false" ht="15" hidden="false" customHeight="false" outlineLevel="0" collapsed="false">
      <c r="A86" s="3" t="s">
        <v>512</v>
      </c>
      <c r="B86" s="3" t="n">
        <v>2318</v>
      </c>
      <c r="C86" s="3" t="s">
        <v>1742</v>
      </c>
      <c r="D86" s="3" t="n">
        <v>8</v>
      </c>
      <c r="E86" s="3" t="n">
        <v>8</v>
      </c>
      <c r="F86" s="3" t="n">
        <v>2</v>
      </c>
      <c r="G86" s="3" t="n">
        <v>6</v>
      </c>
      <c r="H86" s="3" t="s">
        <v>1743</v>
      </c>
      <c r="I86" s="3" t="s">
        <v>1821</v>
      </c>
      <c r="J86" s="3" t="s">
        <v>1745</v>
      </c>
    </row>
    <row r="87" customFormat="false" ht="15" hidden="false" customHeight="false" outlineLevel="0" collapsed="false">
      <c r="A87" s="3" t="s">
        <v>533</v>
      </c>
      <c r="B87" s="3" t="n">
        <v>2325</v>
      </c>
      <c r="C87" s="3" t="s">
        <v>1742</v>
      </c>
      <c r="D87" s="3" t="n">
        <v>13</v>
      </c>
      <c r="E87" s="3" t="n">
        <v>13</v>
      </c>
      <c r="F87" s="3" t="n">
        <v>8</v>
      </c>
      <c r="G87" s="3" t="n">
        <v>5</v>
      </c>
      <c r="H87" s="3" t="s">
        <v>1743</v>
      </c>
      <c r="I87" s="3" t="s">
        <v>1822</v>
      </c>
      <c r="J87" s="3" t="s">
        <v>1745</v>
      </c>
    </row>
    <row r="88" customFormat="false" ht="15" hidden="false" customHeight="false" outlineLevel="0" collapsed="false">
      <c r="A88" s="3" t="s">
        <v>557</v>
      </c>
      <c r="B88" s="3" t="n">
        <v>2333</v>
      </c>
      <c r="C88" s="3" t="s">
        <v>1742</v>
      </c>
      <c r="D88" s="3" t="n">
        <v>17</v>
      </c>
      <c r="E88" s="3" t="n">
        <v>17</v>
      </c>
      <c r="F88" s="3" t="n">
        <v>13</v>
      </c>
      <c r="G88" s="3" t="n">
        <v>4</v>
      </c>
      <c r="H88" s="3" t="s">
        <v>1743</v>
      </c>
      <c r="I88" s="3" t="s">
        <v>1823</v>
      </c>
      <c r="J88" s="3" t="s">
        <v>1745</v>
      </c>
    </row>
    <row r="89" customFormat="false" ht="15" hidden="false" customHeight="false" outlineLevel="0" collapsed="false">
      <c r="A89" s="3" t="s">
        <v>583</v>
      </c>
      <c r="B89" s="3" t="n">
        <v>2336</v>
      </c>
      <c r="C89" s="3" t="s">
        <v>1742</v>
      </c>
      <c r="D89" s="3" t="n">
        <v>11</v>
      </c>
      <c r="E89" s="3" t="n">
        <v>11</v>
      </c>
      <c r="F89" s="3" t="n">
        <v>8</v>
      </c>
      <c r="G89" s="3" t="n">
        <v>3</v>
      </c>
      <c r="H89" s="3" t="s">
        <v>1743</v>
      </c>
      <c r="I89" s="3" t="s">
        <v>1824</v>
      </c>
      <c r="J89" s="3" t="s">
        <v>1745</v>
      </c>
    </row>
    <row r="90" customFormat="false" ht="15" hidden="false" customHeight="false" outlineLevel="0" collapsed="false">
      <c r="A90" s="3" t="s">
        <v>601</v>
      </c>
      <c r="B90" s="3" t="n">
        <v>2337</v>
      </c>
      <c r="C90" s="3" t="s">
        <v>1742</v>
      </c>
      <c r="D90" s="3" t="n">
        <v>3</v>
      </c>
      <c r="E90" s="3" t="n">
        <v>3</v>
      </c>
      <c r="F90" s="3" t="n">
        <v>0</v>
      </c>
      <c r="G90" s="3" t="n">
        <v>3</v>
      </c>
      <c r="H90" s="3" t="s">
        <v>1743</v>
      </c>
      <c r="I90" s="3" t="s">
        <v>1825</v>
      </c>
      <c r="J90" s="3" t="s">
        <v>1745</v>
      </c>
    </row>
    <row r="91" customFormat="false" ht="15" hidden="false" customHeight="false" outlineLevel="0" collapsed="false">
      <c r="A91" s="3" t="s">
        <v>611</v>
      </c>
      <c r="B91" s="3" t="n">
        <v>2339</v>
      </c>
      <c r="C91" s="3" t="s">
        <v>1742</v>
      </c>
      <c r="D91" s="3" t="n">
        <v>2</v>
      </c>
      <c r="E91" s="3" t="n">
        <v>2</v>
      </c>
      <c r="F91" s="3" t="n">
        <v>1</v>
      </c>
      <c r="G91" s="3" t="n">
        <v>1</v>
      </c>
      <c r="H91" s="3" t="s">
        <v>1743</v>
      </c>
      <c r="I91" s="3" t="s">
        <v>1826</v>
      </c>
      <c r="J91" s="3" t="s">
        <v>1745</v>
      </c>
    </row>
    <row r="92" customFormat="false" ht="15" hidden="false" customHeight="false" outlineLevel="0" collapsed="false">
      <c r="A92" s="3" t="s">
        <v>616</v>
      </c>
      <c r="B92" s="3" t="n">
        <v>2351</v>
      </c>
      <c r="C92" s="3" t="s">
        <v>1742</v>
      </c>
      <c r="D92" s="3" t="n">
        <v>5</v>
      </c>
      <c r="E92" s="3" t="n">
        <v>5</v>
      </c>
      <c r="F92" s="3" t="n">
        <v>3</v>
      </c>
      <c r="G92" s="3" t="n">
        <v>2</v>
      </c>
      <c r="H92" s="3" t="s">
        <v>1743</v>
      </c>
      <c r="I92" s="3" t="s">
        <v>1827</v>
      </c>
      <c r="J92" s="3" t="s">
        <v>1745</v>
      </c>
    </row>
    <row r="93" customFormat="false" ht="15" hidden="false" customHeight="false" outlineLevel="0" collapsed="false">
      <c r="A93" s="3" t="s">
        <v>626</v>
      </c>
      <c r="B93" s="3" t="n">
        <v>2357</v>
      </c>
      <c r="C93" s="3" t="s">
        <v>1742</v>
      </c>
      <c r="D93" s="3" t="n">
        <v>5</v>
      </c>
      <c r="E93" s="3" t="n">
        <v>5</v>
      </c>
      <c r="F93" s="3" t="n">
        <v>3</v>
      </c>
      <c r="G93" s="3" t="n">
        <v>2</v>
      </c>
      <c r="H93" s="3" t="s">
        <v>1743</v>
      </c>
      <c r="I93" s="3" t="s">
        <v>1828</v>
      </c>
      <c r="J93" s="3" t="s">
        <v>1745</v>
      </c>
    </row>
    <row r="94" customFormat="false" ht="15" hidden="false" customHeight="false" outlineLevel="0" collapsed="false">
      <c r="A94" s="3" t="s">
        <v>636</v>
      </c>
      <c r="B94" s="3" t="n">
        <v>2355</v>
      </c>
      <c r="C94" s="3" t="s">
        <v>1742</v>
      </c>
      <c r="D94" s="3" t="n">
        <v>7</v>
      </c>
      <c r="E94" s="3" t="n">
        <v>7</v>
      </c>
      <c r="F94" s="3" t="n">
        <v>5</v>
      </c>
      <c r="G94" s="3" t="n">
        <v>2</v>
      </c>
      <c r="H94" s="3" t="s">
        <v>1743</v>
      </c>
      <c r="I94" s="3" t="s">
        <v>1829</v>
      </c>
      <c r="J94" s="3" t="s">
        <v>1745</v>
      </c>
    </row>
    <row r="95" customFormat="false" ht="15" hidden="false" customHeight="false" outlineLevel="0" collapsed="false">
      <c r="A95" s="3" t="s">
        <v>648</v>
      </c>
      <c r="B95" s="3" t="n">
        <v>2358</v>
      </c>
      <c r="C95" s="3" t="s">
        <v>1742</v>
      </c>
      <c r="D95" s="3" t="n">
        <v>7</v>
      </c>
      <c r="E95" s="3" t="n">
        <v>7</v>
      </c>
      <c r="F95" s="3" t="n">
        <v>6</v>
      </c>
      <c r="G95" s="3" t="n">
        <v>1</v>
      </c>
      <c r="H95" s="3" t="s">
        <v>1743</v>
      </c>
      <c r="I95" s="3" t="s">
        <v>1830</v>
      </c>
      <c r="J95" s="3" t="s">
        <v>1745</v>
      </c>
    </row>
    <row r="96" customFormat="false" ht="15" hidden="false" customHeight="false" outlineLevel="0" collapsed="false">
      <c r="A96" s="3" t="s">
        <v>658</v>
      </c>
      <c r="B96" s="3" t="n">
        <v>2366</v>
      </c>
      <c r="C96" s="3" t="s">
        <v>1742</v>
      </c>
      <c r="D96" s="3" t="n">
        <v>2</v>
      </c>
      <c r="E96" s="3" t="n">
        <v>2</v>
      </c>
      <c r="F96" s="3" t="n">
        <v>1</v>
      </c>
      <c r="G96" s="3" t="n">
        <v>1</v>
      </c>
      <c r="H96" s="3" t="s">
        <v>1743</v>
      </c>
      <c r="I96" s="3" t="s">
        <v>1831</v>
      </c>
      <c r="J96" s="3" t="s">
        <v>1745</v>
      </c>
    </row>
    <row r="97" customFormat="false" ht="15" hidden="false" customHeight="false" outlineLevel="0" collapsed="false">
      <c r="A97" s="3" t="s">
        <v>1832</v>
      </c>
      <c r="B97" s="3" t="n">
        <v>2368</v>
      </c>
      <c r="C97" s="3" t="s">
        <v>1742</v>
      </c>
      <c r="D97" s="3" t="n">
        <v>0</v>
      </c>
      <c r="E97" s="3" t="n">
        <v>0</v>
      </c>
      <c r="F97" s="3" t="n">
        <v>0</v>
      </c>
      <c r="G97" s="3" t="n">
        <v>0</v>
      </c>
      <c r="H97" s="3" t="s">
        <v>1743</v>
      </c>
      <c r="I97" s="3" t="s">
        <v>1833</v>
      </c>
      <c r="J97" s="3" t="s">
        <v>1745</v>
      </c>
    </row>
    <row r="98" customFormat="false" ht="15" hidden="false" customHeight="false" outlineLevel="0" collapsed="false">
      <c r="A98" s="3" t="s">
        <v>1834</v>
      </c>
      <c r="B98" s="3" t="n">
        <v>2368</v>
      </c>
      <c r="C98" s="3" t="s">
        <v>1742</v>
      </c>
      <c r="D98" s="3" t="n">
        <v>0</v>
      </c>
      <c r="E98" s="3" t="n">
        <v>0</v>
      </c>
      <c r="F98" s="3" t="n">
        <v>0</v>
      </c>
      <c r="G98" s="3" t="n">
        <v>0</v>
      </c>
      <c r="H98" s="3" t="s">
        <v>1743</v>
      </c>
      <c r="I98" s="3" t="s">
        <v>1833</v>
      </c>
      <c r="J98" s="3" t="s">
        <v>1745</v>
      </c>
    </row>
    <row r="99" customFormat="false" ht="15" hidden="false" customHeight="false" outlineLevel="0" collapsed="false">
      <c r="A99" s="3" t="s">
        <v>1835</v>
      </c>
      <c r="B99" s="3" t="n">
        <v>2367</v>
      </c>
      <c r="C99" s="3" t="s">
        <v>1742</v>
      </c>
      <c r="D99" s="3" t="n">
        <v>0</v>
      </c>
      <c r="E99" s="3" t="n">
        <v>0</v>
      </c>
      <c r="F99" s="3" t="n">
        <v>0</v>
      </c>
      <c r="G99" s="3" t="n">
        <v>0</v>
      </c>
      <c r="H99" s="3" t="s">
        <v>1743</v>
      </c>
      <c r="I99" s="3" t="s">
        <v>1836</v>
      </c>
      <c r="J99" s="3" t="s">
        <v>1745</v>
      </c>
    </row>
    <row r="100" customFormat="false" ht="15" hidden="false" customHeight="false" outlineLevel="0" collapsed="false">
      <c r="A100" s="3" t="s">
        <v>1837</v>
      </c>
      <c r="B100" s="3" t="n">
        <v>2377</v>
      </c>
      <c r="C100" s="3" t="s">
        <v>1742</v>
      </c>
      <c r="D100" s="3" t="n">
        <v>0</v>
      </c>
      <c r="E100" s="3" t="n">
        <v>0</v>
      </c>
      <c r="F100" s="3" t="n">
        <v>0</v>
      </c>
      <c r="G100" s="3" t="n">
        <v>0</v>
      </c>
      <c r="H100" s="3" t="s">
        <v>1743</v>
      </c>
      <c r="I100" s="3" t="s">
        <v>1838</v>
      </c>
      <c r="J100" s="3" t="s">
        <v>1745</v>
      </c>
    </row>
    <row r="101" customFormat="false" ht="15" hidden="false" customHeight="false" outlineLevel="0" collapsed="false">
      <c r="A101" s="3" t="s">
        <v>1839</v>
      </c>
      <c r="B101" s="3" t="n">
        <v>2385</v>
      </c>
      <c r="C101" s="3" t="s">
        <v>1742</v>
      </c>
      <c r="D101" s="3" t="n">
        <v>0</v>
      </c>
      <c r="E101" s="3" t="n">
        <v>0</v>
      </c>
      <c r="F101" s="3" t="n">
        <v>0</v>
      </c>
      <c r="G101" s="3" t="n">
        <v>0</v>
      </c>
      <c r="H101" s="3" t="s">
        <v>1743</v>
      </c>
      <c r="I101" s="3" t="s">
        <v>1840</v>
      </c>
      <c r="J101" s="3" t="s">
        <v>1745</v>
      </c>
    </row>
    <row r="102" customFormat="false" ht="15" hidden="false" customHeight="false" outlineLevel="0" collapsed="false">
      <c r="A102" s="3" t="s">
        <v>663</v>
      </c>
      <c r="B102" s="3" t="n">
        <v>2384</v>
      </c>
      <c r="C102" s="3" t="s">
        <v>1742</v>
      </c>
      <c r="D102" s="3" t="n">
        <v>13</v>
      </c>
      <c r="E102" s="3" t="n">
        <v>13</v>
      </c>
      <c r="F102" s="3" t="n">
        <v>10</v>
      </c>
      <c r="G102" s="3" t="n">
        <v>3</v>
      </c>
      <c r="H102" s="3" t="s">
        <v>1743</v>
      </c>
      <c r="I102" s="3" t="s">
        <v>1841</v>
      </c>
      <c r="J102" s="3" t="s">
        <v>1745</v>
      </c>
    </row>
    <row r="103" customFormat="false" ht="15" hidden="false" customHeight="false" outlineLevel="0" collapsed="false">
      <c r="A103" s="3" t="s">
        <v>683</v>
      </c>
      <c r="B103" s="3" t="n">
        <v>2387</v>
      </c>
      <c r="C103" s="3" t="s">
        <v>1742</v>
      </c>
      <c r="D103" s="3" t="n">
        <v>8</v>
      </c>
      <c r="E103" s="3" t="n">
        <v>8</v>
      </c>
      <c r="F103" s="3" t="n">
        <v>7</v>
      </c>
      <c r="G103" s="3" t="n">
        <v>1</v>
      </c>
      <c r="H103" s="3" t="s">
        <v>1743</v>
      </c>
      <c r="I103" s="3" t="s">
        <v>1842</v>
      </c>
      <c r="J103" s="3" t="s">
        <v>1745</v>
      </c>
    </row>
    <row r="104" customFormat="false" ht="15" hidden="false" customHeight="false" outlineLevel="0" collapsed="false">
      <c r="A104" s="3" t="s">
        <v>694</v>
      </c>
      <c r="B104" s="3" t="n">
        <v>2386</v>
      </c>
      <c r="C104" s="3" t="s">
        <v>1742</v>
      </c>
      <c r="D104" s="3" t="n">
        <v>6</v>
      </c>
      <c r="E104" s="3" t="n">
        <v>6</v>
      </c>
      <c r="F104" s="3" t="n">
        <v>5</v>
      </c>
      <c r="G104" s="3" t="n">
        <v>1</v>
      </c>
      <c r="H104" s="3" t="s">
        <v>1743</v>
      </c>
      <c r="I104" s="3" t="s">
        <v>1843</v>
      </c>
      <c r="J104" s="3" t="s">
        <v>1745</v>
      </c>
    </row>
    <row r="105" customFormat="false" ht="15" hidden="false" customHeight="false" outlineLevel="0" collapsed="false">
      <c r="A105" s="3" t="s">
        <v>703</v>
      </c>
      <c r="B105" s="3" t="n">
        <v>2389</v>
      </c>
      <c r="C105" s="3" t="s">
        <v>1742</v>
      </c>
      <c r="D105" s="3" t="n">
        <v>3</v>
      </c>
      <c r="E105" s="3" t="n">
        <v>3</v>
      </c>
      <c r="F105" s="3" t="n">
        <v>3</v>
      </c>
      <c r="G105" s="3" t="n">
        <v>0</v>
      </c>
      <c r="H105" s="3" t="s">
        <v>1743</v>
      </c>
      <c r="I105" s="3" t="s">
        <v>1844</v>
      </c>
      <c r="J105" s="3" t="s">
        <v>1745</v>
      </c>
    </row>
    <row r="106" customFormat="false" ht="15" hidden="false" customHeight="false" outlineLevel="0" collapsed="false">
      <c r="A106" s="3" t="s">
        <v>707</v>
      </c>
      <c r="B106" s="3" t="n">
        <v>2390</v>
      </c>
      <c r="C106" s="3" t="s">
        <v>1742</v>
      </c>
      <c r="D106" s="3" t="n">
        <v>18</v>
      </c>
      <c r="E106" s="3" t="n">
        <v>18</v>
      </c>
      <c r="F106" s="3" t="n">
        <v>17</v>
      </c>
      <c r="G106" s="3" t="n">
        <v>1</v>
      </c>
      <c r="H106" s="3" t="s">
        <v>1743</v>
      </c>
      <c r="I106" s="3" t="s">
        <v>1845</v>
      </c>
      <c r="J106" s="3" t="s">
        <v>1745</v>
      </c>
    </row>
    <row r="107" customFormat="false" ht="15" hidden="false" customHeight="false" outlineLevel="0" collapsed="false">
      <c r="A107" s="3" t="s">
        <v>728</v>
      </c>
      <c r="B107" s="3" t="n">
        <v>2391</v>
      </c>
      <c r="C107" s="3" t="s">
        <v>1742</v>
      </c>
      <c r="D107" s="3" t="n">
        <v>13</v>
      </c>
      <c r="E107" s="3" t="n">
        <v>13</v>
      </c>
      <c r="F107" s="3" t="n">
        <v>12</v>
      </c>
      <c r="G107" s="3" t="n">
        <v>1</v>
      </c>
      <c r="H107" s="3" t="s">
        <v>1743</v>
      </c>
      <c r="I107" s="3" t="s">
        <v>1846</v>
      </c>
      <c r="J107" s="3" t="s">
        <v>1745</v>
      </c>
    </row>
    <row r="108" customFormat="false" ht="15" hidden="false" customHeight="false" outlineLevel="0" collapsed="false">
      <c r="A108" s="3" t="s">
        <v>744</v>
      </c>
      <c r="B108" s="3" t="n">
        <v>2391</v>
      </c>
      <c r="C108" s="3" t="s">
        <v>1742</v>
      </c>
      <c r="D108" s="3" t="n">
        <v>2</v>
      </c>
      <c r="E108" s="3" t="n">
        <v>2</v>
      </c>
      <c r="F108" s="3" t="n">
        <v>2</v>
      </c>
      <c r="G108" s="3" t="n">
        <v>0</v>
      </c>
      <c r="H108" s="3" t="s">
        <v>1743</v>
      </c>
      <c r="I108" s="3" t="s">
        <v>1847</v>
      </c>
      <c r="J108" s="3" t="s">
        <v>1745</v>
      </c>
    </row>
    <row r="109" customFormat="false" ht="15" hidden="false" customHeight="false" outlineLevel="0" collapsed="false">
      <c r="A109" s="3" t="s">
        <v>747</v>
      </c>
      <c r="B109" s="3" t="n">
        <v>2391</v>
      </c>
      <c r="C109" s="3" t="s">
        <v>1742</v>
      </c>
      <c r="D109" s="3" t="n">
        <v>2</v>
      </c>
      <c r="E109" s="3" t="n">
        <v>2</v>
      </c>
      <c r="F109" s="3" t="n">
        <v>2</v>
      </c>
      <c r="G109" s="3" t="n">
        <v>0</v>
      </c>
      <c r="H109" s="3" t="s">
        <v>1743</v>
      </c>
      <c r="I109" s="3" t="s">
        <v>1847</v>
      </c>
      <c r="J109" s="3" t="s">
        <v>1745</v>
      </c>
    </row>
    <row r="110" customFormat="false" ht="15" hidden="false" customHeight="false" outlineLevel="0" collapsed="false">
      <c r="A110" s="3" t="s">
        <v>750</v>
      </c>
      <c r="B110" s="3" t="n">
        <v>2392</v>
      </c>
      <c r="C110" s="3" t="s">
        <v>1742</v>
      </c>
      <c r="D110" s="3" t="n">
        <v>9</v>
      </c>
      <c r="E110" s="3" t="n">
        <v>9</v>
      </c>
      <c r="F110" s="3" t="n">
        <v>9</v>
      </c>
      <c r="G110" s="3" t="n">
        <v>0</v>
      </c>
      <c r="H110" s="3" t="s">
        <v>1743</v>
      </c>
      <c r="I110" s="3" t="s">
        <v>1848</v>
      </c>
      <c r="J110" s="3" t="s">
        <v>1745</v>
      </c>
    </row>
    <row r="111" customFormat="false" ht="15" hidden="false" customHeight="false" outlineLevel="0" collapsed="false">
      <c r="A111" s="3" t="s">
        <v>760</v>
      </c>
      <c r="B111" s="3" t="n">
        <v>2390</v>
      </c>
      <c r="C111" s="3" t="s">
        <v>1742</v>
      </c>
      <c r="D111" s="3" t="n">
        <v>4</v>
      </c>
      <c r="E111" s="3" t="n">
        <v>4</v>
      </c>
      <c r="F111" s="3" t="n">
        <v>1</v>
      </c>
      <c r="G111" s="3" t="n">
        <v>3</v>
      </c>
      <c r="H111" s="3" t="s">
        <v>1743</v>
      </c>
      <c r="I111" s="3" t="s">
        <v>1849</v>
      </c>
      <c r="J111" s="3" t="s">
        <v>1745</v>
      </c>
    </row>
    <row r="112" customFormat="false" ht="15" hidden="false" customHeight="false" outlineLevel="0" collapsed="false">
      <c r="A112" s="3" t="s">
        <v>771</v>
      </c>
      <c r="B112" s="3" t="n">
        <v>2392</v>
      </c>
      <c r="C112" s="3" t="s">
        <v>1742</v>
      </c>
      <c r="D112" s="3" t="n">
        <v>5</v>
      </c>
      <c r="E112" s="3" t="n">
        <v>5</v>
      </c>
      <c r="F112" s="3" t="n">
        <v>5</v>
      </c>
      <c r="G112" s="3" t="n">
        <v>0</v>
      </c>
      <c r="H112" s="3" t="s">
        <v>1743</v>
      </c>
      <c r="I112" s="3" t="s">
        <v>1850</v>
      </c>
      <c r="J112" s="3" t="s">
        <v>1745</v>
      </c>
    </row>
    <row r="113" customFormat="false" ht="15" hidden="false" customHeight="false" outlineLevel="0" collapsed="false">
      <c r="A113" s="3" t="s">
        <v>777</v>
      </c>
      <c r="B113" s="3" t="n">
        <v>2392</v>
      </c>
      <c r="C113" s="3" t="s">
        <v>1742</v>
      </c>
      <c r="D113" s="3" t="n">
        <v>2</v>
      </c>
      <c r="E113" s="3" t="n">
        <v>2</v>
      </c>
      <c r="F113" s="3" t="n">
        <v>2</v>
      </c>
      <c r="G113" s="3" t="n">
        <v>0</v>
      </c>
      <c r="H113" s="3" t="s">
        <v>1743</v>
      </c>
      <c r="I113" s="3" t="s">
        <v>1851</v>
      </c>
      <c r="J113" s="3" t="s">
        <v>1745</v>
      </c>
    </row>
    <row r="114" customFormat="false" ht="15" hidden="false" customHeight="false" outlineLevel="0" collapsed="false">
      <c r="A114" s="3" t="s">
        <v>780</v>
      </c>
      <c r="B114" s="3" t="n">
        <v>2392</v>
      </c>
      <c r="C114" s="3" t="s">
        <v>1742</v>
      </c>
      <c r="D114" s="3" t="n">
        <v>2</v>
      </c>
      <c r="E114" s="3" t="n">
        <v>2</v>
      </c>
      <c r="F114" s="3" t="n">
        <v>2</v>
      </c>
      <c r="G114" s="3" t="n">
        <v>0</v>
      </c>
      <c r="H114" s="3" t="s">
        <v>1743</v>
      </c>
      <c r="I114" s="3" t="s">
        <v>1851</v>
      </c>
      <c r="J114" s="3" t="s">
        <v>1745</v>
      </c>
    </row>
    <row r="115" customFormat="false" ht="15" hidden="false" customHeight="false" outlineLevel="0" collapsed="false">
      <c r="A115" s="3" t="s">
        <v>783</v>
      </c>
      <c r="B115" s="3" t="n">
        <v>2394</v>
      </c>
      <c r="C115" s="3" t="s">
        <v>1742</v>
      </c>
      <c r="D115" s="3" t="n">
        <v>2</v>
      </c>
      <c r="E115" s="3" t="n">
        <v>2</v>
      </c>
      <c r="F115" s="3" t="n">
        <v>2</v>
      </c>
      <c r="G115" s="3" t="n">
        <v>0</v>
      </c>
      <c r="H115" s="3" t="s">
        <v>1743</v>
      </c>
      <c r="I115" s="3" t="s">
        <v>1852</v>
      </c>
      <c r="J115" s="3" t="s">
        <v>1745</v>
      </c>
    </row>
    <row r="116" customFormat="false" ht="15" hidden="false" customHeight="false" outlineLevel="0" collapsed="false">
      <c r="A116" s="3" t="s">
        <v>786</v>
      </c>
      <c r="B116" s="3" t="n">
        <v>2394</v>
      </c>
      <c r="C116" s="3" t="s">
        <v>1742</v>
      </c>
      <c r="D116" s="3" t="n">
        <v>1</v>
      </c>
      <c r="E116" s="3" t="n">
        <v>1</v>
      </c>
      <c r="F116" s="3" t="n">
        <v>1</v>
      </c>
      <c r="G116" s="3" t="n">
        <v>0</v>
      </c>
      <c r="H116" s="3" t="s">
        <v>1743</v>
      </c>
      <c r="I116" s="3" t="s">
        <v>1853</v>
      </c>
      <c r="J116" s="3" t="s">
        <v>1745</v>
      </c>
    </row>
    <row r="117" customFormat="false" ht="15" hidden="false" customHeight="false" outlineLevel="0" collapsed="false">
      <c r="A117" s="3" t="s">
        <v>1854</v>
      </c>
      <c r="B117" s="3" t="n">
        <v>2395</v>
      </c>
      <c r="C117" s="3" t="s">
        <v>1742</v>
      </c>
      <c r="D117" s="3" t="n">
        <v>0</v>
      </c>
      <c r="E117" s="3" t="n">
        <v>0</v>
      </c>
      <c r="F117" s="3" t="n">
        <v>0</v>
      </c>
      <c r="G117" s="3" t="n">
        <v>0</v>
      </c>
      <c r="H117" s="3" t="s">
        <v>1743</v>
      </c>
      <c r="I117" s="3" t="s">
        <v>1855</v>
      </c>
      <c r="J117" s="3" t="s">
        <v>1745</v>
      </c>
    </row>
    <row r="118" customFormat="false" ht="15" hidden="false" customHeight="false" outlineLevel="0" collapsed="false">
      <c r="A118" s="3" t="s">
        <v>1856</v>
      </c>
      <c r="B118" s="3" t="n">
        <v>2397</v>
      </c>
      <c r="C118" s="3" t="s">
        <v>1742</v>
      </c>
      <c r="D118" s="3" t="n">
        <v>0</v>
      </c>
      <c r="E118" s="3" t="n">
        <v>0</v>
      </c>
      <c r="F118" s="3" t="n">
        <v>0</v>
      </c>
      <c r="G118" s="3" t="n">
        <v>0</v>
      </c>
      <c r="H118" s="3" t="s">
        <v>1743</v>
      </c>
      <c r="I118" s="3" t="s">
        <v>1857</v>
      </c>
      <c r="J118" s="3" t="s">
        <v>1745</v>
      </c>
    </row>
    <row r="119" customFormat="false" ht="15" hidden="false" customHeight="false" outlineLevel="0" collapsed="false">
      <c r="A119" s="3" t="s">
        <v>1858</v>
      </c>
      <c r="B119" s="3" t="n">
        <v>2396</v>
      </c>
      <c r="C119" s="3" t="s">
        <v>1742</v>
      </c>
      <c r="D119" s="3" t="n">
        <v>0</v>
      </c>
      <c r="E119" s="3" t="n">
        <v>0</v>
      </c>
      <c r="F119" s="3" t="n">
        <v>0</v>
      </c>
      <c r="G119" s="3" t="n">
        <v>0</v>
      </c>
      <c r="H119" s="3" t="s">
        <v>1743</v>
      </c>
      <c r="I119" s="3" t="s">
        <v>1859</v>
      </c>
      <c r="J119" s="3" t="s">
        <v>1745</v>
      </c>
    </row>
    <row r="120" customFormat="false" ht="15" hidden="false" customHeight="false" outlineLevel="0" collapsed="false">
      <c r="A120" s="3" t="s">
        <v>788</v>
      </c>
      <c r="B120" s="3" t="n">
        <v>2399</v>
      </c>
      <c r="C120" s="3" t="s">
        <v>1742</v>
      </c>
      <c r="D120" s="3" t="n">
        <v>1</v>
      </c>
      <c r="E120" s="3" t="n">
        <v>1</v>
      </c>
      <c r="F120" s="3" t="n">
        <v>1</v>
      </c>
      <c r="G120" s="3" t="n">
        <v>0</v>
      </c>
      <c r="H120" s="3" t="s">
        <v>1743</v>
      </c>
      <c r="I120" s="3" t="s">
        <v>1860</v>
      </c>
      <c r="J120" s="3" t="s">
        <v>1745</v>
      </c>
    </row>
    <row r="121" customFormat="false" ht="15" hidden="false" customHeight="false" outlineLevel="0" collapsed="false">
      <c r="A121" s="3" t="s">
        <v>790</v>
      </c>
      <c r="B121" s="3" t="n">
        <v>2398</v>
      </c>
      <c r="C121" s="3" t="s">
        <v>1742</v>
      </c>
      <c r="D121" s="3" t="n">
        <v>1</v>
      </c>
      <c r="E121" s="3" t="n">
        <v>1</v>
      </c>
      <c r="F121" s="3" t="n">
        <v>1</v>
      </c>
      <c r="G121" s="3" t="n">
        <v>0</v>
      </c>
      <c r="H121" s="3" t="s">
        <v>1743</v>
      </c>
      <c r="I121" s="3" t="s">
        <v>1861</v>
      </c>
      <c r="J121" s="3" t="s">
        <v>1745</v>
      </c>
    </row>
    <row r="122" customFormat="false" ht="15" hidden="false" customHeight="false" outlineLevel="0" collapsed="false">
      <c r="A122" s="3" t="s">
        <v>792</v>
      </c>
      <c r="B122" s="3" t="n">
        <v>2400</v>
      </c>
      <c r="C122" s="3" t="s">
        <v>1742</v>
      </c>
      <c r="D122" s="3" t="n">
        <v>11</v>
      </c>
      <c r="E122" s="3" t="n">
        <v>11</v>
      </c>
      <c r="F122" s="3" t="n">
        <v>9</v>
      </c>
      <c r="G122" s="3" t="n">
        <v>2</v>
      </c>
      <c r="H122" s="3" t="s">
        <v>1743</v>
      </c>
      <c r="I122" s="3" t="s">
        <v>1862</v>
      </c>
      <c r="J122" s="3" t="s">
        <v>1745</v>
      </c>
    </row>
    <row r="123" customFormat="false" ht="15" hidden="false" customHeight="false" outlineLevel="0" collapsed="false">
      <c r="A123" s="3" t="s">
        <v>808</v>
      </c>
      <c r="B123" s="3" t="n">
        <v>2398</v>
      </c>
      <c r="C123" s="3" t="s">
        <v>1742</v>
      </c>
      <c r="D123" s="3" t="n">
        <v>5</v>
      </c>
      <c r="E123" s="3" t="n">
        <v>5</v>
      </c>
      <c r="F123" s="3" t="n">
        <v>3</v>
      </c>
      <c r="G123" s="3" t="n">
        <v>2</v>
      </c>
      <c r="H123" s="3" t="s">
        <v>1743</v>
      </c>
      <c r="I123" s="3" t="s">
        <v>1863</v>
      </c>
      <c r="J123" s="3" t="s">
        <v>1745</v>
      </c>
    </row>
    <row r="124" customFormat="false" ht="15" hidden="false" customHeight="false" outlineLevel="0" collapsed="false">
      <c r="A124" s="3" t="s">
        <v>818</v>
      </c>
      <c r="B124" s="3" t="n">
        <v>2397</v>
      </c>
      <c r="C124" s="3" t="s">
        <v>1742</v>
      </c>
      <c r="D124" s="3" t="n">
        <v>3</v>
      </c>
      <c r="E124" s="3" t="n">
        <v>3</v>
      </c>
      <c r="F124" s="3" t="n">
        <v>2</v>
      </c>
      <c r="G124" s="3" t="n">
        <v>1</v>
      </c>
      <c r="H124" s="3" t="s">
        <v>1743</v>
      </c>
      <c r="I124" s="3" t="s">
        <v>1864</v>
      </c>
      <c r="J124" s="3" t="s">
        <v>1745</v>
      </c>
    </row>
    <row r="125" customFormat="false" ht="15" hidden="false" customHeight="false" outlineLevel="0" collapsed="false">
      <c r="A125" s="3" t="s">
        <v>824</v>
      </c>
      <c r="B125" s="3" t="n">
        <v>2400</v>
      </c>
      <c r="C125" s="3" t="s">
        <v>1742</v>
      </c>
      <c r="D125" s="3" t="n">
        <v>2</v>
      </c>
      <c r="E125" s="3" t="n">
        <v>2</v>
      </c>
      <c r="F125" s="3" t="n">
        <v>2</v>
      </c>
      <c r="G125" s="3" t="n">
        <v>0</v>
      </c>
      <c r="H125" s="3" t="s">
        <v>1743</v>
      </c>
      <c r="I125" s="3" t="s">
        <v>1865</v>
      </c>
      <c r="J125" s="3" t="s">
        <v>1745</v>
      </c>
    </row>
    <row r="126" customFormat="false" ht="15" hidden="false" customHeight="false" outlineLevel="0" collapsed="false">
      <c r="A126" s="3" t="s">
        <v>1866</v>
      </c>
      <c r="B126" s="3" t="n">
        <v>2400</v>
      </c>
      <c r="C126" s="3" t="s">
        <v>1742</v>
      </c>
      <c r="D126" s="3" t="n">
        <v>0</v>
      </c>
      <c r="E126" s="3" t="n">
        <v>0</v>
      </c>
      <c r="F126" s="3" t="n">
        <v>0</v>
      </c>
      <c r="G126" s="3" t="n">
        <v>0</v>
      </c>
      <c r="H126" s="3" t="s">
        <v>1743</v>
      </c>
      <c r="I126" s="3" t="s">
        <v>1867</v>
      </c>
      <c r="J126" s="3" t="s">
        <v>1745</v>
      </c>
    </row>
    <row r="127" customFormat="false" ht="15" hidden="false" customHeight="false" outlineLevel="0" collapsed="false">
      <c r="A127" s="3" t="s">
        <v>827</v>
      </c>
      <c r="B127" s="3" t="n">
        <v>2399</v>
      </c>
      <c r="C127" s="3" t="s">
        <v>1742</v>
      </c>
      <c r="D127" s="3" t="n">
        <v>1</v>
      </c>
      <c r="E127" s="3" t="n">
        <v>1</v>
      </c>
      <c r="F127" s="3" t="n">
        <v>1</v>
      </c>
      <c r="G127" s="3" t="n">
        <v>0</v>
      </c>
      <c r="H127" s="3" t="s">
        <v>1743</v>
      </c>
      <c r="I127" s="3" t="s">
        <v>1860</v>
      </c>
      <c r="J127" s="3" t="s">
        <v>1745</v>
      </c>
    </row>
    <row r="128" customFormat="false" ht="15" hidden="false" customHeight="false" outlineLevel="0" collapsed="false">
      <c r="A128" s="3" t="s">
        <v>829</v>
      </c>
      <c r="B128" s="3" t="n">
        <v>2392</v>
      </c>
      <c r="C128" s="3" t="s">
        <v>1742</v>
      </c>
      <c r="D128" s="3" t="n">
        <v>2</v>
      </c>
      <c r="E128" s="3" t="n">
        <v>2</v>
      </c>
      <c r="F128" s="3" t="n">
        <v>2</v>
      </c>
      <c r="G128" s="3" t="n">
        <v>0</v>
      </c>
      <c r="H128" s="3" t="s">
        <v>1743</v>
      </c>
      <c r="I128" s="3" t="s">
        <v>1851</v>
      </c>
      <c r="J128" s="3" t="s">
        <v>1745</v>
      </c>
    </row>
    <row r="129" customFormat="false" ht="15" hidden="false" customHeight="false" outlineLevel="0" collapsed="false">
      <c r="A129" s="3" t="s">
        <v>832</v>
      </c>
      <c r="B129" s="3" t="n">
        <v>2402</v>
      </c>
      <c r="C129" s="3" t="s">
        <v>1742</v>
      </c>
      <c r="D129" s="3" t="n">
        <v>1</v>
      </c>
      <c r="E129" s="3" t="n">
        <v>1</v>
      </c>
      <c r="F129" s="3" t="n">
        <v>1</v>
      </c>
      <c r="G129" s="3" t="n">
        <v>0</v>
      </c>
      <c r="H129" s="3" t="s">
        <v>1743</v>
      </c>
      <c r="I129" s="3" t="s">
        <v>1868</v>
      </c>
      <c r="J129" s="3" t="s">
        <v>1745</v>
      </c>
    </row>
    <row r="130" customFormat="false" ht="15" hidden="false" customHeight="false" outlineLevel="0" collapsed="false">
      <c r="A130" s="3" t="s">
        <v>834</v>
      </c>
      <c r="B130" s="3" t="n">
        <v>2404</v>
      </c>
      <c r="C130" s="3" t="s">
        <v>1742</v>
      </c>
      <c r="D130" s="3" t="n">
        <v>4</v>
      </c>
      <c r="E130" s="3" t="n">
        <v>4</v>
      </c>
      <c r="F130" s="3" t="n">
        <v>4</v>
      </c>
      <c r="G130" s="3" t="n">
        <v>0</v>
      </c>
      <c r="H130" s="3" t="s">
        <v>1743</v>
      </c>
      <c r="I130" s="3" t="s">
        <v>1869</v>
      </c>
      <c r="J130" s="3" t="s">
        <v>1745</v>
      </c>
    </row>
    <row r="131" customFormat="false" ht="15" hidden="false" customHeight="false" outlineLevel="0" collapsed="false">
      <c r="A131" s="3" t="s">
        <v>839</v>
      </c>
      <c r="B131" s="3" t="n">
        <v>2404</v>
      </c>
      <c r="C131" s="3" t="s">
        <v>1742</v>
      </c>
      <c r="D131" s="3" t="n">
        <v>2</v>
      </c>
      <c r="E131" s="3" t="n">
        <v>2</v>
      </c>
      <c r="F131" s="3" t="n">
        <v>2</v>
      </c>
      <c r="G131" s="3" t="n">
        <v>0</v>
      </c>
      <c r="H131" s="3" t="s">
        <v>1743</v>
      </c>
      <c r="I131" s="3" t="s">
        <v>1870</v>
      </c>
      <c r="J131" s="3" t="s">
        <v>1745</v>
      </c>
    </row>
    <row r="132" customFormat="false" ht="15" hidden="false" customHeight="false" outlineLevel="0" collapsed="false">
      <c r="A132" s="3" t="s">
        <v>842</v>
      </c>
      <c r="B132" s="3" t="n">
        <v>2404</v>
      </c>
      <c r="C132" s="3" t="s">
        <v>1742</v>
      </c>
      <c r="D132" s="3" t="n">
        <v>1</v>
      </c>
      <c r="E132" s="3" t="n">
        <v>1</v>
      </c>
      <c r="F132" s="3" t="n">
        <v>1</v>
      </c>
      <c r="G132" s="3" t="n">
        <v>0</v>
      </c>
      <c r="H132" s="3" t="s">
        <v>1743</v>
      </c>
      <c r="I132" s="3" t="s">
        <v>1871</v>
      </c>
      <c r="J132" s="3" t="s">
        <v>1745</v>
      </c>
    </row>
    <row r="133" customFormat="false" ht="15" hidden="false" customHeight="false" outlineLevel="0" collapsed="false">
      <c r="A133" s="3" t="s">
        <v>1872</v>
      </c>
      <c r="B133" s="3" t="n">
        <v>2403</v>
      </c>
      <c r="C133" s="3" t="s">
        <v>1742</v>
      </c>
      <c r="D133" s="3" t="n">
        <v>0</v>
      </c>
      <c r="E133" s="3" t="n">
        <v>0</v>
      </c>
      <c r="F133" s="3" t="n">
        <v>0</v>
      </c>
      <c r="G133" s="3" t="n">
        <v>0</v>
      </c>
      <c r="H133" s="3" t="s">
        <v>1743</v>
      </c>
      <c r="I133" s="3" t="s">
        <v>1873</v>
      </c>
      <c r="J133" s="3" t="s">
        <v>1745</v>
      </c>
    </row>
    <row r="134" customFormat="false" ht="15" hidden="false" customHeight="false" outlineLevel="0" collapsed="false">
      <c r="A134" s="3" t="s">
        <v>844</v>
      </c>
      <c r="B134" s="3" t="n">
        <v>2406</v>
      </c>
      <c r="C134" s="3" t="s">
        <v>1742</v>
      </c>
      <c r="D134" s="3" t="n">
        <v>1</v>
      </c>
      <c r="E134" s="3" t="n">
        <v>1</v>
      </c>
      <c r="F134" s="3" t="n">
        <v>0</v>
      </c>
      <c r="G134" s="3" t="n">
        <v>1</v>
      </c>
      <c r="H134" s="3" t="s">
        <v>1743</v>
      </c>
      <c r="I134" s="3" t="s">
        <v>1874</v>
      </c>
      <c r="J134" s="3" t="s">
        <v>1745</v>
      </c>
    </row>
    <row r="135" customFormat="false" ht="15" hidden="false" customHeight="false" outlineLevel="0" collapsed="false">
      <c r="A135" s="3" t="s">
        <v>848</v>
      </c>
      <c r="B135" s="3" t="n">
        <v>2407</v>
      </c>
      <c r="C135" s="3" t="s">
        <v>1742</v>
      </c>
      <c r="D135" s="3" t="n">
        <v>3</v>
      </c>
      <c r="E135" s="3" t="n">
        <v>3</v>
      </c>
      <c r="F135" s="3" t="n">
        <v>3</v>
      </c>
      <c r="G135" s="3" t="n">
        <v>0</v>
      </c>
      <c r="H135" s="3" t="s">
        <v>1743</v>
      </c>
      <c r="I135" s="3" t="s">
        <v>1875</v>
      </c>
      <c r="J135" s="3" t="s">
        <v>1745</v>
      </c>
    </row>
    <row r="136" customFormat="false" ht="15" hidden="false" customHeight="false" outlineLevel="0" collapsed="false">
      <c r="A136" s="3" t="s">
        <v>852</v>
      </c>
      <c r="B136" s="3" t="n">
        <v>2407</v>
      </c>
      <c r="C136" s="3" t="s">
        <v>1742</v>
      </c>
      <c r="D136" s="3" t="n">
        <v>8</v>
      </c>
      <c r="E136" s="3" t="n">
        <v>8</v>
      </c>
      <c r="F136" s="3" t="n">
        <v>7</v>
      </c>
      <c r="G136" s="3" t="n">
        <v>1</v>
      </c>
      <c r="H136" s="3" t="s">
        <v>1743</v>
      </c>
      <c r="I136" s="3" t="s">
        <v>1876</v>
      </c>
      <c r="J136" s="3" t="s">
        <v>1745</v>
      </c>
    </row>
    <row r="137" customFormat="false" ht="15" hidden="false" customHeight="false" outlineLevel="0" collapsed="false">
      <c r="A137" s="3" t="s">
        <v>1877</v>
      </c>
      <c r="B137" s="3" t="n">
        <v>2404</v>
      </c>
      <c r="C137" s="3" t="s">
        <v>1742</v>
      </c>
      <c r="D137" s="3" t="n">
        <v>0</v>
      </c>
      <c r="E137" s="3" t="n">
        <v>0</v>
      </c>
      <c r="F137" s="3" t="n">
        <v>0</v>
      </c>
      <c r="G137" s="3" t="n">
        <v>0</v>
      </c>
      <c r="H137" s="3" t="s">
        <v>1743</v>
      </c>
      <c r="I137" s="3" t="s">
        <v>1878</v>
      </c>
      <c r="J137" s="3" t="s">
        <v>1745</v>
      </c>
    </row>
    <row r="138" customFormat="false" ht="15" hidden="false" customHeight="false" outlineLevel="0" collapsed="false">
      <c r="A138" s="3" t="s">
        <v>863</v>
      </c>
      <c r="B138" s="3" t="n">
        <v>2405</v>
      </c>
      <c r="C138" s="3" t="s">
        <v>1742</v>
      </c>
      <c r="D138" s="3" t="n">
        <v>14</v>
      </c>
      <c r="E138" s="3" t="n">
        <v>14</v>
      </c>
      <c r="F138" s="3" t="n">
        <v>10</v>
      </c>
      <c r="G138" s="3" t="n">
        <v>4</v>
      </c>
      <c r="H138" s="3" t="s">
        <v>1743</v>
      </c>
      <c r="I138" s="3" t="s">
        <v>1879</v>
      </c>
      <c r="J138" s="3" t="s">
        <v>1745</v>
      </c>
    </row>
    <row r="139" customFormat="false" ht="15" hidden="false" customHeight="false" outlineLevel="0" collapsed="false">
      <c r="A139" s="3" t="s">
        <v>886</v>
      </c>
      <c r="B139" s="3" t="n">
        <v>2411</v>
      </c>
      <c r="C139" s="3" t="s">
        <v>1742</v>
      </c>
      <c r="D139" s="3" t="n">
        <v>1</v>
      </c>
      <c r="E139" s="3" t="n">
        <v>1</v>
      </c>
      <c r="F139" s="3" t="n">
        <v>1</v>
      </c>
      <c r="G139" s="3" t="n">
        <v>0</v>
      </c>
      <c r="H139" s="3" t="s">
        <v>1743</v>
      </c>
      <c r="I139" s="3" t="s">
        <v>1880</v>
      </c>
      <c r="J139" s="3" t="s">
        <v>1745</v>
      </c>
    </row>
    <row r="140" customFormat="false" ht="15" hidden="false" customHeight="false" outlineLevel="0" collapsed="false">
      <c r="A140" s="3" t="s">
        <v>1881</v>
      </c>
      <c r="B140" s="3" t="n">
        <v>2411</v>
      </c>
      <c r="C140" s="3" t="s">
        <v>1742</v>
      </c>
      <c r="D140" s="3" t="n">
        <v>0</v>
      </c>
      <c r="E140" s="3" t="n">
        <v>0</v>
      </c>
      <c r="F140" s="3" t="n">
        <v>0</v>
      </c>
      <c r="G140" s="3" t="n">
        <v>0</v>
      </c>
      <c r="H140" s="3" t="s">
        <v>1743</v>
      </c>
      <c r="I140" s="3" t="s">
        <v>1882</v>
      </c>
      <c r="J140" s="3" t="s">
        <v>1745</v>
      </c>
    </row>
    <row r="141" customFormat="false" ht="15" hidden="false" customHeight="false" outlineLevel="0" collapsed="false">
      <c r="A141" s="3" t="s">
        <v>1883</v>
      </c>
      <c r="B141" s="3" t="n">
        <v>2411</v>
      </c>
      <c r="C141" s="3" t="s">
        <v>1742</v>
      </c>
      <c r="D141" s="3" t="n">
        <v>0</v>
      </c>
      <c r="E141" s="3" t="n">
        <v>0</v>
      </c>
      <c r="F141" s="3" t="n">
        <v>0</v>
      </c>
      <c r="G141" s="3" t="n">
        <v>0</v>
      </c>
      <c r="H141" s="3" t="s">
        <v>1743</v>
      </c>
      <c r="I141" s="3" t="s">
        <v>1882</v>
      </c>
      <c r="J141" s="3" t="s">
        <v>1745</v>
      </c>
    </row>
    <row r="142" customFormat="false" ht="15" hidden="false" customHeight="false" outlineLevel="0" collapsed="false">
      <c r="A142" s="3" t="s">
        <v>1884</v>
      </c>
      <c r="B142" s="3" t="n">
        <v>2413</v>
      </c>
      <c r="C142" s="3" t="s">
        <v>1742</v>
      </c>
      <c r="D142" s="3" t="n">
        <v>0</v>
      </c>
      <c r="E142" s="3" t="n">
        <v>0</v>
      </c>
      <c r="F142" s="3" t="n">
        <v>0</v>
      </c>
      <c r="G142" s="3" t="n">
        <v>0</v>
      </c>
      <c r="H142" s="3" t="s">
        <v>1743</v>
      </c>
      <c r="I142" s="3" t="s">
        <v>1885</v>
      </c>
      <c r="J142" s="3" t="s">
        <v>1745</v>
      </c>
    </row>
    <row r="143" customFormat="false" ht="15" hidden="false" customHeight="false" outlineLevel="0" collapsed="false">
      <c r="A143" s="3" t="s">
        <v>1886</v>
      </c>
      <c r="B143" s="3" t="n">
        <v>2417</v>
      </c>
      <c r="C143" s="3" t="s">
        <v>1742</v>
      </c>
      <c r="D143" s="3" t="n">
        <v>0</v>
      </c>
      <c r="E143" s="3" t="n">
        <v>0</v>
      </c>
      <c r="F143" s="3" t="n">
        <v>0</v>
      </c>
      <c r="G143" s="3" t="n">
        <v>0</v>
      </c>
      <c r="H143" s="3" t="s">
        <v>1743</v>
      </c>
      <c r="I143" s="3" t="s">
        <v>1887</v>
      </c>
      <c r="J143" s="3" t="s">
        <v>1745</v>
      </c>
    </row>
    <row r="144" customFormat="false" ht="15" hidden="false" customHeight="false" outlineLevel="0" collapsed="false">
      <c r="A144" s="3" t="s">
        <v>888</v>
      </c>
      <c r="B144" s="3" t="n">
        <v>2417</v>
      </c>
      <c r="C144" s="3" t="s">
        <v>1742</v>
      </c>
      <c r="D144" s="3" t="n">
        <v>16</v>
      </c>
      <c r="E144" s="3" t="n">
        <v>16</v>
      </c>
      <c r="F144" s="3" t="n">
        <v>11</v>
      </c>
      <c r="G144" s="3" t="n">
        <v>5</v>
      </c>
      <c r="H144" s="3" t="s">
        <v>1743</v>
      </c>
      <c r="I144" s="3" t="s">
        <v>1888</v>
      </c>
      <c r="J144" s="3" t="s">
        <v>1745</v>
      </c>
    </row>
    <row r="145" customFormat="false" ht="15" hidden="false" customHeight="false" outlineLevel="0" collapsed="false">
      <c r="A145" s="3" t="s">
        <v>915</v>
      </c>
      <c r="B145" s="3" t="n">
        <v>2421</v>
      </c>
      <c r="C145" s="3" t="s">
        <v>1742</v>
      </c>
      <c r="D145" s="3" t="n">
        <v>7</v>
      </c>
      <c r="E145" s="3" t="n">
        <v>7</v>
      </c>
      <c r="F145" s="3" t="n">
        <v>4</v>
      </c>
      <c r="G145" s="3" t="n">
        <v>3</v>
      </c>
      <c r="H145" s="3" t="s">
        <v>1743</v>
      </c>
      <c r="I145" s="3" t="s">
        <v>1889</v>
      </c>
      <c r="J145" s="3" t="s">
        <v>1745</v>
      </c>
    </row>
    <row r="146" customFormat="false" ht="15" hidden="false" customHeight="false" outlineLevel="0" collapsed="false">
      <c r="A146" s="3" t="s">
        <v>929</v>
      </c>
      <c r="B146" s="3" t="n">
        <v>2423</v>
      </c>
      <c r="C146" s="3" t="s">
        <v>1742</v>
      </c>
      <c r="D146" s="3" t="n">
        <v>7</v>
      </c>
      <c r="E146" s="3" t="n">
        <v>7</v>
      </c>
      <c r="F146" s="3" t="n">
        <v>6</v>
      </c>
      <c r="G146" s="3" t="n">
        <v>1</v>
      </c>
      <c r="H146" s="3" t="s">
        <v>1743</v>
      </c>
      <c r="I146" s="3" t="s">
        <v>1890</v>
      </c>
      <c r="J146" s="3" t="s">
        <v>1745</v>
      </c>
    </row>
    <row r="147" customFormat="false" ht="15" hidden="false" customHeight="false" outlineLevel="0" collapsed="false">
      <c r="A147" s="3" t="s">
        <v>939</v>
      </c>
      <c r="B147" s="3" t="n">
        <v>2425</v>
      </c>
      <c r="C147" s="3" t="s">
        <v>1742</v>
      </c>
      <c r="D147" s="3" t="n">
        <v>3</v>
      </c>
      <c r="E147" s="3" t="n">
        <v>3</v>
      </c>
      <c r="F147" s="3" t="n">
        <v>3</v>
      </c>
      <c r="G147" s="3" t="n">
        <v>0</v>
      </c>
      <c r="H147" s="3" t="s">
        <v>1743</v>
      </c>
      <c r="I147" s="3" t="s">
        <v>1891</v>
      </c>
      <c r="J147" s="3" t="s">
        <v>1745</v>
      </c>
    </row>
    <row r="148" customFormat="false" ht="15" hidden="false" customHeight="false" outlineLevel="0" collapsed="false">
      <c r="A148" s="3" t="s">
        <v>943</v>
      </c>
      <c r="B148" s="3" t="n">
        <v>2424</v>
      </c>
      <c r="C148" s="3" t="s">
        <v>1742</v>
      </c>
      <c r="D148" s="3" t="n">
        <v>26</v>
      </c>
      <c r="E148" s="3" t="n">
        <v>26</v>
      </c>
      <c r="F148" s="3" t="n">
        <v>26</v>
      </c>
      <c r="G148" s="3" t="n">
        <v>0</v>
      </c>
      <c r="H148" s="3" t="s">
        <v>1743</v>
      </c>
      <c r="I148" s="3" t="s">
        <v>1892</v>
      </c>
      <c r="J148" s="3" t="s">
        <v>1745</v>
      </c>
    </row>
    <row r="149" customFormat="false" ht="15" hidden="false" customHeight="false" outlineLevel="0" collapsed="false">
      <c r="A149" s="3" t="s">
        <v>970</v>
      </c>
      <c r="B149" s="3" t="n">
        <v>2424</v>
      </c>
      <c r="C149" s="3" t="s">
        <v>1742</v>
      </c>
      <c r="D149" s="3" t="n">
        <v>5</v>
      </c>
      <c r="E149" s="3" t="n">
        <v>5</v>
      </c>
      <c r="F149" s="3" t="n">
        <v>5</v>
      </c>
      <c r="G149" s="3" t="n">
        <v>0</v>
      </c>
      <c r="H149" s="3" t="s">
        <v>1743</v>
      </c>
      <c r="I149" s="3" t="s">
        <v>1893</v>
      </c>
      <c r="J149" s="3" t="s">
        <v>1745</v>
      </c>
    </row>
    <row r="150" customFormat="false" ht="15" hidden="false" customHeight="false" outlineLevel="0" collapsed="false">
      <c r="A150" s="3" t="s">
        <v>976</v>
      </c>
      <c r="B150" s="3" t="n">
        <v>2423</v>
      </c>
      <c r="C150" s="3" t="s">
        <v>1742</v>
      </c>
      <c r="D150" s="3" t="n">
        <v>8</v>
      </c>
      <c r="E150" s="3" t="n">
        <v>8</v>
      </c>
      <c r="F150" s="3" t="n">
        <v>7</v>
      </c>
      <c r="G150" s="3" t="n">
        <v>1</v>
      </c>
      <c r="H150" s="3" t="s">
        <v>1743</v>
      </c>
      <c r="I150" s="3" t="s">
        <v>1894</v>
      </c>
      <c r="J150" s="3" t="s">
        <v>1745</v>
      </c>
    </row>
    <row r="151" customFormat="false" ht="15" hidden="false" customHeight="false" outlineLevel="0" collapsed="false">
      <c r="A151" s="3" t="s">
        <v>1895</v>
      </c>
      <c r="B151" s="3" t="n">
        <v>2427</v>
      </c>
      <c r="C151" s="3" t="s">
        <v>1742</v>
      </c>
      <c r="D151" s="3" t="n">
        <v>0</v>
      </c>
      <c r="E151" s="3" t="n">
        <v>0</v>
      </c>
      <c r="F151" s="3" t="n">
        <v>0</v>
      </c>
      <c r="G151" s="3" t="n">
        <v>0</v>
      </c>
      <c r="H151" s="3" t="s">
        <v>1743</v>
      </c>
      <c r="I151" s="3" t="s">
        <v>1896</v>
      </c>
      <c r="J151" s="3" t="s">
        <v>1745</v>
      </c>
    </row>
    <row r="152" customFormat="false" ht="15" hidden="false" customHeight="false" outlineLevel="0" collapsed="false">
      <c r="A152" s="3" t="s">
        <v>987</v>
      </c>
      <c r="B152" s="3" t="n">
        <v>2429</v>
      </c>
      <c r="C152" s="3" t="s">
        <v>1742</v>
      </c>
      <c r="D152" s="3" t="n">
        <v>17</v>
      </c>
      <c r="E152" s="3" t="n">
        <v>17</v>
      </c>
      <c r="F152" s="3" t="n">
        <v>17</v>
      </c>
      <c r="G152" s="3" t="n">
        <v>0</v>
      </c>
      <c r="H152" s="3" t="s">
        <v>1743</v>
      </c>
      <c r="I152" s="3" t="s">
        <v>1897</v>
      </c>
      <c r="J152" s="3" t="s">
        <v>1745</v>
      </c>
    </row>
    <row r="153" customFormat="false" ht="15" hidden="false" customHeight="false" outlineLevel="0" collapsed="false">
      <c r="A153" s="3" t="s">
        <v>1005</v>
      </c>
      <c r="B153" s="3" t="n">
        <v>2429</v>
      </c>
      <c r="C153" s="3" t="s">
        <v>1742</v>
      </c>
      <c r="D153" s="3" t="n">
        <v>4</v>
      </c>
      <c r="E153" s="3" t="n">
        <v>4</v>
      </c>
      <c r="F153" s="3" t="n">
        <v>3</v>
      </c>
      <c r="G153" s="3" t="n">
        <v>1</v>
      </c>
      <c r="H153" s="3" t="s">
        <v>1743</v>
      </c>
      <c r="I153" s="3" t="s">
        <v>1898</v>
      </c>
      <c r="J153" s="3" t="s">
        <v>1745</v>
      </c>
    </row>
    <row r="154" customFormat="false" ht="15" hidden="false" customHeight="false" outlineLevel="0" collapsed="false">
      <c r="A154" s="3" t="s">
        <v>1012</v>
      </c>
      <c r="B154" s="3" t="n">
        <v>2378</v>
      </c>
      <c r="C154" s="3" t="s">
        <v>1742</v>
      </c>
      <c r="D154" s="3" t="n">
        <v>16</v>
      </c>
      <c r="E154" s="3" t="n">
        <v>16</v>
      </c>
      <c r="F154" s="3" t="n">
        <v>13</v>
      </c>
      <c r="G154" s="3" t="n">
        <v>3</v>
      </c>
      <c r="H154" s="3" t="s">
        <v>1743</v>
      </c>
      <c r="I154" s="3" t="s">
        <v>1899</v>
      </c>
      <c r="J154" s="3" t="s">
        <v>1745</v>
      </c>
    </row>
    <row r="155" customFormat="false" ht="15" hidden="false" customHeight="false" outlineLevel="0" collapsed="false">
      <c r="A155" s="3" t="s">
        <v>1035</v>
      </c>
      <c r="B155" s="3" t="n">
        <v>2379</v>
      </c>
      <c r="C155" s="3" t="s">
        <v>1742</v>
      </c>
      <c r="D155" s="3" t="n">
        <v>1</v>
      </c>
      <c r="E155" s="3" t="n">
        <v>1</v>
      </c>
      <c r="F155" s="3" t="n">
        <v>0</v>
      </c>
      <c r="G155" s="3" t="n">
        <v>1</v>
      </c>
      <c r="H155" s="3" t="s">
        <v>1743</v>
      </c>
      <c r="I155" s="3" t="s">
        <v>1900</v>
      </c>
      <c r="J155" s="3" t="s">
        <v>1745</v>
      </c>
    </row>
    <row r="156" customFormat="false" ht="15" hidden="false" customHeight="false" outlineLevel="0" collapsed="false">
      <c r="A156" s="3" t="s">
        <v>1039</v>
      </c>
      <c r="B156" s="3" t="n">
        <v>2378</v>
      </c>
      <c r="C156" s="3" t="s">
        <v>1742</v>
      </c>
      <c r="D156" s="3" t="n">
        <v>3</v>
      </c>
      <c r="E156" s="3" t="n">
        <v>3</v>
      </c>
      <c r="F156" s="3" t="n">
        <v>3</v>
      </c>
      <c r="G156" s="3" t="n">
        <v>0</v>
      </c>
      <c r="H156" s="3" t="s">
        <v>1743</v>
      </c>
      <c r="I156" s="3" t="s">
        <v>1901</v>
      </c>
      <c r="J156" s="3" t="s">
        <v>1745</v>
      </c>
    </row>
    <row r="157" customFormat="false" ht="15" hidden="false" customHeight="false" outlineLevel="0" collapsed="false">
      <c r="A157" s="3" t="s">
        <v>1902</v>
      </c>
      <c r="B157" s="3" t="n">
        <v>2375</v>
      </c>
      <c r="C157" s="3" t="s">
        <v>1742</v>
      </c>
      <c r="D157" s="3" t="n">
        <v>0</v>
      </c>
      <c r="E157" s="3" t="n">
        <v>0</v>
      </c>
      <c r="F157" s="3" t="n">
        <v>0</v>
      </c>
      <c r="G157" s="3" t="n">
        <v>0</v>
      </c>
      <c r="H157" s="3" t="s">
        <v>1743</v>
      </c>
      <c r="I157" s="3" t="s">
        <v>1903</v>
      </c>
      <c r="J157" s="3" t="s">
        <v>1745</v>
      </c>
    </row>
    <row r="158" customFormat="false" ht="15" hidden="false" customHeight="false" outlineLevel="0" collapsed="false">
      <c r="A158" s="3" t="s">
        <v>1904</v>
      </c>
      <c r="B158" s="3" t="n">
        <v>2370</v>
      </c>
      <c r="C158" s="3" t="s">
        <v>1742</v>
      </c>
      <c r="D158" s="3" t="n">
        <v>0</v>
      </c>
      <c r="E158" s="3" t="n">
        <v>0</v>
      </c>
      <c r="F158" s="3" t="n">
        <v>0</v>
      </c>
      <c r="G158" s="3" t="n">
        <v>0</v>
      </c>
      <c r="H158" s="3" t="s">
        <v>1743</v>
      </c>
      <c r="I158" s="3" t="s">
        <v>1905</v>
      </c>
      <c r="J158" s="3" t="s">
        <v>1745</v>
      </c>
    </row>
    <row r="159" customFormat="false" ht="15" hidden="false" customHeight="false" outlineLevel="0" collapsed="false">
      <c r="A159" s="3" t="s">
        <v>1906</v>
      </c>
      <c r="B159" s="3" t="n">
        <v>2365</v>
      </c>
      <c r="C159" s="3" t="s">
        <v>1742</v>
      </c>
      <c r="D159" s="3" t="n">
        <v>0</v>
      </c>
      <c r="E159" s="3" t="n">
        <v>0</v>
      </c>
      <c r="F159" s="3" t="n">
        <v>0</v>
      </c>
      <c r="G159" s="3" t="n">
        <v>0</v>
      </c>
      <c r="H159" s="3" t="s">
        <v>1743</v>
      </c>
      <c r="I159" s="3" t="s">
        <v>1907</v>
      </c>
      <c r="J159" s="3" t="s">
        <v>1745</v>
      </c>
    </row>
    <row r="160" customFormat="false" ht="15" hidden="false" customHeight="false" outlineLevel="0" collapsed="false">
      <c r="A160" s="3" t="s">
        <v>1908</v>
      </c>
      <c r="B160" s="3" t="n">
        <v>2361</v>
      </c>
      <c r="C160" s="3" t="s">
        <v>1742</v>
      </c>
      <c r="D160" s="3" t="n">
        <v>0</v>
      </c>
      <c r="E160" s="3" t="n">
        <v>0</v>
      </c>
      <c r="F160" s="3" t="n">
        <v>0</v>
      </c>
      <c r="G160" s="3" t="n">
        <v>0</v>
      </c>
      <c r="H160" s="3" t="s">
        <v>1743</v>
      </c>
      <c r="I160" s="3" t="s">
        <v>1909</v>
      </c>
      <c r="J160" s="3" t="s">
        <v>1745</v>
      </c>
    </row>
    <row r="161" customFormat="false" ht="15" hidden="false" customHeight="false" outlineLevel="0" collapsed="false">
      <c r="A161" s="3" t="s">
        <v>1910</v>
      </c>
      <c r="B161" s="3" t="n">
        <v>2356</v>
      </c>
      <c r="C161" s="3" t="s">
        <v>1742</v>
      </c>
      <c r="D161" s="3" t="n">
        <v>0</v>
      </c>
      <c r="E161" s="3" t="n">
        <v>0</v>
      </c>
      <c r="F161" s="3" t="n">
        <v>0</v>
      </c>
      <c r="G161" s="3" t="n">
        <v>0</v>
      </c>
      <c r="H161" s="3" t="s">
        <v>1743</v>
      </c>
      <c r="I161" s="3" t="s">
        <v>1911</v>
      </c>
      <c r="J161" s="3" t="s">
        <v>1745</v>
      </c>
    </row>
    <row r="162" customFormat="false" ht="15" hidden="false" customHeight="false" outlineLevel="0" collapsed="false">
      <c r="A162" s="3" t="s">
        <v>1043</v>
      </c>
      <c r="B162" s="3" t="n">
        <v>2357</v>
      </c>
      <c r="C162" s="3" t="s">
        <v>1742</v>
      </c>
      <c r="D162" s="3" t="n">
        <v>2</v>
      </c>
      <c r="E162" s="3" t="n">
        <v>2</v>
      </c>
      <c r="F162" s="3" t="n">
        <v>2</v>
      </c>
      <c r="G162" s="3" t="n">
        <v>0</v>
      </c>
      <c r="H162" s="3" t="s">
        <v>1743</v>
      </c>
      <c r="I162" s="3" t="s">
        <v>1912</v>
      </c>
      <c r="J162" s="3" t="s">
        <v>1745</v>
      </c>
    </row>
    <row r="163" customFormat="false" ht="15" hidden="false" customHeight="false" outlineLevel="0" collapsed="false">
      <c r="A163" s="3" t="s">
        <v>1046</v>
      </c>
      <c r="B163" s="3" t="n">
        <v>2340</v>
      </c>
      <c r="C163" s="3" t="s">
        <v>1742</v>
      </c>
      <c r="D163" s="3" t="n">
        <v>2</v>
      </c>
      <c r="E163" s="3" t="n">
        <v>2</v>
      </c>
      <c r="F163" s="3" t="n">
        <v>2</v>
      </c>
      <c r="G163" s="3" t="n">
        <v>0</v>
      </c>
      <c r="H163" s="3" t="s">
        <v>1743</v>
      </c>
      <c r="I163" s="3" t="s">
        <v>1913</v>
      </c>
      <c r="J163" s="3" t="s">
        <v>1745</v>
      </c>
    </row>
    <row r="164" customFormat="false" ht="15" hidden="false" customHeight="false" outlineLevel="0" collapsed="false">
      <c r="A164" s="3" t="s">
        <v>1049</v>
      </c>
      <c r="B164" s="3" t="n">
        <v>2341</v>
      </c>
      <c r="C164" s="3" t="s">
        <v>1742</v>
      </c>
      <c r="D164" s="3" t="n">
        <v>5</v>
      </c>
      <c r="E164" s="3" t="n">
        <v>5</v>
      </c>
      <c r="F164" s="3" t="n">
        <v>5</v>
      </c>
      <c r="G164" s="3" t="n">
        <v>0</v>
      </c>
      <c r="H164" s="3" t="s">
        <v>1743</v>
      </c>
      <c r="I164" s="3" t="s">
        <v>1914</v>
      </c>
      <c r="J164" s="3" t="s">
        <v>1745</v>
      </c>
    </row>
    <row r="165" customFormat="false" ht="15" hidden="false" customHeight="false" outlineLevel="0" collapsed="false">
      <c r="A165" s="3" t="s">
        <v>1055</v>
      </c>
      <c r="B165" s="3" t="n">
        <v>2341</v>
      </c>
      <c r="C165" s="3" t="s">
        <v>1742</v>
      </c>
      <c r="D165" s="3" t="n">
        <v>2</v>
      </c>
      <c r="E165" s="3" t="n">
        <v>2</v>
      </c>
      <c r="F165" s="3" t="n">
        <v>2</v>
      </c>
      <c r="G165" s="3" t="n">
        <v>0</v>
      </c>
      <c r="H165" s="3" t="s">
        <v>1743</v>
      </c>
      <c r="I165" s="3" t="s">
        <v>1915</v>
      </c>
      <c r="J165" s="3" t="s">
        <v>1745</v>
      </c>
    </row>
    <row r="166" customFormat="false" ht="15" hidden="false" customHeight="false" outlineLevel="0" collapsed="false">
      <c r="A166" s="3" t="s">
        <v>1058</v>
      </c>
      <c r="B166" s="3" t="n">
        <v>2342</v>
      </c>
      <c r="C166" s="3" t="s">
        <v>1742</v>
      </c>
      <c r="D166" s="3" t="n">
        <v>11</v>
      </c>
      <c r="E166" s="3" t="n">
        <v>11</v>
      </c>
      <c r="F166" s="3" t="n">
        <v>9</v>
      </c>
      <c r="G166" s="3" t="n">
        <v>2</v>
      </c>
      <c r="H166" s="3" t="s">
        <v>1743</v>
      </c>
      <c r="I166" s="3" t="s">
        <v>1916</v>
      </c>
      <c r="J166" s="3" t="s">
        <v>1745</v>
      </c>
    </row>
    <row r="167" customFormat="false" ht="15" hidden="false" customHeight="false" outlineLevel="0" collapsed="false">
      <c r="A167" s="3" t="s">
        <v>1074</v>
      </c>
      <c r="B167" s="3" t="n">
        <v>2342</v>
      </c>
      <c r="C167" s="3" t="s">
        <v>1742</v>
      </c>
      <c r="D167" s="3" t="n">
        <v>6</v>
      </c>
      <c r="E167" s="3" t="n">
        <v>6</v>
      </c>
      <c r="F167" s="3" t="n">
        <v>6</v>
      </c>
      <c r="G167" s="3" t="n">
        <v>0</v>
      </c>
      <c r="H167" s="3" t="s">
        <v>1743</v>
      </c>
      <c r="I167" s="3" t="s">
        <v>1917</v>
      </c>
      <c r="J167" s="3" t="s">
        <v>1745</v>
      </c>
    </row>
    <row r="168" customFormat="false" ht="15" hidden="false" customHeight="false" outlineLevel="0" collapsed="false">
      <c r="A168" s="3" t="s">
        <v>1081</v>
      </c>
      <c r="B168" s="3" t="n">
        <v>2337</v>
      </c>
      <c r="C168" s="3" t="s">
        <v>1742</v>
      </c>
      <c r="D168" s="3" t="n">
        <v>2</v>
      </c>
      <c r="E168" s="3" t="n">
        <v>2</v>
      </c>
      <c r="F168" s="3" t="n">
        <v>2</v>
      </c>
      <c r="G168" s="3" t="n">
        <v>0</v>
      </c>
      <c r="H168" s="3" t="s">
        <v>1743</v>
      </c>
      <c r="I168" s="3" t="s">
        <v>1918</v>
      </c>
      <c r="J168" s="3" t="s">
        <v>1745</v>
      </c>
    </row>
    <row r="169" customFormat="false" ht="15" hidden="false" customHeight="false" outlineLevel="0" collapsed="false">
      <c r="A169" s="3" t="s">
        <v>1084</v>
      </c>
      <c r="B169" s="3" t="n">
        <v>2338</v>
      </c>
      <c r="C169" s="3" t="s">
        <v>1742</v>
      </c>
      <c r="D169" s="3" t="n">
        <v>3</v>
      </c>
      <c r="E169" s="3" t="n">
        <v>3</v>
      </c>
      <c r="F169" s="3" t="n">
        <v>3</v>
      </c>
      <c r="G169" s="3" t="n">
        <v>0</v>
      </c>
      <c r="H169" s="3" t="s">
        <v>1743</v>
      </c>
      <c r="I169" s="3" t="s">
        <v>1919</v>
      </c>
      <c r="J169" s="3" t="s">
        <v>1745</v>
      </c>
    </row>
    <row r="170" customFormat="false" ht="15" hidden="false" customHeight="false" outlineLevel="0" collapsed="false">
      <c r="A170" s="3" t="s">
        <v>1088</v>
      </c>
      <c r="B170" s="3" t="n">
        <v>2334</v>
      </c>
      <c r="C170" s="3" t="s">
        <v>1742</v>
      </c>
      <c r="D170" s="3" t="n">
        <v>1</v>
      </c>
      <c r="E170" s="3" t="n">
        <v>1</v>
      </c>
      <c r="F170" s="3" t="n">
        <v>1</v>
      </c>
      <c r="G170" s="3" t="n">
        <v>0</v>
      </c>
      <c r="H170" s="3" t="s">
        <v>1743</v>
      </c>
      <c r="I170" s="3" t="s">
        <v>1920</v>
      </c>
      <c r="J170" s="3" t="s">
        <v>1745</v>
      </c>
    </row>
    <row r="171" customFormat="false" ht="15" hidden="false" customHeight="false" outlineLevel="0" collapsed="false">
      <c r="A171" s="3" t="s">
        <v>1090</v>
      </c>
      <c r="B171" s="3" t="n">
        <v>2328</v>
      </c>
      <c r="C171" s="3" t="s">
        <v>1742</v>
      </c>
      <c r="D171" s="3" t="n">
        <v>7</v>
      </c>
      <c r="E171" s="3" t="n">
        <v>7</v>
      </c>
      <c r="F171" s="3" t="n">
        <v>7</v>
      </c>
      <c r="G171" s="3" t="n">
        <v>0</v>
      </c>
      <c r="H171" s="3" t="s">
        <v>1743</v>
      </c>
      <c r="I171" s="3" t="s">
        <v>1921</v>
      </c>
      <c r="J171" s="3" t="s">
        <v>1745</v>
      </c>
    </row>
    <row r="172" customFormat="false" ht="15" hidden="false" customHeight="false" outlineLevel="0" collapsed="false">
      <c r="A172" s="3" t="s">
        <v>1098</v>
      </c>
      <c r="B172" s="3" t="n">
        <v>2324</v>
      </c>
      <c r="C172" s="3" t="s">
        <v>1742</v>
      </c>
      <c r="D172" s="3" t="n">
        <v>3</v>
      </c>
      <c r="E172" s="3" t="n">
        <v>3</v>
      </c>
      <c r="F172" s="3" t="n">
        <v>3</v>
      </c>
      <c r="G172" s="3" t="n">
        <v>0</v>
      </c>
      <c r="H172" s="3" t="s">
        <v>1743</v>
      </c>
      <c r="I172" s="3" t="s">
        <v>1922</v>
      </c>
      <c r="J172" s="3" t="s">
        <v>1745</v>
      </c>
    </row>
    <row r="173" customFormat="false" ht="15" hidden="false" customHeight="false" outlineLevel="0" collapsed="false">
      <c r="A173" s="3" t="s">
        <v>1102</v>
      </c>
      <c r="B173" s="3" t="n">
        <v>2317</v>
      </c>
      <c r="C173" s="3" t="s">
        <v>1742</v>
      </c>
      <c r="D173" s="3" t="n">
        <v>2</v>
      </c>
      <c r="E173" s="3" t="n">
        <v>2</v>
      </c>
      <c r="F173" s="3" t="n">
        <v>2</v>
      </c>
      <c r="G173" s="3" t="n">
        <v>0</v>
      </c>
      <c r="H173" s="3" t="s">
        <v>1743</v>
      </c>
      <c r="I173" s="3" t="s">
        <v>1923</v>
      </c>
      <c r="J173" s="3" t="s">
        <v>1745</v>
      </c>
    </row>
    <row r="174" customFormat="false" ht="15" hidden="false" customHeight="false" outlineLevel="0" collapsed="false">
      <c r="A174" s="3" t="s">
        <v>1105</v>
      </c>
      <c r="B174" s="3" t="n">
        <v>2315</v>
      </c>
      <c r="C174" s="3" t="s">
        <v>1742</v>
      </c>
      <c r="D174" s="3" t="n">
        <v>1</v>
      </c>
      <c r="E174" s="3" t="n">
        <v>1</v>
      </c>
      <c r="F174" s="3" t="n">
        <v>1</v>
      </c>
      <c r="G174" s="3" t="n">
        <v>0</v>
      </c>
      <c r="H174" s="3" t="s">
        <v>1743</v>
      </c>
      <c r="I174" s="3" t="s">
        <v>1924</v>
      </c>
      <c r="J174" s="3" t="s">
        <v>1745</v>
      </c>
    </row>
    <row r="175" customFormat="false" ht="15" hidden="false" customHeight="false" outlineLevel="0" collapsed="false">
      <c r="A175" s="3" t="s">
        <v>1107</v>
      </c>
      <c r="B175" s="3" t="n">
        <v>2447</v>
      </c>
      <c r="C175" s="3" t="s">
        <v>1742</v>
      </c>
      <c r="D175" s="3" t="n">
        <v>5</v>
      </c>
      <c r="E175" s="3" t="n">
        <v>5</v>
      </c>
      <c r="F175" s="3" t="n">
        <v>5</v>
      </c>
      <c r="G175" s="3" t="n">
        <v>0</v>
      </c>
      <c r="H175" s="3" t="s">
        <v>1743</v>
      </c>
      <c r="I175" s="3" t="s">
        <v>1925</v>
      </c>
      <c r="J175" s="3" t="s">
        <v>1745</v>
      </c>
    </row>
    <row r="176" customFormat="false" ht="15" hidden="false" customHeight="false" outlineLevel="0" collapsed="false">
      <c r="A176" s="3" t="s">
        <v>1113</v>
      </c>
      <c r="B176" s="3" t="n">
        <v>2453</v>
      </c>
      <c r="C176" s="3" t="s">
        <v>1742</v>
      </c>
      <c r="D176" s="3" t="n">
        <v>3</v>
      </c>
      <c r="E176" s="3" t="n">
        <v>3</v>
      </c>
      <c r="F176" s="3" t="n">
        <v>3</v>
      </c>
      <c r="G176" s="3" t="n">
        <v>0</v>
      </c>
      <c r="H176" s="3" t="s">
        <v>1743</v>
      </c>
      <c r="I176" s="3" t="s">
        <v>1926</v>
      </c>
      <c r="J176" s="3" t="s">
        <v>1745</v>
      </c>
    </row>
    <row r="177" customFormat="false" ht="15" hidden="false" customHeight="false" outlineLevel="0" collapsed="false">
      <c r="A177" s="3" t="s">
        <v>1927</v>
      </c>
      <c r="B177" s="3" t="n">
        <v>2451</v>
      </c>
      <c r="C177" s="3" t="s">
        <v>1742</v>
      </c>
      <c r="D177" s="3" t="n">
        <v>0</v>
      </c>
      <c r="E177" s="3" t="n">
        <v>0</v>
      </c>
      <c r="F177" s="3" t="n">
        <v>0</v>
      </c>
      <c r="G177" s="3" t="n">
        <v>0</v>
      </c>
      <c r="H177" s="3" t="s">
        <v>1743</v>
      </c>
      <c r="I177" s="3" t="s">
        <v>1928</v>
      </c>
      <c r="J177" s="3" t="s">
        <v>1745</v>
      </c>
    </row>
    <row r="178" customFormat="false" ht="15" hidden="false" customHeight="false" outlineLevel="0" collapsed="false">
      <c r="A178" s="3" t="s">
        <v>1929</v>
      </c>
      <c r="B178" s="3" t="n">
        <v>2453</v>
      </c>
      <c r="C178" s="3" t="s">
        <v>1742</v>
      </c>
      <c r="D178" s="3" t="n">
        <v>0</v>
      </c>
      <c r="E178" s="3" t="n">
        <v>0</v>
      </c>
      <c r="F178" s="3" t="n">
        <v>0</v>
      </c>
      <c r="G178" s="3" t="n">
        <v>0</v>
      </c>
      <c r="H178" s="3" t="s">
        <v>1743</v>
      </c>
      <c r="I178" s="3" t="s">
        <v>1930</v>
      </c>
      <c r="J178" s="3" t="s">
        <v>1745</v>
      </c>
    </row>
    <row r="179" customFormat="false" ht="15" hidden="false" customHeight="false" outlineLevel="0" collapsed="false">
      <c r="A179" s="3" t="s">
        <v>1931</v>
      </c>
      <c r="B179" s="3" t="n">
        <v>2454</v>
      </c>
      <c r="C179" s="3" t="s">
        <v>1742</v>
      </c>
      <c r="D179" s="3" t="n">
        <v>0</v>
      </c>
      <c r="E179" s="3" t="n">
        <v>0</v>
      </c>
      <c r="F179" s="3" t="n">
        <v>0</v>
      </c>
      <c r="G179" s="3" t="n">
        <v>0</v>
      </c>
      <c r="H179" s="3" t="s">
        <v>1743</v>
      </c>
      <c r="I179" s="3" t="s">
        <v>1932</v>
      </c>
      <c r="J179" s="3" t="s">
        <v>1745</v>
      </c>
    </row>
    <row r="180" customFormat="false" ht="15" hidden="false" customHeight="false" outlineLevel="0" collapsed="false">
      <c r="A180" s="3" t="s">
        <v>1933</v>
      </c>
      <c r="B180" s="3" t="n">
        <v>2453</v>
      </c>
      <c r="C180" s="3" t="s">
        <v>1742</v>
      </c>
      <c r="D180" s="3" t="n">
        <v>0</v>
      </c>
      <c r="E180" s="3" t="n">
        <v>0</v>
      </c>
      <c r="F180" s="3" t="n">
        <v>0</v>
      </c>
      <c r="G180" s="3" t="n">
        <v>0</v>
      </c>
      <c r="H180" s="3" t="s">
        <v>1743</v>
      </c>
      <c r="I180" s="3" t="s">
        <v>1930</v>
      </c>
      <c r="J180" s="3" t="s">
        <v>1745</v>
      </c>
    </row>
    <row r="181" customFormat="false" ht="15" hidden="false" customHeight="false" outlineLevel="0" collapsed="false">
      <c r="A181" s="3" t="s">
        <v>1117</v>
      </c>
      <c r="B181" s="3" t="n">
        <v>2451</v>
      </c>
      <c r="C181" s="3" t="s">
        <v>1742</v>
      </c>
      <c r="D181" s="3" t="n">
        <v>5</v>
      </c>
      <c r="E181" s="3" t="n">
        <v>5</v>
      </c>
      <c r="F181" s="3" t="n">
        <v>2</v>
      </c>
      <c r="G181" s="3" t="n">
        <v>3</v>
      </c>
      <c r="H181" s="3" t="s">
        <v>1743</v>
      </c>
      <c r="I181" s="3" t="s">
        <v>1934</v>
      </c>
      <c r="J181" s="3" t="s">
        <v>1745</v>
      </c>
    </row>
    <row r="182" customFormat="false" ht="15" hidden="false" customHeight="false" outlineLevel="0" collapsed="false">
      <c r="A182" s="3" t="s">
        <v>1129</v>
      </c>
      <c r="B182" s="3" t="n">
        <v>2447</v>
      </c>
      <c r="C182" s="3" t="s">
        <v>1742</v>
      </c>
      <c r="D182" s="3" t="n">
        <v>14</v>
      </c>
      <c r="E182" s="3" t="n">
        <v>14</v>
      </c>
      <c r="F182" s="3" t="n">
        <v>11</v>
      </c>
      <c r="G182" s="3" t="n">
        <v>3</v>
      </c>
      <c r="H182" s="3" t="s">
        <v>1743</v>
      </c>
      <c r="I182" s="3" t="s">
        <v>1935</v>
      </c>
      <c r="J182" s="3" t="s">
        <v>1745</v>
      </c>
    </row>
    <row r="183" customFormat="false" ht="15" hidden="false" customHeight="false" outlineLevel="0" collapsed="false">
      <c r="A183" s="3" t="s">
        <v>1150</v>
      </c>
      <c r="B183" s="3" t="n">
        <v>2450</v>
      </c>
      <c r="C183" s="3" t="s">
        <v>1742</v>
      </c>
      <c r="D183" s="3" t="n">
        <v>2</v>
      </c>
      <c r="E183" s="3" t="n">
        <v>2</v>
      </c>
      <c r="F183" s="3" t="n">
        <v>1</v>
      </c>
      <c r="G183" s="3" t="n">
        <v>1</v>
      </c>
      <c r="H183" s="3" t="s">
        <v>1743</v>
      </c>
      <c r="I183" s="3" t="s">
        <v>1936</v>
      </c>
      <c r="J183" s="3" t="s">
        <v>1745</v>
      </c>
    </row>
    <row r="184" customFormat="false" ht="15" hidden="false" customHeight="false" outlineLevel="0" collapsed="false">
      <c r="A184" s="3" t="s">
        <v>1155</v>
      </c>
      <c r="B184" s="3" t="n">
        <v>2447</v>
      </c>
      <c r="C184" s="3" t="s">
        <v>1742</v>
      </c>
      <c r="D184" s="3" t="n">
        <v>5</v>
      </c>
      <c r="E184" s="3" t="n">
        <v>5</v>
      </c>
      <c r="F184" s="3" t="n">
        <v>5</v>
      </c>
      <c r="G184" s="3" t="n">
        <v>0</v>
      </c>
      <c r="H184" s="3" t="s">
        <v>1743</v>
      </c>
      <c r="I184" s="3" t="s">
        <v>1925</v>
      </c>
      <c r="J184" s="3" t="s">
        <v>1745</v>
      </c>
    </row>
    <row r="185" customFormat="false" ht="15" hidden="false" customHeight="false" outlineLevel="0" collapsed="false">
      <c r="A185" s="3" t="s">
        <v>1161</v>
      </c>
      <c r="B185" s="3" t="n">
        <v>2444</v>
      </c>
      <c r="C185" s="3" t="s">
        <v>1742</v>
      </c>
      <c r="D185" s="3" t="n">
        <v>2</v>
      </c>
      <c r="E185" s="3" t="n">
        <v>2</v>
      </c>
      <c r="F185" s="3" t="n">
        <v>2</v>
      </c>
      <c r="G185" s="3" t="n">
        <v>0</v>
      </c>
      <c r="H185" s="3" t="s">
        <v>1743</v>
      </c>
      <c r="I185" s="3" t="s">
        <v>1937</v>
      </c>
      <c r="J185" s="3" t="s">
        <v>1745</v>
      </c>
    </row>
    <row r="186" customFormat="false" ht="15" hidden="false" customHeight="false" outlineLevel="0" collapsed="false">
      <c r="A186" s="3" t="s">
        <v>1938</v>
      </c>
      <c r="B186" s="3" t="n">
        <v>2443</v>
      </c>
      <c r="C186" s="3" t="s">
        <v>1742</v>
      </c>
      <c r="D186" s="3" t="n">
        <v>0</v>
      </c>
      <c r="E186" s="3" t="n">
        <v>0</v>
      </c>
      <c r="F186" s="3" t="n">
        <v>0</v>
      </c>
      <c r="G186" s="3" t="n">
        <v>0</v>
      </c>
      <c r="H186" s="3" t="s">
        <v>1743</v>
      </c>
      <c r="I186" s="3" t="s">
        <v>1939</v>
      </c>
      <c r="J186" s="3" t="s">
        <v>1745</v>
      </c>
    </row>
    <row r="187" customFormat="false" ht="15" hidden="false" customHeight="false" outlineLevel="0" collapsed="false">
      <c r="A187" s="3" t="s">
        <v>1164</v>
      </c>
      <c r="B187" s="3" t="n">
        <v>2435</v>
      </c>
      <c r="C187" s="3" t="s">
        <v>1742</v>
      </c>
      <c r="D187" s="3" t="n">
        <v>3</v>
      </c>
      <c r="E187" s="3" t="n">
        <v>3</v>
      </c>
      <c r="F187" s="3" t="n">
        <v>3</v>
      </c>
      <c r="G187" s="3" t="n">
        <v>0</v>
      </c>
      <c r="H187" s="3" t="s">
        <v>1743</v>
      </c>
      <c r="I187" s="3" t="s">
        <v>1940</v>
      </c>
      <c r="J187" s="3" t="s">
        <v>1745</v>
      </c>
    </row>
    <row r="188" customFormat="false" ht="15" hidden="false" customHeight="false" outlineLevel="0" collapsed="false">
      <c r="A188" s="3" t="s">
        <v>1941</v>
      </c>
      <c r="B188" s="3" t="n">
        <v>2437</v>
      </c>
      <c r="C188" s="3" t="s">
        <v>1742</v>
      </c>
      <c r="D188" s="3" t="n">
        <v>0</v>
      </c>
      <c r="E188" s="3" t="n">
        <v>0</v>
      </c>
      <c r="F188" s="3" t="n">
        <v>0</v>
      </c>
      <c r="G188" s="3" t="n">
        <v>0</v>
      </c>
      <c r="H188" s="3" t="s">
        <v>1743</v>
      </c>
      <c r="I188" s="3" t="s">
        <v>1942</v>
      </c>
      <c r="J188" s="3" t="s">
        <v>1745</v>
      </c>
    </row>
    <row r="189" customFormat="false" ht="15" hidden="false" customHeight="false" outlineLevel="0" collapsed="false">
      <c r="A189" s="3" t="s">
        <v>1168</v>
      </c>
      <c r="B189" s="3" t="n">
        <v>2434</v>
      </c>
      <c r="C189" s="3" t="s">
        <v>1742</v>
      </c>
      <c r="D189" s="3" t="n">
        <v>6</v>
      </c>
      <c r="E189" s="3" t="n">
        <v>6</v>
      </c>
      <c r="F189" s="3" t="n">
        <v>6</v>
      </c>
      <c r="G189" s="3" t="n">
        <v>0</v>
      </c>
      <c r="H189" s="3" t="s">
        <v>1743</v>
      </c>
      <c r="I189" s="3" t="s">
        <v>1943</v>
      </c>
      <c r="J189" s="3" t="s">
        <v>1745</v>
      </c>
    </row>
    <row r="190" customFormat="false" ht="15" hidden="false" customHeight="false" outlineLevel="0" collapsed="false">
      <c r="A190" s="3" t="s">
        <v>1175</v>
      </c>
      <c r="B190" s="3" t="n">
        <v>2431</v>
      </c>
      <c r="C190" s="3" t="s">
        <v>1742</v>
      </c>
      <c r="D190" s="3" t="n">
        <v>1</v>
      </c>
      <c r="E190" s="3" t="n">
        <v>1</v>
      </c>
      <c r="F190" s="3" t="n">
        <v>1</v>
      </c>
      <c r="G190" s="3" t="n">
        <v>0</v>
      </c>
      <c r="H190" s="3" t="s">
        <v>1743</v>
      </c>
      <c r="I190" s="3" t="s">
        <v>1944</v>
      </c>
      <c r="J190" s="3" t="s">
        <v>1745</v>
      </c>
    </row>
    <row r="191" customFormat="false" ht="15" hidden="false" customHeight="false" outlineLevel="0" collapsed="false">
      <c r="A191" s="3" t="s">
        <v>1945</v>
      </c>
      <c r="B191" s="3" t="n">
        <v>2423</v>
      </c>
      <c r="C191" s="3" t="s">
        <v>1742</v>
      </c>
      <c r="D191" s="3" t="n">
        <v>0</v>
      </c>
      <c r="E191" s="3" t="n">
        <v>0</v>
      </c>
      <c r="F191" s="3" t="n">
        <v>0</v>
      </c>
      <c r="G191" s="3" t="n">
        <v>0</v>
      </c>
      <c r="H191" s="3" t="s">
        <v>1743</v>
      </c>
      <c r="I191" s="3" t="s">
        <v>1946</v>
      </c>
      <c r="J191" s="3" t="s">
        <v>1745</v>
      </c>
    </row>
    <row r="192" customFormat="false" ht="15" hidden="false" customHeight="false" outlineLevel="0" collapsed="false">
      <c r="A192" s="3" t="s">
        <v>1177</v>
      </c>
      <c r="B192" s="3" t="n">
        <v>2420</v>
      </c>
      <c r="C192" s="3" t="s">
        <v>1742</v>
      </c>
      <c r="D192" s="3" t="n">
        <v>10</v>
      </c>
      <c r="E192" s="3" t="n">
        <v>10</v>
      </c>
      <c r="F192" s="3" t="n">
        <v>9</v>
      </c>
      <c r="G192" s="3" t="n">
        <v>1</v>
      </c>
      <c r="H192" s="3" t="s">
        <v>1743</v>
      </c>
      <c r="I192" s="3" t="s">
        <v>1947</v>
      </c>
      <c r="J192" s="3" t="s">
        <v>1745</v>
      </c>
    </row>
    <row r="193" customFormat="false" ht="15" hidden="false" customHeight="false" outlineLevel="0" collapsed="false">
      <c r="A193" s="3" t="s">
        <v>1190</v>
      </c>
      <c r="B193" s="3" t="n">
        <v>2418</v>
      </c>
      <c r="C193" s="3" t="s">
        <v>1742</v>
      </c>
      <c r="D193" s="3" t="n">
        <v>13</v>
      </c>
      <c r="E193" s="3" t="n">
        <v>13</v>
      </c>
      <c r="F193" s="3" t="n">
        <v>13</v>
      </c>
      <c r="G193" s="3" t="n">
        <v>0</v>
      </c>
      <c r="H193" s="3" t="s">
        <v>1743</v>
      </c>
      <c r="I193" s="3" t="s">
        <v>1948</v>
      </c>
      <c r="J193" s="3" t="s">
        <v>1745</v>
      </c>
    </row>
    <row r="194" customFormat="false" ht="15" hidden="false" customHeight="false" outlineLevel="0" collapsed="false">
      <c r="A194" s="3" t="s">
        <v>1204</v>
      </c>
      <c r="B194" s="3" t="n">
        <v>2422</v>
      </c>
      <c r="C194" s="3" t="s">
        <v>1742</v>
      </c>
      <c r="D194" s="3" t="n">
        <v>3</v>
      </c>
      <c r="E194" s="3" t="n">
        <v>3</v>
      </c>
      <c r="F194" s="3" t="n">
        <v>3</v>
      </c>
      <c r="G194" s="3" t="n">
        <v>0</v>
      </c>
      <c r="H194" s="3" t="s">
        <v>1743</v>
      </c>
      <c r="I194" s="3" t="s">
        <v>1949</v>
      </c>
      <c r="J194" s="3" t="s">
        <v>1745</v>
      </c>
    </row>
    <row r="195" customFormat="false" ht="15" hidden="false" customHeight="false" outlineLevel="0" collapsed="false">
      <c r="A195" s="3" t="s">
        <v>1208</v>
      </c>
      <c r="B195" s="3" t="n">
        <v>2418</v>
      </c>
      <c r="C195" s="3" t="s">
        <v>1742</v>
      </c>
      <c r="D195" s="3" t="n">
        <v>6</v>
      </c>
      <c r="E195" s="3" t="n">
        <v>6</v>
      </c>
      <c r="F195" s="3" t="n">
        <v>6</v>
      </c>
      <c r="G195" s="3" t="n">
        <v>0</v>
      </c>
      <c r="H195" s="3" t="s">
        <v>1743</v>
      </c>
      <c r="I195" s="3" t="s">
        <v>1950</v>
      </c>
      <c r="J195" s="3" t="s">
        <v>1745</v>
      </c>
    </row>
    <row r="196" customFormat="false" ht="15" hidden="false" customHeight="false" outlineLevel="0" collapsed="false">
      <c r="A196" s="3" t="s">
        <v>1215</v>
      </c>
      <c r="B196" s="3" t="n">
        <v>2409</v>
      </c>
      <c r="C196" s="3" t="s">
        <v>1742</v>
      </c>
      <c r="D196" s="3" t="n">
        <v>2</v>
      </c>
      <c r="E196" s="3" t="n">
        <v>2</v>
      </c>
      <c r="F196" s="3" t="n">
        <v>2</v>
      </c>
      <c r="G196" s="3" t="n">
        <v>0</v>
      </c>
      <c r="H196" s="3" t="s">
        <v>1743</v>
      </c>
      <c r="I196" s="3" t="s">
        <v>1951</v>
      </c>
      <c r="J196" s="3" t="s">
        <v>1745</v>
      </c>
    </row>
    <row r="197" customFormat="false" ht="15" hidden="false" customHeight="false" outlineLevel="0" collapsed="false">
      <c r="A197" s="3" t="s">
        <v>1218</v>
      </c>
      <c r="B197" s="3" t="n">
        <v>2404</v>
      </c>
      <c r="C197" s="3" t="s">
        <v>1742</v>
      </c>
      <c r="D197" s="3" t="n">
        <v>6</v>
      </c>
      <c r="E197" s="3" t="n">
        <v>6</v>
      </c>
      <c r="F197" s="3" t="n">
        <v>5</v>
      </c>
      <c r="G197" s="3" t="n">
        <v>1</v>
      </c>
      <c r="H197" s="3" t="s">
        <v>1743</v>
      </c>
      <c r="I197" s="3" t="s">
        <v>1952</v>
      </c>
      <c r="J197" s="3" t="s">
        <v>1745</v>
      </c>
    </row>
    <row r="198" customFormat="false" ht="15" hidden="false" customHeight="false" outlineLevel="0" collapsed="false">
      <c r="A198" s="3" t="s">
        <v>1227</v>
      </c>
      <c r="B198" s="3" t="n">
        <v>2409</v>
      </c>
      <c r="C198" s="3" t="s">
        <v>1742</v>
      </c>
      <c r="D198" s="3" t="n">
        <v>4</v>
      </c>
      <c r="E198" s="3" t="n">
        <v>4</v>
      </c>
      <c r="F198" s="3" t="n">
        <v>4</v>
      </c>
      <c r="G198" s="3" t="n">
        <v>0</v>
      </c>
      <c r="H198" s="3" t="s">
        <v>1743</v>
      </c>
      <c r="I198" s="3" t="s">
        <v>1953</v>
      </c>
      <c r="J198" s="3" t="s">
        <v>1745</v>
      </c>
    </row>
    <row r="199" customFormat="false" ht="15" hidden="false" customHeight="false" outlineLevel="0" collapsed="false">
      <c r="A199" s="3" t="s">
        <v>1232</v>
      </c>
      <c r="B199" s="3" t="n">
        <v>2404</v>
      </c>
      <c r="C199" s="3" t="s">
        <v>1742</v>
      </c>
      <c r="D199" s="3" t="n">
        <v>1</v>
      </c>
      <c r="E199" s="3" t="n">
        <v>1</v>
      </c>
      <c r="F199" s="3" t="n">
        <v>1</v>
      </c>
      <c r="G199" s="3" t="n">
        <v>0</v>
      </c>
      <c r="H199" s="3" t="s">
        <v>1743</v>
      </c>
      <c r="I199" s="3" t="s">
        <v>1871</v>
      </c>
      <c r="J199" s="3" t="s">
        <v>1745</v>
      </c>
    </row>
    <row r="200" customFormat="false" ht="15" hidden="false" customHeight="false" outlineLevel="0" collapsed="false">
      <c r="A200" s="3" t="s">
        <v>1954</v>
      </c>
      <c r="B200" s="3" t="n">
        <v>2401</v>
      </c>
      <c r="C200" s="3" t="s">
        <v>1742</v>
      </c>
      <c r="D200" s="3" t="n">
        <v>0</v>
      </c>
      <c r="E200" s="3" t="n">
        <v>0</v>
      </c>
      <c r="F200" s="3" t="n">
        <v>0</v>
      </c>
      <c r="G200" s="3" t="n">
        <v>0</v>
      </c>
      <c r="H200" s="3" t="s">
        <v>1743</v>
      </c>
      <c r="I200" s="3" t="s">
        <v>1955</v>
      </c>
      <c r="J200" s="3" t="s">
        <v>1745</v>
      </c>
    </row>
    <row r="201" customFormat="false" ht="15" hidden="false" customHeight="false" outlineLevel="0" collapsed="false">
      <c r="A201" s="3" t="s">
        <v>1956</v>
      </c>
      <c r="B201" s="3" t="n">
        <v>2399</v>
      </c>
      <c r="C201" s="3" t="s">
        <v>1742</v>
      </c>
      <c r="D201" s="3" t="n">
        <v>0</v>
      </c>
      <c r="E201" s="3" t="n">
        <v>0</v>
      </c>
      <c r="F201" s="3" t="n">
        <v>0</v>
      </c>
      <c r="G201" s="3" t="n">
        <v>0</v>
      </c>
      <c r="H201" s="3" t="s">
        <v>1743</v>
      </c>
      <c r="I201" s="3" t="s">
        <v>1957</v>
      </c>
      <c r="J201" s="3" t="s">
        <v>1745</v>
      </c>
    </row>
    <row r="202" customFormat="false" ht="15" hidden="false" customHeight="false" outlineLevel="0" collapsed="false">
      <c r="A202" s="3" t="s">
        <v>1958</v>
      </c>
      <c r="B202" s="3" t="n">
        <v>2396</v>
      </c>
      <c r="C202" s="3" t="s">
        <v>1742</v>
      </c>
      <c r="D202" s="3" t="n">
        <v>0</v>
      </c>
      <c r="E202" s="3" t="n">
        <v>0</v>
      </c>
      <c r="F202" s="3" t="n">
        <v>0</v>
      </c>
      <c r="G202" s="3" t="n">
        <v>0</v>
      </c>
      <c r="H202" s="3" t="s">
        <v>1743</v>
      </c>
      <c r="I202" s="3" t="s">
        <v>1859</v>
      </c>
      <c r="J202" s="3" t="s">
        <v>1745</v>
      </c>
    </row>
    <row r="203" customFormat="false" ht="15" hidden="false" customHeight="false" outlineLevel="0" collapsed="false">
      <c r="A203" s="3" t="s">
        <v>1234</v>
      </c>
      <c r="B203" s="3" t="n">
        <v>2394</v>
      </c>
      <c r="C203" s="3" t="s">
        <v>1742</v>
      </c>
      <c r="D203" s="3" t="n">
        <v>2</v>
      </c>
      <c r="E203" s="3" t="n">
        <v>2</v>
      </c>
      <c r="F203" s="3" t="n">
        <v>2</v>
      </c>
      <c r="G203" s="3" t="n">
        <v>0</v>
      </c>
      <c r="H203" s="3" t="s">
        <v>1743</v>
      </c>
      <c r="I203" s="3" t="s">
        <v>1852</v>
      </c>
      <c r="J203" s="3" t="s">
        <v>1745</v>
      </c>
    </row>
    <row r="204" customFormat="false" ht="15" hidden="false" customHeight="false" outlineLevel="0" collapsed="false">
      <c r="A204" s="3" t="s">
        <v>1237</v>
      </c>
      <c r="B204" s="3" t="n">
        <v>2391</v>
      </c>
      <c r="C204" s="3" t="s">
        <v>1742</v>
      </c>
      <c r="D204" s="3" t="n">
        <v>4</v>
      </c>
      <c r="E204" s="3" t="n">
        <v>4</v>
      </c>
      <c r="F204" s="3" t="n">
        <v>4</v>
      </c>
      <c r="G204" s="3" t="n">
        <v>0</v>
      </c>
      <c r="H204" s="3" t="s">
        <v>1743</v>
      </c>
      <c r="I204" s="3" t="s">
        <v>1959</v>
      </c>
      <c r="J204" s="3" t="s">
        <v>1745</v>
      </c>
    </row>
    <row r="205" customFormat="false" ht="15" hidden="false" customHeight="false" outlineLevel="0" collapsed="false">
      <c r="A205" s="3" t="s">
        <v>1242</v>
      </c>
      <c r="B205" s="3" t="n">
        <v>2381</v>
      </c>
      <c r="C205" s="3" t="s">
        <v>1742</v>
      </c>
      <c r="D205" s="3" t="n">
        <v>8</v>
      </c>
      <c r="E205" s="3" t="n">
        <v>8</v>
      </c>
      <c r="F205" s="3" t="n">
        <v>8</v>
      </c>
      <c r="G205" s="3" t="n">
        <v>0</v>
      </c>
      <c r="H205" s="3" t="s">
        <v>1743</v>
      </c>
      <c r="I205" s="3" t="s">
        <v>1960</v>
      </c>
      <c r="J205" s="3" t="s">
        <v>1745</v>
      </c>
    </row>
    <row r="206" customFormat="false" ht="15" hidden="false" customHeight="false" outlineLevel="0" collapsed="false">
      <c r="A206" s="3" t="s">
        <v>1251</v>
      </c>
      <c r="B206" s="3" t="n">
        <v>2360</v>
      </c>
      <c r="C206" s="3" t="s">
        <v>1742</v>
      </c>
      <c r="D206" s="3" t="n">
        <v>7</v>
      </c>
      <c r="E206" s="3" t="n">
        <v>7</v>
      </c>
      <c r="F206" s="3" t="n">
        <v>6</v>
      </c>
      <c r="G206" s="3" t="n">
        <v>1</v>
      </c>
      <c r="H206" s="3" t="s">
        <v>1743</v>
      </c>
      <c r="I206" s="3" t="s">
        <v>1961</v>
      </c>
      <c r="J206" s="3" t="s">
        <v>1745</v>
      </c>
    </row>
    <row r="207" customFormat="false" ht="15" hidden="false" customHeight="false" outlineLevel="0" collapsed="false">
      <c r="A207" s="3" t="s">
        <v>1261</v>
      </c>
      <c r="B207" s="3" t="n">
        <v>2362</v>
      </c>
      <c r="C207" s="3" t="s">
        <v>1742</v>
      </c>
      <c r="D207" s="3" t="n">
        <v>7</v>
      </c>
      <c r="E207" s="3" t="n">
        <v>7</v>
      </c>
      <c r="F207" s="3" t="n">
        <v>7</v>
      </c>
      <c r="G207" s="3" t="n">
        <v>0</v>
      </c>
      <c r="H207" s="3" t="s">
        <v>1743</v>
      </c>
      <c r="I207" s="3" t="s">
        <v>1962</v>
      </c>
      <c r="J207" s="3" t="s">
        <v>1745</v>
      </c>
    </row>
    <row r="208" customFormat="false" ht="15" hidden="false" customHeight="false" outlineLevel="0" collapsed="false">
      <c r="A208" s="3" t="s">
        <v>1269</v>
      </c>
      <c r="B208" s="3" t="n">
        <v>2359</v>
      </c>
      <c r="C208" s="3" t="s">
        <v>1742</v>
      </c>
      <c r="D208" s="3" t="n">
        <v>5</v>
      </c>
      <c r="E208" s="3" t="n">
        <v>5</v>
      </c>
      <c r="F208" s="3" t="n">
        <v>5</v>
      </c>
      <c r="G208" s="3" t="n">
        <v>0</v>
      </c>
      <c r="H208" s="3" t="s">
        <v>1743</v>
      </c>
      <c r="I208" s="3" t="s">
        <v>1963</v>
      </c>
      <c r="J208" s="3" t="s">
        <v>1745</v>
      </c>
    </row>
    <row r="209" customFormat="false" ht="15" hidden="false" customHeight="false" outlineLevel="0" collapsed="false">
      <c r="A209" s="3" t="s">
        <v>1275</v>
      </c>
      <c r="B209" s="3" t="n">
        <v>2354</v>
      </c>
      <c r="C209" s="3" t="s">
        <v>1742</v>
      </c>
      <c r="D209" s="3" t="n">
        <v>1</v>
      </c>
      <c r="E209" s="3" t="n">
        <v>1</v>
      </c>
      <c r="F209" s="3" t="n">
        <v>1</v>
      </c>
      <c r="G209" s="3" t="n">
        <v>0</v>
      </c>
      <c r="H209" s="3" t="s">
        <v>1743</v>
      </c>
      <c r="I209" s="3" t="s">
        <v>1964</v>
      </c>
      <c r="J209" s="3" t="s">
        <v>1745</v>
      </c>
    </row>
    <row r="210" customFormat="false" ht="15" hidden="false" customHeight="false" outlineLevel="0" collapsed="false">
      <c r="A210" s="3" t="s">
        <v>1277</v>
      </c>
      <c r="B210" s="3" t="n">
        <v>2351</v>
      </c>
      <c r="C210" s="3" t="s">
        <v>1742</v>
      </c>
      <c r="D210" s="3" t="n">
        <v>6</v>
      </c>
      <c r="E210" s="3" t="n">
        <v>6</v>
      </c>
      <c r="F210" s="3" t="n">
        <v>4</v>
      </c>
      <c r="G210" s="3" t="n">
        <v>2</v>
      </c>
      <c r="H210" s="3" t="s">
        <v>1743</v>
      </c>
      <c r="I210" s="3" t="s">
        <v>1965</v>
      </c>
      <c r="J210" s="3" t="s">
        <v>1745</v>
      </c>
    </row>
    <row r="211" customFormat="false" ht="15" hidden="false" customHeight="false" outlineLevel="0" collapsed="false">
      <c r="A211" s="3" t="s">
        <v>1288</v>
      </c>
      <c r="B211" s="3" t="n">
        <v>2346</v>
      </c>
      <c r="C211" s="3" t="s">
        <v>1742</v>
      </c>
      <c r="D211" s="3" t="n">
        <v>5</v>
      </c>
      <c r="E211" s="3" t="n">
        <v>5</v>
      </c>
      <c r="F211" s="3" t="n">
        <v>4</v>
      </c>
      <c r="G211" s="3" t="n">
        <v>1</v>
      </c>
      <c r="H211" s="3" t="s">
        <v>1743</v>
      </c>
      <c r="I211" s="3" t="s">
        <v>1966</v>
      </c>
      <c r="J211" s="3" t="s">
        <v>1745</v>
      </c>
    </row>
    <row r="212" customFormat="false" ht="15" hidden="false" customHeight="false" outlineLevel="0" collapsed="false">
      <c r="A212" s="3" t="s">
        <v>1296</v>
      </c>
      <c r="B212" s="3" t="n">
        <v>2354</v>
      </c>
      <c r="C212" s="3" t="s">
        <v>1742</v>
      </c>
      <c r="D212" s="3" t="n">
        <v>3</v>
      </c>
      <c r="E212" s="3" t="n">
        <v>3</v>
      </c>
      <c r="F212" s="3" t="n">
        <v>3</v>
      </c>
      <c r="G212" s="3" t="n">
        <v>0</v>
      </c>
      <c r="H212" s="3" t="s">
        <v>1743</v>
      </c>
      <c r="I212" s="3" t="s">
        <v>1967</v>
      </c>
      <c r="J212" s="3" t="s">
        <v>1745</v>
      </c>
    </row>
    <row r="213" customFormat="false" ht="15" hidden="false" customHeight="false" outlineLevel="0" collapsed="false">
      <c r="A213" s="3" t="s">
        <v>1300</v>
      </c>
      <c r="B213" s="3" t="n">
        <v>2351</v>
      </c>
      <c r="C213" s="3" t="s">
        <v>1742</v>
      </c>
      <c r="D213" s="3" t="n">
        <v>4</v>
      </c>
      <c r="E213" s="3" t="n">
        <v>4</v>
      </c>
      <c r="F213" s="3" t="n">
        <v>4</v>
      </c>
      <c r="G213" s="3" t="n">
        <v>0</v>
      </c>
      <c r="H213" s="3" t="s">
        <v>1743</v>
      </c>
      <c r="I213" s="3" t="s">
        <v>1968</v>
      </c>
      <c r="J213" s="3" t="s">
        <v>1745</v>
      </c>
    </row>
    <row r="214" customFormat="false" ht="15" hidden="false" customHeight="false" outlineLevel="0" collapsed="false">
      <c r="A214" s="3" t="s">
        <v>1305</v>
      </c>
      <c r="B214" s="3" t="n">
        <v>2354</v>
      </c>
      <c r="C214" s="3" t="s">
        <v>1742</v>
      </c>
      <c r="D214" s="3" t="n">
        <v>7</v>
      </c>
      <c r="E214" s="3" t="n">
        <v>7</v>
      </c>
      <c r="F214" s="3" t="n">
        <v>7</v>
      </c>
      <c r="G214" s="3" t="n">
        <v>0</v>
      </c>
      <c r="H214" s="3" t="s">
        <v>1743</v>
      </c>
      <c r="I214" s="3" t="s">
        <v>1969</v>
      </c>
      <c r="J214" s="3" t="s">
        <v>1745</v>
      </c>
    </row>
    <row r="215" customFormat="false" ht="15" hidden="false" customHeight="false" outlineLevel="0" collapsed="false">
      <c r="A215" s="3" t="s">
        <v>1313</v>
      </c>
      <c r="B215" s="3" t="n">
        <v>2355</v>
      </c>
      <c r="C215" s="3" t="s">
        <v>1742</v>
      </c>
      <c r="D215" s="3" t="n">
        <v>4</v>
      </c>
      <c r="E215" s="3" t="n">
        <v>4</v>
      </c>
      <c r="F215" s="3" t="n">
        <v>4</v>
      </c>
      <c r="G215" s="3" t="n">
        <v>0</v>
      </c>
      <c r="H215" s="3" t="s">
        <v>1743</v>
      </c>
      <c r="I215" s="3" t="s">
        <v>1970</v>
      </c>
      <c r="J215" s="3" t="s">
        <v>1745</v>
      </c>
    </row>
    <row r="216" customFormat="false" ht="15" hidden="false" customHeight="false" outlineLevel="0" collapsed="false">
      <c r="A216" s="3" t="s">
        <v>1318</v>
      </c>
      <c r="B216" s="3" t="n">
        <v>2350</v>
      </c>
      <c r="C216" s="3" t="s">
        <v>1742</v>
      </c>
      <c r="D216" s="3" t="n">
        <v>2</v>
      </c>
      <c r="E216" s="3" t="n">
        <v>2</v>
      </c>
      <c r="F216" s="3" t="n">
        <v>2</v>
      </c>
      <c r="G216" s="3" t="n">
        <v>0</v>
      </c>
      <c r="H216" s="3" t="s">
        <v>1743</v>
      </c>
      <c r="I216" s="3" t="s">
        <v>1971</v>
      </c>
      <c r="J216" s="3" t="s">
        <v>1745</v>
      </c>
    </row>
    <row r="217" customFormat="false" ht="15" hidden="false" customHeight="false" outlineLevel="0" collapsed="false">
      <c r="A217" s="3" t="s">
        <v>1321</v>
      </c>
      <c r="B217" s="3" t="n">
        <v>2351</v>
      </c>
      <c r="C217" s="3" t="s">
        <v>1742</v>
      </c>
      <c r="D217" s="3" t="n">
        <v>3</v>
      </c>
      <c r="E217" s="3" t="n">
        <v>3</v>
      </c>
      <c r="F217" s="3" t="n">
        <v>3</v>
      </c>
      <c r="G217" s="3" t="n">
        <v>0</v>
      </c>
      <c r="H217" s="3" t="s">
        <v>1743</v>
      </c>
      <c r="I217" s="3" t="s">
        <v>1972</v>
      </c>
      <c r="J217" s="3" t="s">
        <v>1745</v>
      </c>
    </row>
    <row r="218" customFormat="false" ht="15" hidden="false" customHeight="false" outlineLevel="0" collapsed="false">
      <c r="A218" s="3" t="s">
        <v>1973</v>
      </c>
      <c r="B218" s="3" t="n">
        <v>2356</v>
      </c>
      <c r="C218" s="3" t="s">
        <v>1742</v>
      </c>
      <c r="D218" s="3" t="n">
        <v>0</v>
      </c>
      <c r="E218" s="3" t="n">
        <v>0</v>
      </c>
      <c r="F218" s="3" t="n">
        <v>0</v>
      </c>
      <c r="G218" s="3" t="n">
        <v>0</v>
      </c>
      <c r="H218" s="3" t="s">
        <v>1743</v>
      </c>
      <c r="I218" s="3" t="s">
        <v>1911</v>
      </c>
      <c r="J218" s="3" t="s">
        <v>1745</v>
      </c>
    </row>
    <row r="219" customFormat="false" ht="15" hidden="false" customHeight="false" outlineLevel="0" collapsed="false">
      <c r="A219" s="3" t="s">
        <v>1974</v>
      </c>
      <c r="B219" s="3" t="n">
        <v>2352</v>
      </c>
      <c r="C219" s="3" t="s">
        <v>1742</v>
      </c>
      <c r="D219" s="3" t="n">
        <v>0</v>
      </c>
      <c r="E219" s="3" t="n">
        <v>0</v>
      </c>
      <c r="F219" s="3" t="n">
        <v>0</v>
      </c>
      <c r="G219" s="3" t="n">
        <v>0</v>
      </c>
      <c r="H219" s="3" t="s">
        <v>1743</v>
      </c>
      <c r="I219" s="3" t="s">
        <v>1975</v>
      </c>
      <c r="J219" s="3" t="s">
        <v>1745</v>
      </c>
    </row>
    <row r="220" customFormat="false" ht="15" hidden="false" customHeight="false" outlineLevel="0" collapsed="false">
      <c r="A220" s="3" t="s">
        <v>1976</v>
      </c>
      <c r="B220" s="3" t="n">
        <v>2351</v>
      </c>
      <c r="C220" s="3" t="s">
        <v>1742</v>
      </c>
      <c r="D220" s="3" t="n">
        <v>0</v>
      </c>
      <c r="E220" s="3" t="n">
        <v>0</v>
      </c>
      <c r="F220" s="3" t="n">
        <v>0</v>
      </c>
      <c r="G220" s="3" t="n">
        <v>0</v>
      </c>
      <c r="H220" s="3" t="s">
        <v>1743</v>
      </c>
      <c r="I220" s="3" t="s">
        <v>1977</v>
      </c>
      <c r="J220" s="3" t="s">
        <v>1745</v>
      </c>
    </row>
    <row r="221" customFormat="false" ht="15" hidden="false" customHeight="false" outlineLevel="0" collapsed="false">
      <c r="A221" s="3" t="s">
        <v>1978</v>
      </c>
      <c r="B221" s="3" t="n">
        <v>2352</v>
      </c>
      <c r="C221" s="3" t="s">
        <v>1742</v>
      </c>
      <c r="D221" s="3" t="n">
        <v>0</v>
      </c>
      <c r="E221" s="3" t="n">
        <v>0</v>
      </c>
      <c r="F221" s="3" t="n">
        <v>0</v>
      </c>
      <c r="G221" s="3" t="n">
        <v>0</v>
      </c>
      <c r="H221" s="3" t="s">
        <v>1743</v>
      </c>
      <c r="I221" s="3" t="s">
        <v>1975</v>
      </c>
      <c r="J221" s="3" t="s">
        <v>1745</v>
      </c>
    </row>
    <row r="222" customFormat="false" ht="15" hidden="false" customHeight="false" outlineLevel="0" collapsed="false">
      <c r="A222" s="3" t="s">
        <v>1979</v>
      </c>
      <c r="B222" s="3" t="n">
        <v>2370</v>
      </c>
      <c r="C222" s="3" t="s">
        <v>1742</v>
      </c>
      <c r="D222" s="3" t="n">
        <v>0</v>
      </c>
      <c r="E222" s="3" t="n">
        <v>0</v>
      </c>
      <c r="F222" s="3" t="n">
        <v>0</v>
      </c>
      <c r="G222" s="3" t="n">
        <v>0</v>
      </c>
      <c r="H222" s="3" t="s">
        <v>1743</v>
      </c>
      <c r="I222" s="3" t="s">
        <v>1905</v>
      </c>
      <c r="J222" s="3" t="s">
        <v>1745</v>
      </c>
    </row>
    <row r="223" customFormat="false" ht="15" hidden="false" customHeight="false" outlineLevel="0" collapsed="false">
      <c r="A223" s="3" t="s">
        <v>1325</v>
      </c>
      <c r="B223" s="3" t="n">
        <v>2374</v>
      </c>
      <c r="C223" s="3" t="s">
        <v>1742</v>
      </c>
      <c r="D223" s="3" t="n">
        <v>1</v>
      </c>
      <c r="E223" s="3" t="n">
        <v>1</v>
      </c>
      <c r="F223" s="3" t="n">
        <v>1</v>
      </c>
      <c r="G223" s="3" t="n">
        <v>0</v>
      </c>
      <c r="H223" s="3" t="s">
        <v>1743</v>
      </c>
      <c r="I223" s="3" t="s">
        <v>1980</v>
      </c>
      <c r="J223" s="3" t="s">
        <v>1745</v>
      </c>
    </row>
    <row r="224" customFormat="false" ht="15" hidden="false" customHeight="false" outlineLevel="0" collapsed="false">
      <c r="A224" s="3" t="s">
        <v>1327</v>
      </c>
      <c r="B224" s="3" t="n">
        <v>2374</v>
      </c>
      <c r="C224" s="3" t="s">
        <v>1742</v>
      </c>
      <c r="D224" s="3" t="n">
        <v>8</v>
      </c>
      <c r="E224" s="3" t="n">
        <v>8</v>
      </c>
      <c r="F224" s="3" t="n">
        <v>7</v>
      </c>
      <c r="G224" s="3" t="n">
        <v>1</v>
      </c>
      <c r="H224" s="3" t="s">
        <v>1743</v>
      </c>
      <c r="I224" s="3" t="s">
        <v>1981</v>
      </c>
      <c r="J224" s="3" t="s">
        <v>1745</v>
      </c>
    </row>
    <row r="225" customFormat="false" ht="15" hidden="false" customHeight="false" outlineLevel="0" collapsed="false">
      <c r="A225" s="3" t="s">
        <v>1338</v>
      </c>
      <c r="B225" s="3" t="n">
        <v>2374</v>
      </c>
      <c r="C225" s="3" t="s">
        <v>1742</v>
      </c>
      <c r="D225" s="3" t="n">
        <v>4</v>
      </c>
      <c r="E225" s="3" t="n">
        <v>4</v>
      </c>
      <c r="F225" s="3" t="n">
        <v>4</v>
      </c>
      <c r="G225" s="3" t="n">
        <v>0</v>
      </c>
      <c r="H225" s="3" t="s">
        <v>1743</v>
      </c>
      <c r="I225" s="3" t="s">
        <v>1982</v>
      </c>
      <c r="J225" s="3" t="s">
        <v>1745</v>
      </c>
    </row>
    <row r="226" customFormat="false" ht="15" hidden="false" customHeight="false" outlineLevel="0" collapsed="false">
      <c r="A226" s="3" t="s">
        <v>1343</v>
      </c>
      <c r="B226" s="3" t="n">
        <v>2382</v>
      </c>
      <c r="C226" s="3" t="s">
        <v>1742</v>
      </c>
      <c r="D226" s="3" t="n">
        <v>11</v>
      </c>
      <c r="E226" s="3" t="n">
        <v>11</v>
      </c>
      <c r="F226" s="3" t="n">
        <v>10</v>
      </c>
      <c r="G226" s="3" t="n">
        <v>1</v>
      </c>
      <c r="H226" s="3" t="s">
        <v>1743</v>
      </c>
      <c r="I226" s="3" t="s">
        <v>1983</v>
      </c>
      <c r="J226" s="3" t="s">
        <v>1745</v>
      </c>
    </row>
    <row r="227" customFormat="false" ht="15" hidden="false" customHeight="false" outlineLevel="0" collapsed="false">
      <c r="A227" s="3" t="s">
        <v>1357</v>
      </c>
      <c r="B227" s="3" t="n">
        <v>2387</v>
      </c>
      <c r="C227" s="3" t="s">
        <v>1742</v>
      </c>
      <c r="D227" s="3" t="n">
        <v>6</v>
      </c>
      <c r="E227" s="3" t="n">
        <v>6</v>
      </c>
      <c r="F227" s="3" t="n">
        <v>6</v>
      </c>
      <c r="G227" s="3" t="n">
        <v>0</v>
      </c>
      <c r="H227" s="3" t="s">
        <v>1743</v>
      </c>
      <c r="I227" s="3" t="s">
        <v>1984</v>
      </c>
      <c r="J227" s="3" t="s">
        <v>1745</v>
      </c>
    </row>
    <row r="228" customFormat="false" ht="15" hidden="false" customHeight="false" outlineLevel="0" collapsed="false">
      <c r="A228" s="3" t="s">
        <v>1364</v>
      </c>
      <c r="B228" s="3" t="n">
        <v>2383</v>
      </c>
      <c r="C228" s="3" t="s">
        <v>1742</v>
      </c>
      <c r="D228" s="3" t="n">
        <v>4</v>
      </c>
      <c r="E228" s="3" t="n">
        <v>4</v>
      </c>
      <c r="F228" s="3" t="n">
        <v>4</v>
      </c>
      <c r="G228" s="3" t="n">
        <v>0</v>
      </c>
      <c r="H228" s="3" t="s">
        <v>1743</v>
      </c>
      <c r="I228" s="3" t="s">
        <v>1985</v>
      </c>
      <c r="J228" s="3" t="s">
        <v>1745</v>
      </c>
    </row>
    <row r="229" customFormat="false" ht="15" hidden="false" customHeight="false" outlineLevel="0" collapsed="false">
      <c r="A229" s="3" t="s">
        <v>1369</v>
      </c>
      <c r="B229" s="3" t="n">
        <v>2385</v>
      </c>
      <c r="C229" s="3" t="s">
        <v>1742</v>
      </c>
      <c r="D229" s="3" t="n">
        <v>15</v>
      </c>
      <c r="E229" s="3" t="n">
        <v>15</v>
      </c>
      <c r="F229" s="3" t="n">
        <v>15</v>
      </c>
      <c r="G229" s="3" t="n">
        <v>0</v>
      </c>
      <c r="H229" s="3" t="s">
        <v>1743</v>
      </c>
      <c r="I229" s="3" t="s">
        <v>1986</v>
      </c>
      <c r="J229" s="3" t="s">
        <v>1745</v>
      </c>
    </row>
    <row r="230" customFormat="false" ht="15" hidden="false" customHeight="false" outlineLevel="0" collapsed="false">
      <c r="A230" s="3" t="s">
        <v>1385</v>
      </c>
      <c r="B230" s="3" t="n">
        <v>2381</v>
      </c>
      <c r="C230" s="3" t="s">
        <v>1742</v>
      </c>
      <c r="D230" s="3" t="n">
        <v>5</v>
      </c>
      <c r="E230" s="3" t="n">
        <v>5</v>
      </c>
      <c r="F230" s="3" t="n">
        <v>4</v>
      </c>
      <c r="G230" s="3" t="n">
        <v>1</v>
      </c>
      <c r="H230" s="3" t="s">
        <v>1743</v>
      </c>
      <c r="I230" s="3" t="s">
        <v>1987</v>
      </c>
      <c r="J230" s="3" t="s">
        <v>1745</v>
      </c>
    </row>
    <row r="231" customFormat="false" ht="15" hidden="false" customHeight="false" outlineLevel="0" collapsed="false">
      <c r="A231" s="3" t="s">
        <v>1393</v>
      </c>
      <c r="B231" s="3" t="n">
        <v>2381</v>
      </c>
      <c r="C231" s="3" t="s">
        <v>1742</v>
      </c>
      <c r="D231" s="3" t="n">
        <v>2</v>
      </c>
      <c r="E231" s="3" t="n">
        <v>2</v>
      </c>
      <c r="F231" s="3" t="n">
        <v>2</v>
      </c>
      <c r="G231" s="3" t="n">
        <v>0</v>
      </c>
      <c r="H231" s="3" t="s">
        <v>1743</v>
      </c>
      <c r="I231" s="3" t="s">
        <v>1988</v>
      </c>
      <c r="J231" s="3" t="s">
        <v>1745</v>
      </c>
    </row>
    <row r="232" customFormat="false" ht="15" hidden="false" customHeight="false" outlineLevel="0" collapsed="false">
      <c r="A232" s="3" t="s">
        <v>1396</v>
      </c>
      <c r="B232" s="3" t="n">
        <v>2393</v>
      </c>
      <c r="C232" s="3" t="s">
        <v>1742</v>
      </c>
      <c r="D232" s="3" t="n">
        <v>1</v>
      </c>
      <c r="E232" s="3" t="n">
        <v>1</v>
      </c>
      <c r="F232" s="3" t="n">
        <v>1</v>
      </c>
      <c r="G232" s="3" t="n">
        <v>0</v>
      </c>
      <c r="H232" s="3" t="s">
        <v>1743</v>
      </c>
      <c r="I232" s="3" t="s">
        <v>1989</v>
      </c>
      <c r="J232" s="3" t="s">
        <v>1745</v>
      </c>
    </row>
    <row r="233" customFormat="false" ht="15" hidden="false" customHeight="false" outlineLevel="0" collapsed="false">
      <c r="A233" s="3" t="s">
        <v>1398</v>
      </c>
      <c r="B233" s="3" t="n">
        <v>2424</v>
      </c>
      <c r="C233" s="3" t="s">
        <v>1742</v>
      </c>
      <c r="D233" s="3" t="n">
        <v>2</v>
      </c>
      <c r="E233" s="3" t="n">
        <v>2</v>
      </c>
      <c r="F233" s="3" t="n">
        <v>2</v>
      </c>
      <c r="G233" s="3" t="n">
        <v>0</v>
      </c>
      <c r="H233" s="3" t="s">
        <v>1743</v>
      </c>
      <c r="I233" s="3" t="s">
        <v>1990</v>
      </c>
      <c r="J233" s="3" t="s">
        <v>1745</v>
      </c>
    </row>
    <row r="234" customFormat="false" ht="15" hidden="false" customHeight="false" outlineLevel="0" collapsed="false">
      <c r="A234" s="3" t="s">
        <v>1401</v>
      </c>
      <c r="B234" s="3" t="n">
        <v>2425</v>
      </c>
      <c r="C234" s="3" t="s">
        <v>1742</v>
      </c>
      <c r="D234" s="3" t="n">
        <v>3</v>
      </c>
      <c r="E234" s="3" t="n">
        <v>3</v>
      </c>
      <c r="F234" s="3" t="n">
        <v>3</v>
      </c>
      <c r="G234" s="3" t="n">
        <v>0</v>
      </c>
      <c r="H234" s="3" t="s">
        <v>1743</v>
      </c>
      <c r="I234" s="3" t="s">
        <v>1891</v>
      </c>
      <c r="J234" s="3" t="s">
        <v>1745</v>
      </c>
    </row>
    <row r="235" customFormat="false" ht="15" hidden="false" customHeight="false" outlineLevel="0" collapsed="false">
      <c r="A235" s="3" t="s">
        <v>1991</v>
      </c>
      <c r="B235" s="3" t="n">
        <v>2430</v>
      </c>
      <c r="C235" s="3" t="s">
        <v>1742</v>
      </c>
      <c r="D235" s="3" t="n">
        <v>0</v>
      </c>
      <c r="E235" s="3" t="n">
        <v>0</v>
      </c>
      <c r="F235" s="3" t="n">
        <v>0</v>
      </c>
      <c r="G235" s="3" t="n">
        <v>0</v>
      </c>
      <c r="H235" s="3" t="s">
        <v>1743</v>
      </c>
      <c r="I235" s="3" t="s">
        <v>1992</v>
      </c>
      <c r="J235" s="3" t="s">
        <v>1745</v>
      </c>
    </row>
    <row r="236" customFormat="false" ht="15" hidden="false" customHeight="false" outlineLevel="0" collapsed="false">
      <c r="A236" s="3" t="s">
        <v>1405</v>
      </c>
      <c r="B236" s="3" t="n">
        <v>2428</v>
      </c>
      <c r="C236" s="3" t="s">
        <v>1742</v>
      </c>
      <c r="D236" s="3" t="n">
        <v>2</v>
      </c>
      <c r="E236" s="3" t="n">
        <v>2</v>
      </c>
      <c r="F236" s="3" t="n">
        <v>2</v>
      </c>
      <c r="G236" s="3" t="n">
        <v>0</v>
      </c>
      <c r="H236" s="3" t="s">
        <v>1743</v>
      </c>
      <c r="I236" s="3" t="s">
        <v>1993</v>
      </c>
      <c r="J236" s="3" t="s">
        <v>1745</v>
      </c>
    </row>
    <row r="237" customFormat="false" ht="15" hidden="false" customHeight="false" outlineLevel="0" collapsed="false">
      <c r="A237" s="3" t="s">
        <v>1408</v>
      </c>
      <c r="B237" s="3" t="n">
        <v>2453</v>
      </c>
      <c r="C237" s="3" t="s">
        <v>1742</v>
      </c>
      <c r="D237" s="3" t="n">
        <v>2</v>
      </c>
      <c r="E237" s="3" t="n">
        <v>2</v>
      </c>
      <c r="F237" s="3" t="n">
        <v>2</v>
      </c>
      <c r="G237" s="3" t="n">
        <v>0</v>
      </c>
      <c r="H237" s="3" t="s">
        <v>1743</v>
      </c>
      <c r="I237" s="3" t="s">
        <v>1994</v>
      </c>
      <c r="J237" s="3" t="s">
        <v>1745</v>
      </c>
    </row>
    <row r="238" customFormat="false" ht="15" hidden="false" customHeight="false" outlineLevel="0" collapsed="false">
      <c r="A238" s="3" t="s">
        <v>1411</v>
      </c>
      <c r="B238" s="3" t="n">
        <v>2454</v>
      </c>
      <c r="C238" s="3" t="s">
        <v>1742</v>
      </c>
      <c r="D238" s="3" t="n">
        <v>1</v>
      </c>
      <c r="E238" s="3" t="n">
        <v>1</v>
      </c>
      <c r="F238" s="3" t="n">
        <v>0</v>
      </c>
      <c r="G238" s="3" t="n">
        <v>1</v>
      </c>
      <c r="H238" s="3" t="s">
        <v>1743</v>
      </c>
      <c r="I238" s="3" t="s">
        <v>1995</v>
      </c>
      <c r="J238" s="3" t="s">
        <v>1745</v>
      </c>
    </row>
    <row r="239" customFormat="false" ht="15" hidden="false" customHeight="false" outlineLevel="0" collapsed="false">
      <c r="A239" s="3" t="s">
        <v>1415</v>
      </c>
      <c r="B239" s="3" t="n">
        <v>2455</v>
      </c>
      <c r="C239" s="3" t="s">
        <v>1742</v>
      </c>
      <c r="D239" s="3" t="n">
        <v>1</v>
      </c>
      <c r="E239" s="3" t="n">
        <v>1</v>
      </c>
      <c r="F239" s="3" t="n">
        <v>1</v>
      </c>
      <c r="G239" s="3" t="n">
        <v>0</v>
      </c>
      <c r="H239" s="3" t="s">
        <v>1743</v>
      </c>
      <c r="I239" s="3" t="s">
        <v>1996</v>
      </c>
      <c r="J239" s="3" t="s">
        <v>1745</v>
      </c>
    </row>
    <row r="240" customFormat="false" ht="15" hidden="false" customHeight="false" outlineLevel="0" collapsed="false">
      <c r="A240" s="3" t="s">
        <v>1997</v>
      </c>
      <c r="B240" s="3" t="n">
        <v>2450</v>
      </c>
      <c r="C240" s="3" t="s">
        <v>1742</v>
      </c>
      <c r="D240" s="3" t="n">
        <v>0</v>
      </c>
      <c r="E240" s="3" t="n">
        <v>0</v>
      </c>
      <c r="F240" s="3" t="n">
        <v>0</v>
      </c>
      <c r="G240" s="3" t="n">
        <v>0</v>
      </c>
      <c r="H240" s="3" t="s">
        <v>1743</v>
      </c>
      <c r="I240" s="3" t="s">
        <v>1998</v>
      </c>
      <c r="J240" s="3" t="s">
        <v>1745</v>
      </c>
    </row>
    <row r="241" customFormat="false" ht="15" hidden="false" customHeight="false" outlineLevel="0" collapsed="false">
      <c r="A241" s="3" t="s">
        <v>1999</v>
      </c>
      <c r="B241" s="3" t="n">
        <v>2450</v>
      </c>
      <c r="C241" s="3" t="s">
        <v>1742</v>
      </c>
      <c r="D241" s="3" t="n">
        <v>0</v>
      </c>
      <c r="E241" s="3" t="n">
        <v>0</v>
      </c>
      <c r="F241" s="3" t="n">
        <v>0</v>
      </c>
      <c r="G241" s="3" t="n">
        <v>0</v>
      </c>
      <c r="H241" s="3" t="s">
        <v>1743</v>
      </c>
      <c r="I241" s="3" t="s">
        <v>1998</v>
      </c>
      <c r="J241" s="3" t="s">
        <v>1745</v>
      </c>
    </row>
    <row r="242" customFormat="false" ht="15" hidden="false" customHeight="false" outlineLevel="0" collapsed="false">
      <c r="A242" s="3" t="s">
        <v>2000</v>
      </c>
      <c r="B242" s="3" t="n">
        <v>2457</v>
      </c>
      <c r="C242" s="3" t="s">
        <v>1742</v>
      </c>
      <c r="D242" s="3" t="n">
        <v>0</v>
      </c>
      <c r="E242" s="3" t="n">
        <v>0</v>
      </c>
      <c r="F242" s="3" t="n">
        <v>0</v>
      </c>
      <c r="G242" s="3" t="n">
        <v>0</v>
      </c>
      <c r="H242" s="3" t="s">
        <v>1743</v>
      </c>
      <c r="I242" s="3" t="s">
        <v>2001</v>
      </c>
      <c r="J242" s="3" t="s">
        <v>1745</v>
      </c>
    </row>
    <row r="243" customFormat="false" ht="15" hidden="false" customHeight="false" outlineLevel="0" collapsed="false">
      <c r="A243" s="3" t="s">
        <v>2002</v>
      </c>
      <c r="B243" s="3" t="n">
        <v>2458</v>
      </c>
      <c r="C243" s="3" t="s">
        <v>1742</v>
      </c>
      <c r="D243" s="3" t="n">
        <v>0</v>
      </c>
      <c r="E243" s="3" t="n">
        <v>0</v>
      </c>
      <c r="F243" s="3" t="n">
        <v>0</v>
      </c>
      <c r="G243" s="3" t="n">
        <v>0</v>
      </c>
      <c r="H243" s="3" t="s">
        <v>1743</v>
      </c>
      <c r="I243" s="3" t="s">
        <v>2003</v>
      </c>
      <c r="J243" s="3" t="s">
        <v>1745</v>
      </c>
    </row>
    <row r="244" customFormat="false" ht="15" hidden="false" customHeight="false" outlineLevel="0" collapsed="false">
      <c r="A244" s="3" t="s">
        <v>1417</v>
      </c>
      <c r="B244" s="3" t="n">
        <v>2456</v>
      </c>
      <c r="C244" s="3" t="s">
        <v>1742</v>
      </c>
      <c r="D244" s="3" t="n">
        <v>6</v>
      </c>
      <c r="E244" s="3" t="n">
        <v>6</v>
      </c>
      <c r="F244" s="3" t="n">
        <v>6</v>
      </c>
      <c r="G244" s="3" t="n">
        <v>0</v>
      </c>
      <c r="H244" s="3" t="s">
        <v>1743</v>
      </c>
      <c r="I244" s="3" t="s">
        <v>2004</v>
      </c>
      <c r="J244" s="3" t="s">
        <v>1745</v>
      </c>
    </row>
    <row r="245" customFormat="false" ht="15" hidden="false" customHeight="false" outlineLevel="0" collapsed="false">
      <c r="A245" s="3" t="s">
        <v>1424</v>
      </c>
      <c r="B245" s="3" t="n">
        <v>2455</v>
      </c>
      <c r="C245" s="3" t="s">
        <v>1742</v>
      </c>
      <c r="D245" s="3" t="n">
        <v>9</v>
      </c>
      <c r="E245" s="3" t="n">
        <v>9</v>
      </c>
      <c r="F245" s="3" t="n">
        <v>7</v>
      </c>
      <c r="G245" s="3" t="n">
        <v>2</v>
      </c>
      <c r="H245" s="3" t="s">
        <v>1743</v>
      </c>
      <c r="I245" s="3" t="s">
        <v>2005</v>
      </c>
      <c r="J245" s="3" t="s">
        <v>1745</v>
      </c>
    </row>
    <row r="246" customFormat="false" ht="15" hidden="false" customHeight="false" outlineLevel="0" collapsed="false">
      <c r="A246" s="3" t="s">
        <v>1438</v>
      </c>
      <c r="B246" s="3" t="n">
        <v>2456</v>
      </c>
      <c r="C246" s="3" t="s">
        <v>1742</v>
      </c>
      <c r="D246" s="3" t="n">
        <v>6</v>
      </c>
      <c r="E246" s="3" t="n">
        <v>6</v>
      </c>
      <c r="F246" s="3" t="n">
        <v>6</v>
      </c>
      <c r="G246" s="3" t="n">
        <v>0</v>
      </c>
      <c r="H246" s="3" t="s">
        <v>1743</v>
      </c>
      <c r="I246" s="3" t="s">
        <v>2004</v>
      </c>
      <c r="J246" s="3" t="s">
        <v>1745</v>
      </c>
    </row>
    <row r="247" customFormat="false" ht="15" hidden="false" customHeight="false" outlineLevel="0" collapsed="false">
      <c r="A247" s="3" t="s">
        <v>1445</v>
      </c>
      <c r="B247" s="3" t="n">
        <v>2470</v>
      </c>
      <c r="C247" s="3" t="s">
        <v>1742</v>
      </c>
      <c r="D247" s="3" t="n">
        <v>14</v>
      </c>
      <c r="E247" s="3" t="n">
        <v>14</v>
      </c>
      <c r="F247" s="3" t="n">
        <v>13</v>
      </c>
      <c r="G247" s="3" t="n">
        <v>1</v>
      </c>
      <c r="H247" s="3" t="s">
        <v>1743</v>
      </c>
      <c r="I247" s="3" t="s">
        <v>2006</v>
      </c>
      <c r="J247" s="3" t="s">
        <v>1745</v>
      </c>
    </row>
    <row r="248" customFormat="false" ht="15" hidden="false" customHeight="false" outlineLevel="0" collapsed="false">
      <c r="A248" s="3" t="s">
        <v>2007</v>
      </c>
      <c r="B248" s="3" t="n">
        <v>2471</v>
      </c>
      <c r="C248" s="3" t="s">
        <v>1742</v>
      </c>
      <c r="D248" s="3" t="n">
        <v>0</v>
      </c>
      <c r="E248" s="3" t="n">
        <v>0</v>
      </c>
      <c r="F248" s="3" t="n">
        <v>0</v>
      </c>
      <c r="G248" s="3" t="n">
        <v>0</v>
      </c>
      <c r="H248" s="3" t="s">
        <v>1743</v>
      </c>
      <c r="I248" s="3" t="s">
        <v>2008</v>
      </c>
      <c r="J248" s="3" t="s">
        <v>1745</v>
      </c>
    </row>
    <row r="249" customFormat="false" ht="15" hidden="false" customHeight="false" outlineLevel="0" collapsed="false">
      <c r="A249" s="3" t="s">
        <v>1462</v>
      </c>
      <c r="B249" s="3" t="n">
        <v>2474</v>
      </c>
      <c r="C249" s="3" t="s">
        <v>1742</v>
      </c>
      <c r="D249" s="3" t="n">
        <v>2</v>
      </c>
      <c r="E249" s="3" t="n">
        <v>2</v>
      </c>
      <c r="F249" s="3" t="n">
        <v>2</v>
      </c>
      <c r="G249" s="3" t="n">
        <v>0</v>
      </c>
      <c r="H249" s="3" t="s">
        <v>1743</v>
      </c>
      <c r="I249" s="3" t="s">
        <v>2009</v>
      </c>
      <c r="J249" s="3" t="s">
        <v>1745</v>
      </c>
    </row>
    <row r="250" customFormat="false" ht="15" hidden="false" customHeight="false" outlineLevel="0" collapsed="false">
      <c r="A250" s="3" t="s">
        <v>1465</v>
      </c>
      <c r="B250" s="3" t="n">
        <v>2469</v>
      </c>
      <c r="C250" s="3" t="s">
        <v>1742</v>
      </c>
      <c r="D250" s="3" t="n">
        <v>5</v>
      </c>
      <c r="E250" s="3" t="n">
        <v>5</v>
      </c>
      <c r="F250" s="3" t="n">
        <v>4</v>
      </c>
      <c r="G250" s="3" t="n">
        <v>1</v>
      </c>
      <c r="H250" s="3" t="s">
        <v>1743</v>
      </c>
      <c r="I250" s="3" t="s">
        <v>2010</v>
      </c>
      <c r="J250" s="3" t="s">
        <v>1745</v>
      </c>
    </row>
    <row r="251" customFormat="false" ht="15" hidden="false" customHeight="false" outlineLevel="0" collapsed="false">
      <c r="A251" s="3" t="s">
        <v>2011</v>
      </c>
      <c r="B251" s="3" t="s">
        <v>1720</v>
      </c>
      <c r="C251" s="3" t="s">
        <v>1720</v>
      </c>
      <c r="D251" s="3" t="s">
        <v>1720</v>
      </c>
      <c r="E251" s="3" t="s">
        <v>1720</v>
      </c>
      <c r="F251" s="3" t="s">
        <v>1720</v>
      </c>
      <c r="G251" s="3" t="s">
        <v>1720</v>
      </c>
      <c r="H251" s="3" t="s">
        <v>1720</v>
      </c>
      <c r="I251" s="3" t="s">
        <v>1720</v>
      </c>
      <c r="J251" s="3" t="s">
        <v>2012</v>
      </c>
    </row>
    <row r="252" customFormat="false" ht="15" hidden="false" customHeight="false" outlineLevel="0" collapsed="false">
      <c r="A252" s="3" t="s">
        <v>2013</v>
      </c>
      <c r="B252" s="3" t="s">
        <v>1720</v>
      </c>
      <c r="C252" s="3" t="s">
        <v>1720</v>
      </c>
      <c r="D252" s="3" t="s">
        <v>1720</v>
      </c>
      <c r="E252" s="3" t="s">
        <v>1720</v>
      </c>
      <c r="F252" s="3" t="s">
        <v>1720</v>
      </c>
      <c r="G252" s="3" t="s">
        <v>1720</v>
      </c>
      <c r="H252" s="3" t="s">
        <v>1720</v>
      </c>
      <c r="I252" s="3" t="s">
        <v>1720</v>
      </c>
      <c r="J252" s="3" t="s">
        <v>2012</v>
      </c>
    </row>
    <row r="253" customFormat="false" ht="15" hidden="false" customHeight="false" outlineLevel="0" collapsed="false">
      <c r="A253" s="3" t="s">
        <v>2014</v>
      </c>
      <c r="B253" s="3" t="s">
        <v>1720</v>
      </c>
      <c r="C253" s="3" t="s">
        <v>1720</v>
      </c>
      <c r="D253" s="3" t="s">
        <v>1720</v>
      </c>
      <c r="E253" s="3" t="s">
        <v>1720</v>
      </c>
      <c r="F253" s="3" t="s">
        <v>1720</v>
      </c>
      <c r="G253" s="3" t="s">
        <v>1720</v>
      </c>
      <c r="H253" s="3" t="s">
        <v>1720</v>
      </c>
      <c r="I253" s="3" t="s">
        <v>1720</v>
      </c>
      <c r="J253" s="3" t="s">
        <v>2012</v>
      </c>
    </row>
    <row r="254" customFormat="false" ht="15" hidden="false" customHeight="false" outlineLevel="0" collapsed="false">
      <c r="A254" s="3" t="s">
        <v>2015</v>
      </c>
      <c r="B254" s="3" t="s">
        <v>1720</v>
      </c>
      <c r="C254" s="3" t="s">
        <v>1720</v>
      </c>
      <c r="D254" s="3" t="s">
        <v>1720</v>
      </c>
      <c r="E254" s="3" t="s">
        <v>1720</v>
      </c>
      <c r="F254" s="3" t="s">
        <v>1720</v>
      </c>
      <c r="G254" s="3" t="s">
        <v>1720</v>
      </c>
      <c r="H254" s="3" t="s">
        <v>1720</v>
      </c>
      <c r="I254" s="3" t="s">
        <v>1720</v>
      </c>
      <c r="J254" s="3" t="s">
        <v>2012</v>
      </c>
    </row>
    <row r="255" customFormat="false" ht="15" hidden="false" customHeight="false" outlineLevel="0" collapsed="false">
      <c r="A255" s="3" t="s">
        <v>2016</v>
      </c>
      <c r="B255" s="3" t="s">
        <v>1720</v>
      </c>
      <c r="C255" s="3" t="s">
        <v>1720</v>
      </c>
      <c r="D255" s="3" t="s">
        <v>1720</v>
      </c>
      <c r="E255" s="3" t="s">
        <v>1720</v>
      </c>
      <c r="F255" s="3" t="s">
        <v>1720</v>
      </c>
      <c r="G255" s="3" t="s">
        <v>1720</v>
      </c>
      <c r="H255" s="3" t="s">
        <v>1720</v>
      </c>
      <c r="I255" s="3" t="s">
        <v>1720</v>
      </c>
      <c r="J255" s="3" t="s">
        <v>2012</v>
      </c>
    </row>
    <row r="256" customFormat="false" ht="15" hidden="false" customHeight="false" outlineLevel="0" collapsed="false">
      <c r="A256" s="3" t="s">
        <v>2017</v>
      </c>
      <c r="B256" s="3" t="s">
        <v>1720</v>
      </c>
      <c r="C256" s="3" t="s">
        <v>1720</v>
      </c>
      <c r="D256" s="3" t="s">
        <v>1720</v>
      </c>
      <c r="E256" s="3" t="s">
        <v>1720</v>
      </c>
      <c r="F256" s="3" t="s">
        <v>1720</v>
      </c>
      <c r="G256" s="3" t="s">
        <v>1720</v>
      </c>
      <c r="H256" s="3" t="s">
        <v>1720</v>
      </c>
      <c r="I256" s="3" t="s">
        <v>1720</v>
      </c>
      <c r="J256" s="3" t="s">
        <v>2012</v>
      </c>
    </row>
    <row r="257" customFormat="false" ht="15" hidden="false" customHeight="false" outlineLevel="0" collapsed="false">
      <c r="A257" s="3" t="s">
        <v>2018</v>
      </c>
      <c r="B257" s="3" t="s">
        <v>1720</v>
      </c>
      <c r="C257" s="3" t="s">
        <v>1720</v>
      </c>
      <c r="D257" s="3" t="s">
        <v>1720</v>
      </c>
      <c r="E257" s="3" t="s">
        <v>1720</v>
      </c>
      <c r="F257" s="3" t="s">
        <v>1720</v>
      </c>
      <c r="G257" s="3" t="s">
        <v>1720</v>
      </c>
      <c r="H257" s="3" t="s">
        <v>1720</v>
      </c>
      <c r="I257" s="3" t="s">
        <v>1720</v>
      </c>
      <c r="J257" s="3" t="s">
        <v>2012</v>
      </c>
    </row>
    <row r="258" customFormat="false" ht="15" hidden="false" customHeight="false" outlineLevel="0" collapsed="false">
      <c r="A258" s="3" t="s">
        <v>2019</v>
      </c>
      <c r="B258" s="3" t="s">
        <v>1720</v>
      </c>
      <c r="C258" s="3" t="s">
        <v>1720</v>
      </c>
      <c r="D258" s="3" t="s">
        <v>1720</v>
      </c>
      <c r="E258" s="3" t="s">
        <v>1720</v>
      </c>
      <c r="F258" s="3" t="s">
        <v>1720</v>
      </c>
      <c r="G258" s="3" t="s">
        <v>1720</v>
      </c>
      <c r="H258" s="3" t="s">
        <v>1720</v>
      </c>
      <c r="I258" s="3" t="s">
        <v>1720</v>
      </c>
      <c r="J258" s="3" t="s">
        <v>2020</v>
      </c>
    </row>
    <row r="259" customFormat="false" ht="15" hidden="false" customHeight="false" outlineLevel="0" collapsed="false">
      <c r="A259" s="3" t="s">
        <v>2021</v>
      </c>
      <c r="B259" s="3" t="s">
        <v>1720</v>
      </c>
      <c r="C259" s="3" t="s">
        <v>1720</v>
      </c>
      <c r="D259" s="3" t="s">
        <v>1720</v>
      </c>
      <c r="E259" s="3" t="s">
        <v>1720</v>
      </c>
      <c r="F259" s="3" t="s">
        <v>1720</v>
      </c>
      <c r="G259" s="3" t="s">
        <v>1720</v>
      </c>
      <c r="H259" s="3" t="s">
        <v>1720</v>
      </c>
      <c r="I259" s="3" t="s">
        <v>1720</v>
      </c>
      <c r="J259" s="3" t="s">
        <v>2020</v>
      </c>
    </row>
    <row r="260" customFormat="false" ht="15" hidden="false" customHeight="false" outlineLevel="0" collapsed="false">
      <c r="A260" s="3" t="s">
        <v>2022</v>
      </c>
      <c r="B260" s="3" t="s">
        <v>1720</v>
      </c>
      <c r="C260" s="3" t="s">
        <v>1720</v>
      </c>
      <c r="D260" s="3" t="s">
        <v>1720</v>
      </c>
      <c r="E260" s="3" t="s">
        <v>1720</v>
      </c>
      <c r="F260" s="3" t="s">
        <v>1720</v>
      </c>
      <c r="G260" s="3" t="s">
        <v>1720</v>
      </c>
      <c r="H260" s="3" t="s">
        <v>1720</v>
      </c>
      <c r="I260" s="3" t="s">
        <v>1720</v>
      </c>
      <c r="J260" s="3" t="s">
        <v>2020</v>
      </c>
    </row>
    <row r="261" customFormat="false" ht="15" hidden="false" customHeight="false" outlineLevel="0" collapsed="false">
      <c r="A261" s="3" t="s">
        <v>2023</v>
      </c>
      <c r="B261" s="3" t="s">
        <v>1720</v>
      </c>
      <c r="C261" s="3" t="s">
        <v>1720</v>
      </c>
      <c r="D261" s="3" t="s">
        <v>1720</v>
      </c>
      <c r="E261" s="3" t="s">
        <v>1720</v>
      </c>
      <c r="F261" s="3" t="s">
        <v>1720</v>
      </c>
      <c r="G261" s="3" t="s">
        <v>1720</v>
      </c>
      <c r="H261" s="3" t="s">
        <v>1720</v>
      </c>
      <c r="I261" s="3" t="s">
        <v>1720</v>
      </c>
      <c r="J261" s="3" t="s">
        <v>2020</v>
      </c>
    </row>
    <row r="262" customFormat="false" ht="15" hidden="false" customHeight="false" outlineLevel="0" collapsed="false">
      <c r="A262" s="3" t="s">
        <v>2024</v>
      </c>
      <c r="B262" s="3" t="s">
        <v>1720</v>
      </c>
      <c r="C262" s="3" t="s">
        <v>1720</v>
      </c>
      <c r="D262" s="3" t="s">
        <v>1720</v>
      </c>
      <c r="E262" s="3" t="s">
        <v>1720</v>
      </c>
      <c r="F262" s="3" t="s">
        <v>1720</v>
      </c>
      <c r="G262" s="3" t="s">
        <v>1720</v>
      </c>
      <c r="H262" s="3" t="s">
        <v>1720</v>
      </c>
      <c r="I262" s="3" t="s">
        <v>1720</v>
      </c>
      <c r="J262" s="3" t="s">
        <v>2020</v>
      </c>
    </row>
    <row r="263" customFormat="false" ht="15" hidden="false" customHeight="false" outlineLevel="0" collapsed="false">
      <c r="A263" s="3" t="s">
        <v>2025</v>
      </c>
      <c r="B263" s="3" t="s">
        <v>1720</v>
      </c>
      <c r="C263" s="3" t="s">
        <v>1720</v>
      </c>
      <c r="D263" s="3" t="s">
        <v>1720</v>
      </c>
      <c r="E263" s="3" t="s">
        <v>1720</v>
      </c>
      <c r="F263" s="3" t="s">
        <v>1720</v>
      </c>
      <c r="G263" s="3" t="s">
        <v>1720</v>
      </c>
      <c r="H263" s="3" t="s">
        <v>1720</v>
      </c>
      <c r="I263" s="3" t="s">
        <v>1720</v>
      </c>
      <c r="J263" s="3" t="s">
        <v>2020</v>
      </c>
    </row>
    <row r="264" customFormat="false" ht="15" hidden="false" customHeight="false" outlineLevel="0" collapsed="false">
      <c r="A264" s="3" t="s">
        <v>2026</v>
      </c>
      <c r="B264" s="3" t="s">
        <v>1720</v>
      </c>
      <c r="C264" s="3" t="s">
        <v>1720</v>
      </c>
      <c r="D264" s="3" t="s">
        <v>1720</v>
      </c>
      <c r="E264" s="3" t="s">
        <v>1720</v>
      </c>
      <c r="F264" s="3" t="s">
        <v>1720</v>
      </c>
      <c r="G264" s="3" t="s">
        <v>1720</v>
      </c>
      <c r="H264" s="3" t="s">
        <v>1720</v>
      </c>
      <c r="I264" s="3" t="s">
        <v>1720</v>
      </c>
      <c r="J264" s="3" t="s">
        <v>2020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5" min="3" style="0" width="9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36"/>
    <col collapsed="false" customWidth="true" hidden="false" outlineLevel="0" max="16" min="13" style="0" width="9"/>
    <col collapsed="false" customWidth="true" hidden="false" outlineLevel="0" max="17" min="17" style="0" width="20"/>
  </cols>
  <sheetData>
    <row r="1" customFormat="false" ht="46.25" hidden="false" customHeight="false" outlineLevel="0" collapsed="false">
      <c r="A1" s="1" t="s">
        <v>2027</v>
      </c>
      <c r="B1" s="1" t="s">
        <v>2028</v>
      </c>
      <c r="C1" s="1" t="s">
        <v>2029</v>
      </c>
      <c r="D1" s="1" t="s">
        <v>2030</v>
      </c>
      <c r="E1" s="1" t="s">
        <v>2031</v>
      </c>
      <c r="F1" s="1" t="s">
        <v>2032</v>
      </c>
      <c r="G1" s="1" t="s">
        <v>2033</v>
      </c>
      <c r="H1" s="1" t="s">
        <v>2034</v>
      </c>
      <c r="I1" s="1" t="s">
        <v>1714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  <c r="Q1" s="1" t="s">
        <v>2042</v>
      </c>
    </row>
    <row r="2" customFormat="false" ht="15" hidden="false" customHeight="false" outlineLevel="0" collapsed="false">
      <c r="A2" s="3" t="s">
        <v>2043</v>
      </c>
      <c r="B2" s="3" t="s">
        <v>2044</v>
      </c>
      <c r="C2" s="3" t="n">
        <v>4</v>
      </c>
      <c r="D2" s="3" t="n">
        <v>0</v>
      </c>
      <c r="E2" s="3" t="n">
        <v>4</v>
      </c>
      <c r="F2" s="3" t="s">
        <v>1742</v>
      </c>
      <c r="G2" s="3" t="s">
        <v>1720</v>
      </c>
      <c r="H2" s="3" t="s">
        <v>1720</v>
      </c>
      <c r="I2" s="3" t="s">
        <v>1720</v>
      </c>
      <c r="J2" s="3" t="s">
        <v>1720</v>
      </c>
      <c r="K2" s="3" t="s">
        <v>2045</v>
      </c>
      <c r="L2" s="3" t="s">
        <v>1720</v>
      </c>
      <c r="M2" s="3" t="n">
        <v>0</v>
      </c>
      <c r="N2" s="3" t="n">
        <v>0</v>
      </c>
      <c r="O2" s="3" t="n">
        <v>0</v>
      </c>
      <c r="P2" s="3" t="n">
        <v>0</v>
      </c>
      <c r="Q2" s="3" t="s">
        <v>1720</v>
      </c>
    </row>
    <row r="3" customFormat="false" ht="15" hidden="false" customHeight="false" outlineLevel="0" collapsed="false">
      <c r="A3" s="3" t="s">
        <v>2046</v>
      </c>
      <c r="B3" s="3" t="s">
        <v>2047</v>
      </c>
      <c r="C3" s="3" t="n">
        <v>5</v>
      </c>
      <c r="D3" s="3" t="n">
        <v>0</v>
      </c>
      <c r="E3" s="3" t="n">
        <v>5</v>
      </c>
      <c r="F3" s="3" t="s">
        <v>1742</v>
      </c>
      <c r="G3" s="3" t="s">
        <v>1720</v>
      </c>
      <c r="H3" s="3" t="s">
        <v>1720</v>
      </c>
      <c r="I3" s="3" t="s">
        <v>1720</v>
      </c>
      <c r="J3" s="3" t="s">
        <v>1720</v>
      </c>
      <c r="K3" s="3" t="s">
        <v>2045</v>
      </c>
      <c r="L3" s="3" t="s">
        <v>1720</v>
      </c>
      <c r="M3" s="3" t="n">
        <v>0</v>
      </c>
      <c r="N3" s="3" t="n">
        <v>0</v>
      </c>
      <c r="O3" s="3" t="n">
        <v>0</v>
      </c>
      <c r="P3" s="3" t="n">
        <v>0</v>
      </c>
      <c r="Q3" s="3" t="s">
        <v>1720</v>
      </c>
    </row>
    <row r="4" customFormat="false" ht="15" hidden="false" customHeight="false" outlineLevel="0" collapsed="false">
      <c r="A4" s="3" t="s">
        <v>2048</v>
      </c>
      <c r="B4" s="3" t="s">
        <v>2049</v>
      </c>
      <c r="C4" s="3" t="n">
        <v>5</v>
      </c>
      <c r="D4" s="3" t="n">
        <v>0</v>
      </c>
      <c r="E4" s="3" t="n">
        <v>5</v>
      </c>
      <c r="F4" s="3" t="s">
        <v>1742</v>
      </c>
      <c r="G4" s="3" t="s">
        <v>1720</v>
      </c>
      <c r="H4" s="3" t="s">
        <v>1720</v>
      </c>
      <c r="I4" s="3" t="s">
        <v>1720</v>
      </c>
      <c r="J4" s="3" t="s">
        <v>1720</v>
      </c>
      <c r="K4" s="3" t="s">
        <v>2045</v>
      </c>
      <c r="L4" s="3" t="s">
        <v>1720</v>
      </c>
      <c r="M4" s="3" t="n">
        <v>0</v>
      </c>
      <c r="N4" s="3" t="n">
        <v>0</v>
      </c>
      <c r="O4" s="3" t="n">
        <v>0</v>
      </c>
      <c r="P4" s="3" t="n">
        <v>0</v>
      </c>
      <c r="Q4" s="3" t="s">
        <v>1720</v>
      </c>
    </row>
    <row r="5" customFormat="false" ht="15" hidden="false" customHeight="false" outlineLevel="0" collapsed="false">
      <c r="A5" s="3" t="s">
        <v>2050</v>
      </c>
      <c r="B5" s="3" t="s">
        <v>2051</v>
      </c>
      <c r="C5" s="3" t="n">
        <v>5</v>
      </c>
      <c r="D5" s="3" t="n">
        <v>0</v>
      </c>
      <c r="E5" s="3" t="n">
        <v>5</v>
      </c>
      <c r="F5" s="3" t="s">
        <v>1742</v>
      </c>
      <c r="G5" s="3" t="s">
        <v>1720</v>
      </c>
      <c r="H5" s="3" t="s">
        <v>1720</v>
      </c>
      <c r="I5" s="3" t="s">
        <v>1720</v>
      </c>
      <c r="J5" s="3" t="s">
        <v>1720</v>
      </c>
      <c r="K5" s="3" t="s">
        <v>2045</v>
      </c>
      <c r="L5" s="3" t="s">
        <v>1720</v>
      </c>
      <c r="M5" s="3" t="n">
        <v>0</v>
      </c>
      <c r="N5" s="3" t="n">
        <v>0</v>
      </c>
      <c r="O5" s="3" t="n">
        <v>0</v>
      </c>
      <c r="P5" s="3" t="n">
        <v>0</v>
      </c>
      <c r="Q5" s="3" t="s">
        <v>1720</v>
      </c>
    </row>
    <row r="6" customFormat="false" ht="15" hidden="false" customHeight="false" outlineLevel="0" collapsed="false">
      <c r="A6" s="3" t="s">
        <v>2052</v>
      </c>
      <c r="B6" s="3" t="s">
        <v>2053</v>
      </c>
      <c r="C6" s="3" t="n">
        <v>4</v>
      </c>
      <c r="D6" s="3" t="n">
        <v>3</v>
      </c>
      <c r="E6" s="3" t="n">
        <v>1</v>
      </c>
      <c r="F6" s="3" t="s">
        <v>1742</v>
      </c>
      <c r="G6" s="3" t="n">
        <v>22</v>
      </c>
      <c r="H6" s="3" t="n">
        <v>20</v>
      </c>
      <c r="I6" s="3" t="n">
        <v>2</v>
      </c>
      <c r="J6" s="3" t="s">
        <v>2054</v>
      </c>
      <c r="K6" s="3" t="s">
        <v>2045</v>
      </c>
      <c r="L6" s="3" t="s">
        <v>2055</v>
      </c>
      <c r="M6" s="3" t="n">
        <v>8</v>
      </c>
      <c r="N6" s="3" t="n">
        <v>14</v>
      </c>
      <c r="O6" s="3" t="n">
        <v>0</v>
      </c>
      <c r="P6" s="3" t="n">
        <v>0</v>
      </c>
      <c r="Q6" s="3" t="s">
        <v>2056</v>
      </c>
    </row>
    <row r="7" customFormat="false" ht="15" hidden="false" customHeight="false" outlineLevel="0" collapsed="false">
      <c r="A7" s="3" t="s">
        <v>2057</v>
      </c>
      <c r="B7" s="3" t="s">
        <v>2058</v>
      </c>
      <c r="C7" s="3" t="n">
        <v>5</v>
      </c>
      <c r="D7" s="3" t="n">
        <v>5</v>
      </c>
      <c r="E7" s="3" t="n">
        <v>0</v>
      </c>
      <c r="F7" s="3" t="s">
        <v>1742</v>
      </c>
      <c r="G7" s="3" t="n">
        <v>24</v>
      </c>
      <c r="H7" s="3" t="n">
        <v>21</v>
      </c>
      <c r="I7" s="3" t="n">
        <v>6</v>
      </c>
      <c r="J7" s="3" t="s">
        <v>2059</v>
      </c>
      <c r="K7" s="3" t="s">
        <v>2045</v>
      </c>
      <c r="L7" s="3" t="s">
        <v>2060</v>
      </c>
      <c r="M7" s="3" t="n">
        <v>8</v>
      </c>
      <c r="N7" s="3" t="n">
        <v>15</v>
      </c>
      <c r="O7" s="3" t="n">
        <v>0</v>
      </c>
      <c r="P7" s="3" t="n">
        <v>1</v>
      </c>
      <c r="Q7" s="3" t="s">
        <v>2061</v>
      </c>
    </row>
    <row r="8" customFormat="false" ht="15" hidden="false" customHeight="false" outlineLevel="0" collapsed="false">
      <c r="A8" s="3" t="s">
        <v>2062</v>
      </c>
      <c r="B8" s="3" t="s">
        <v>2063</v>
      </c>
      <c r="C8" s="3" t="n">
        <v>5</v>
      </c>
      <c r="D8" s="3" t="n">
        <v>5</v>
      </c>
      <c r="E8" s="3" t="n">
        <v>0</v>
      </c>
      <c r="F8" s="3" t="s">
        <v>1742</v>
      </c>
      <c r="G8" s="3" t="n">
        <v>24</v>
      </c>
      <c r="H8" s="3" t="n">
        <v>22</v>
      </c>
      <c r="I8" s="3" t="n">
        <v>10</v>
      </c>
      <c r="J8" s="3" t="s">
        <v>2059</v>
      </c>
      <c r="K8" s="3" t="s">
        <v>2045</v>
      </c>
      <c r="L8" s="3" t="s">
        <v>2064</v>
      </c>
      <c r="M8" s="3" t="n">
        <v>8</v>
      </c>
      <c r="N8" s="3" t="n">
        <v>16</v>
      </c>
      <c r="O8" s="3" t="n">
        <v>0</v>
      </c>
      <c r="P8" s="3" t="n">
        <v>0</v>
      </c>
      <c r="Q8" s="3" t="s">
        <v>2065</v>
      </c>
    </row>
    <row r="9" customFormat="false" ht="15" hidden="false" customHeight="false" outlineLevel="0" collapsed="false">
      <c r="A9" s="3" t="s">
        <v>2066</v>
      </c>
      <c r="B9" s="3" t="s">
        <v>2067</v>
      </c>
      <c r="C9" s="3" t="n">
        <v>4</v>
      </c>
      <c r="D9" s="3" t="n">
        <v>4</v>
      </c>
      <c r="E9" s="3" t="n">
        <v>0</v>
      </c>
      <c r="F9" s="3" t="s">
        <v>1742</v>
      </c>
      <c r="G9" s="3" t="n">
        <v>1</v>
      </c>
      <c r="H9" s="3" t="n">
        <v>1</v>
      </c>
      <c r="I9" s="3" t="n">
        <v>1</v>
      </c>
      <c r="J9" s="3" t="s">
        <v>2068</v>
      </c>
      <c r="K9" s="3" t="s">
        <v>2045</v>
      </c>
      <c r="L9" s="3" t="s">
        <v>2069</v>
      </c>
      <c r="M9" s="3" t="n">
        <v>0</v>
      </c>
      <c r="N9" s="3" t="n">
        <v>1</v>
      </c>
      <c r="O9" s="3" t="n">
        <v>0</v>
      </c>
      <c r="P9" s="3" t="n">
        <v>0</v>
      </c>
      <c r="Q9" s="3" t="s">
        <v>2070</v>
      </c>
    </row>
    <row r="10" customFormat="false" ht="15" hidden="false" customHeight="false" outlineLevel="0" collapsed="false">
      <c r="A10" s="3" t="s">
        <v>2071</v>
      </c>
      <c r="B10" s="3" t="s">
        <v>2072</v>
      </c>
      <c r="C10" s="3" t="n">
        <v>5</v>
      </c>
      <c r="D10" s="3" t="n">
        <v>5</v>
      </c>
      <c r="E10" s="3" t="n">
        <v>0</v>
      </c>
      <c r="F10" s="3" t="s">
        <v>1742</v>
      </c>
      <c r="G10" s="3" t="n">
        <v>20</v>
      </c>
      <c r="H10" s="3" t="n">
        <v>18</v>
      </c>
      <c r="I10" s="3" t="n">
        <v>5</v>
      </c>
      <c r="J10" s="3" t="s">
        <v>2073</v>
      </c>
      <c r="K10" s="3" t="s">
        <v>2045</v>
      </c>
      <c r="L10" s="3" t="s">
        <v>2074</v>
      </c>
      <c r="M10" s="3" t="n">
        <v>9</v>
      </c>
      <c r="N10" s="3" t="n">
        <v>11</v>
      </c>
      <c r="O10" s="3" t="n">
        <v>0</v>
      </c>
      <c r="P10" s="3" t="n">
        <v>0</v>
      </c>
      <c r="Q10" s="3" t="s">
        <v>2075</v>
      </c>
    </row>
    <row r="11" customFormat="false" ht="15" hidden="false" customHeight="false" outlineLevel="0" collapsed="false">
      <c r="A11" s="3" t="s">
        <v>2076</v>
      </c>
      <c r="B11" s="3" t="s">
        <v>2077</v>
      </c>
      <c r="C11" s="3" t="n">
        <v>4</v>
      </c>
      <c r="D11" s="3" t="n">
        <v>4</v>
      </c>
      <c r="E11" s="3" t="n">
        <v>0</v>
      </c>
      <c r="F11" s="3" t="s">
        <v>1742</v>
      </c>
      <c r="G11" s="3" t="n">
        <v>16</v>
      </c>
      <c r="H11" s="3" t="n">
        <v>13</v>
      </c>
      <c r="I11" s="3" t="n">
        <v>10</v>
      </c>
      <c r="J11" s="3" t="s">
        <v>2078</v>
      </c>
      <c r="K11" s="3" t="s">
        <v>2045</v>
      </c>
      <c r="L11" s="3" t="s">
        <v>2079</v>
      </c>
      <c r="M11" s="3" t="n">
        <v>6</v>
      </c>
      <c r="N11" s="3" t="n">
        <v>10</v>
      </c>
      <c r="O11" s="3" t="n">
        <v>0</v>
      </c>
      <c r="P11" s="3" t="n">
        <v>0</v>
      </c>
      <c r="Q11" s="3" t="s">
        <v>2080</v>
      </c>
    </row>
    <row r="12" customFormat="false" ht="15" hidden="false" customHeight="false" outlineLevel="0" collapsed="false">
      <c r="A12" s="3" t="s">
        <v>2081</v>
      </c>
      <c r="B12" s="3" t="s">
        <v>2082</v>
      </c>
      <c r="C12" s="3" t="n">
        <v>5</v>
      </c>
      <c r="D12" s="3" t="n">
        <v>5</v>
      </c>
      <c r="E12" s="3" t="n">
        <v>0</v>
      </c>
      <c r="F12" s="3" t="s">
        <v>1742</v>
      </c>
      <c r="G12" s="3" t="n">
        <v>21</v>
      </c>
      <c r="H12" s="3" t="n">
        <v>17</v>
      </c>
      <c r="I12" s="3" t="n">
        <v>11</v>
      </c>
      <c r="J12" s="3" t="s">
        <v>2083</v>
      </c>
      <c r="K12" s="3" t="s">
        <v>2045</v>
      </c>
      <c r="L12" s="3" t="s">
        <v>2084</v>
      </c>
      <c r="M12" s="3" t="n">
        <v>12</v>
      </c>
      <c r="N12" s="3" t="n">
        <v>8</v>
      </c>
      <c r="O12" s="3" t="n">
        <v>0</v>
      </c>
      <c r="P12" s="3" t="n">
        <v>1</v>
      </c>
      <c r="Q12" s="3" t="s">
        <v>2085</v>
      </c>
    </row>
    <row r="13" customFormat="false" ht="15" hidden="false" customHeight="false" outlineLevel="0" collapsed="false">
      <c r="A13" s="3" t="s">
        <v>2086</v>
      </c>
      <c r="B13" s="3" t="s">
        <v>2087</v>
      </c>
      <c r="C13" s="3" t="n">
        <v>5</v>
      </c>
      <c r="D13" s="3" t="n">
        <v>5</v>
      </c>
      <c r="E13" s="3" t="n">
        <v>0</v>
      </c>
      <c r="F13" s="3" t="s">
        <v>1742</v>
      </c>
      <c r="G13" s="3" t="n">
        <v>3</v>
      </c>
      <c r="H13" s="3" t="n">
        <v>3</v>
      </c>
      <c r="I13" s="3" t="n">
        <v>2</v>
      </c>
      <c r="J13" s="3" t="s">
        <v>2088</v>
      </c>
      <c r="K13" s="3" t="s">
        <v>2045</v>
      </c>
      <c r="L13" s="3" t="s">
        <v>2089</v>
      </c>
      <c r="M13" s="3" t="n">
        <v>1</v>
      </c>
      <c r="N13" s="3" t="n">
        <v>2</v>
      </c>
      <c r="O13" s="3" t="n">
        <v>0</v>
      </c>
      <c r="P13" s="3" t="n">
        <v>0</v>
      </c>
      <c r="Q13" s="3" t="s">
        <v>2090</v>
      </c>
    </row>
    <row r="14" customFormat="false" ht="15" hidden="false" customHeight="false" outlineLevel="0" collapsed="false">
      <c r="A14" s="3" t="s">
        <v>2091</v>
      </c>
      <c r="B14" s="3" t="s">
        <v>2092</v>
      </c>
      <c r="C14" s="3" t="n">
        <v>5</v>
      </c>
      <c r="D14" s="3" t="n">
        <v>5</v>
      </c>
      <c r="E14" s="3" t="n">
        <v>0</v>
      </c>
      <c r="F14" s="3" t="s">
        <v>1742</v>
      </c>
      <c r="G14" s="3" t="n">
        <v>9</v>
      </c>
      <c r="H14" s="3" t="n">
        <v>9</v>
      </c>
      <c r="I14" s="3" t="n">
        <v>4</v>
      </c>
      <c r="J14" s="3" t="s">
        <v>2093</v>
      </c>
      <c r="K14" s="3" t="s">
        <v>2045</v>
      </c>
      <c r="L14" s="3" t="s">
        <v>2094</v>
      </c>
      <c r="M14" s="3" t="n">
        <v>6</v>
      </c>
      <c r="N14" s="3" t="n">
        <v>3</v>
      </c>
      <c r="O14" s="3" t="n">
        <v>0</v>
      </c>
      <c r="P14" s="3" t="n">
        <v>0</v>
      </c>
      <c r="Q14" s="3" t="s">
        <v>2095</v>
      </c>
    </row>
    <row r="15" customFormat="false" ht="15" hidden="false" customHeight="false" outlineLevel="0" collapsed="false">
      <c r="A15" s="3" t="s">
        <v>2096</v>
      </c>
      <c r="B15" s="3" t="s">
        <v>2097</v>
      </c>
      <c r="C15" s="3" t="n">
        <v>5</v>
      </c>
      <c r="D15" s="3" t="n">
        <v>5</v>
      </c>
      <c r="E15" s="3" t="n">
        <v>0</v>
      </c>
      <c r="F15" s="3" t="s">
        <v>1742</v>
      </c>
      <c r="G15" s="3" t="n">
        <v>6</v>
      </c>
      <c r="H15" s="3" t="n">
        <v>6</v>
      </c>
      <c r="I15" s="3" t="n">
        <v>4</v>
      </c>
      <c r="J15" s="3" t="s">
        <v>2098</v>
      </c>
      <c r="K15" s="3" t="s">
        <v>2045</v>
      </c>
      <c r="L15" s="3" t="s">
        <v>2099</v>
      </c>
      <c r="M15" s="3" t="n">
        <v>4</v>
      </c>
      <c r="N15" s="3" t="n">
        <v>2</v>
      </c>
      <c r="O15" s="3" t="n">
        <v>0</v>
      </c>
      <c r="P15" s="3" t="n">
        <v>0</v>
      </c>
      <c r="Q15" s="3" t="s">
        <v>2100</v>
      </c>
    </row>
    <row r="16" customFormat="false" ht="15" hidden="false" customHeight="false" outlineLevel="0" collapsed="false">
      <c r="A16" s="3" t="s">
        <v>2101</v>
      </c>
      <c r="B16" s="3" t="s">
        <v>2102</v>
      </c>
      <c r="C16" s="3" t="n">
        <v>5</v>
      </c>
      <c r="D16" s="3" t="n">
        <v>5</v>
      </c>
      <c r="E16" s="3" t="n">
        <v>0</v>
      </c>
      <c r="F16" s="3" t="s">
        <v>1742</v>
      </c>
      <c r="G16" s="3" t="n">
        <v>19</v>
      </c>
      <c r="H16" s="3" t="n">
        <v>19</v>
      </c>
      <c r="I16" s="3" t="n">
        <v>16</v>
      </c>
      <c r="J16" s="3" t="s">
        <v>2103</v>
      </c>
      <c r="K16" s="3" t="s">
        <v>2045</v>
      </c>
      <c r="L16" s="3" t="s">
        <v>2104</v>
      </c>
      <c r="M16" s="3" t="n">
        <v>9</v>
      </c>
      <c r="N16" s="3" t="n">
        <v>10</v>
      </c>
      <c r="O16" s="3" t="n">
        <v>0</v>
      </c>
      <c r="P16" s="3" t="n">
        <v>0</v>
      </c>
      <c r="Q16" s="3" t="s">
        <v>2105</v>
      </c>
    </row>
    <row r="17" customFormat="false" ht="15" hidden="false" customHeight="false" outlineLevel="0" collapsed="false">
      <c r="A17" s="3" t="s">
        <v>2106</v>
      </c>
      <c r="B17" s="3" t="s">
        <v>2107</v>
      </c>
      <c r="C17" s="3" t="n">
        <v>5</v>
      </c>
      <c r="D17" s="3" t="n">
        <v>5</v>
      </c>
      <c r="E17" s="3" t="n">
        <v>0</v>
      </c>
      <c r="F17" s="3" t="s">
        <v>1742</v>
      </c>
      <c r="G17" s="3" t="n">
        <v>14</v>
      </c>
      <c r="H17" s="3" t="n">
        <v>14</v>
      </c>
      <c r="I17" s="3" t="n">
        <v>14</v>
      </c>
      <c r="J17" s="3" t="s">
        <v>2108</v>
      </c>
      <c r="K17" s="3" t="s">
        <v>2045</v>
      </c>
      <c r="L17" s="3" t="s">
        <v>2109</v>
      </c>
      <c r="M17" s="3" t="n">
        <v>7</v>
      </c>
      <c r="N17" s="3" t="n">
        <v>6</v>
      </c>
      <c r="O17" s="3" t="n">
        <v>0</v>
      </c>
      <c r="P17" s="3" t="n">
        <v>1</v>
      </c>
      <c r="Q17" s="3" t="s">
        <v>2110</v>
      </c>
    </row>
    <row r="18" customFormat="false" ht="15" hidden="false" customHeight="false" outlineLevel="0" collapsed="false">
      <c r="A18" s="3" t="s">
        <v>2111</v>
      </c>
      <c r="B18" s="3" t="s">
        <v>2112</v>
      </c>
      <c r="C18" s="3" t="n">
        <v>4</v>
      </c>
      <c r="D18" s="3" t="n">
        <v>4</v>
      </c>
      <c r="E18" s="3" t="n">
        <v>0</v>
      </c>
      <c r="F18" s="3" t="s">
        <v>1742</v>
      </c>
      <c r="G18" s="3" t="n">
        <v>1</v>
      </c>
      <c r="H18" s="3" t="n">
        <v>1</v>
      </c>
      <c r="I18" s="3" t="n">
        <v>1</v>
      </c>
      <c r="J18" s="3" t="s">
        <v>2068</v>
      </c>
      <c r="K18" s="3" t="s">
        <v>2045</v>
      </c>
      <c r="L18" s="3" t="s">
        <v>2113</v>
      </c>
      <c r="M18" s="3" t="n">
        <v>0</v>
      </c>
      <c r="N18" s="3" t="n">
        <v>1</v>
      </c>
      <c r="O18" s="3" t="n">
        <v>0</v>
      </c>
      <c r="P18" s="3" t="n">
        <v>0</v>
      </c>
      <c r="Q18" s="3" t="s">
        <v>2070</v>
      </c>
    </row>
    <row r="19" customFormat="false" ht="15" hidden="false" customHeight="false" outlineLevel="0" collapsed="false">
      <c r="A19" s="3" t="s">
        <v>2114</v>
      </c>
      <c r="B19" s="3" t="s">
        <v>2115</v>
      </c>
      <c r="C19" s="3" t="n">
        <v>5</v>
      </c>
      <c r="D19" s="3" t="n">
        <v>5</v>
      </c>
      <c r="E19" s="3" t="n">
        <v>0</v>
      </c>
      <c r="F19" s="3" t="s">
        <v>1742</v>
      </c>
      <c r="G19" s="3" t="n">
        <v>20</v>
      </c>
      <c r="H19" s="3" t="n">
        <v>20</v>
      </c>
      <c r="I19" s="3" t="n">
        <v>5</v>
      </c>
      <c r="J19" s="3" t="s">
        <v>2073</v>
      </c>
      <c r="K19" s="3" t="s">
        <v>2045</v>
      </c>
      <c r="L19" s="3" t="s">
        <v>2116</v>
      </c>
      <c r="M19" s="3" t="n">
        <v>5</v>
      </c>
      <c r="N19" s="3" t="n">
        <v>15</v>
      </c>
      <c r="O19" s="3" t="n">
        <v>0</v>
      </c>
      <c r="P19" s="3" t="n">
        <v>0</v>
      </c>
      <c r="Q19" s="3" t="s">
        <v>2117</v>
      </c>
    </row>
    <row r="20" customFormat="false" ht="15" hidden="false" customHeight="false" outlineLevel="0" collapsed="false">
      <c r="A20" s="3" t="s">
        <v>2118</v>
      </c>
      <c r="B20" s="3" t="s">
        <v>2119</v>
      </c>
      <c r="C20" s="3" t="n">
        <v>5</v>
      </c>
      <c r="D20" s="3" t="n">
        <v>5</v>
      </c>
      <c r="E20" s="3" t="n">
        <v>0</v>
      </c>
      <c r="F20" s="3" t="s">
        <v>1742</v>
      </c>
      <c r="G20" s="3" t="n">
        <v>46</v>
      </c>
      <c r="H20" s="3" t="n">
        <v>39</v>
      </c>
      <c r="I20" s="3" t="n">
        <v>30</v>
      </c>
      <c r="J20" s="3" t="s">
        <v>2120</v>
      </c>
      <c r="K20" s="3" t="s">
        <v>2045</v>
      </c>
      <c r="L20" s="3" t="s">
        <v>2121</v>
      </c>
      <c r="M20" s="3" t="n">
        <v>11</v>
      </c>
      <c r="N20" s="3" t="n">
        <v>35</v>
      </c>
      <c r="O20" s="3" t="n">
        <v>0</v>
      </c>
      <c r="P20" s="3" t="n">
        <v>0</v>
      </c>
      <c r="Q20" s="3" t="s">
        <v>2122</v>
      </c>
    </row>
    <row r="21" customFormat="false" ht="15" hidden="false" customHeight="false" outlineLevel="0" collapsed="false">
      <c r="A21" s="3" t="s">
        <v>2123</v>
      </c>
      <c r="B21" s="3" t="s">
        <v>2124</v>
      </c>
      <c r="C21" s="3" t="n">
        <v>4</v>
      </c>
      <c r="D21" s="3" t="n">
        <v>4</v>
      </c>
      <c r="E21" s="3" t="n">
        <v>0</v>
      </c>
      <c r="F21" s="3" t="s">
        <v>1742</v>
      </c>
      <c r="G21" s="3" t="n">
        <v>24</v>
      </c>
      <c r="H21" s="3" t="n">
        <v>22</v>
      </c>
      <c r="I21" s="3" t="n">
        <v>17</v>
      </c>
      <c r="J21" s="3" t="s">
        <v>2125</v>
      </c>
      <c r="K21" s="3" t="s">
        <v>2045</v>
      </c>
      <c r="L21" s="3" t="s">
        <v>2126</v>
      </c>
      <c r="M21" s="3" t="n">
        <v>6</v>
      </c>
      <c r="N21" s="3" t="n">
        <v>17</v>
      </c>
      <c r="O21" s="3" t="n">
        <v>0</v>
      </c>
      <c r="P21" s="3" t="n">
        <v>1</v>
      </c>
      <c r="Q21" s="3" t="s">
        <v>2127</v>
      </c>
    </row>
    <row r="22" customFormat="false" ht="15" hidden="false" customHeight="false" outlineLevel="0" collapsed="false">
      <c r="A22" s="3" t="s">
        <v>2128</v>
      </c>
      <c r="B22" s="3" t="s">
        <v>2129</v>
      </c>
      <c r="C22" s="3" t="n">
        <v>5</v>
      </c>
      <c r="D22" s="3" t="n">
        <v>5</v>
      </c>
      <c r="E22" s="3" t="n">
        <v>0</v>
      </c>
      <c r="F22" s="3" t="s">
        <v>1742</v>
      </c>
      <c r="G22" s="3" t="n">
        <v>2</v>
      </c>
      <c r="H22" s="3" t="n">
        <v>2</v>
      </c>
      <c r="I22" s="3" t="n">
        <v>1</v>
      </c>
      <c r="J22" s="3" t="s">
        <v>2130</v>
      </c>
      <c r="K22" s="3" t="s">
        <v>2045</v>
      </c>
      <c r="L22" s="3" t="s">
        <v>2131</v>
      </c>
      <c r="M22" s="3" t="n">
        <v>1</v>
      </c>
      <c r="N22" s="3" t="n">
        <v>1</v>
      </c>
      <c r="O22" s="3" t="n">
        <v>0</v>
      </c>
      <c r="P22" s="3" t="n">
        <v>0</v>
      </c>
      <c r="Q22" s="3" t="s">
        <v>2132</v>
      </c>
    </row>
    <row r="23" customFormat="false" ht="15" hidden="false" customHeight="false" outlineLevel="0" collapsed="false">
      <c r="A23" s="3" t="s">
        <v>2133</v>
      </c>
      <c r="B23" s="3" t="s">
        <v>2134</v>
      </c>
      <c r="C23" s="3" t="n">
        <v>4</v>
      </c>
      <c r="D23" s="3" t="n">
        <v>4</v>
      </c>
      <c r="E23" s="3" t="n">
        <v>0</v>
      </c>
      <c r="F23" s="3" t="s">
        <v>1742</v>
      </c>
      <c r="G23" s="3" t="n">
        <v>27</v>
      </c>
      <c r="H23" s="3" t="n">
        <v>22</v>
      </c>
      <c r="I23" s="3" t="n">
        <v>22</v>
      </c>
      <c r="J23" s="3" t="s">
        <v>2135</v>
      </c>
      <c r="K23" s="3" t="s">
        <v>2045</v>
      </c>
      <c r="L23" s="3" t="s">
        <v>2136</v>
      </c>
      <c r="M23" s="3" t="n">
        <v>8</v>
      </c>
      <c r="N23" s="3" t="n">
        <v>19</v>
      </c>
      <c r="O23" s="3" t="n">
        <v>0</v>
      </c>
      <c r="P23" s="3" t="n">
        <v>0</v>
      </c>
      <c r="Q23" s="3" t="s">
        <v>2137</v>
      </c>
    </row>
    <row r="24" customFormat="false" ht="15" hidden="false" customHeight="false" outlineLevel="0" collapsed="false">
      <c r="A24" s="3" t="s">
        <v>2138</v>
      </c>
      <c r="B24" s="3" t="s">
        <v>2139</v>
      </c>
      <c r="C24" s="3" t="n">
        <v>5</v>
      </c>
      <c r="D24" s="3" t="n">
        <v>5</v>
      </c>
      <c r="E24" s="3" t="n">
        <v>0</v>
      </c>
      <c r="F24" s="3" t="s">
        <v>1742</v>
      </c>
      <c r="G24" s="3" t="n">
        <v>38</v>
      </c>
      <c r="H24" s="3" t="n">
        <v>31</v>
      </c>
      <c r="I24" s="3" t="n">
        <v>36</v>
      </c>
      <c r="J24" s="3" t="s">
        <v>2140</v>
      </c>
      <c r="K24" s="3" t="s">
        <v>2045</v>
      </c>
      <c r="L24" s="3" t="s">
        <v>2141</v>
      </c>
      <c r="M24" s="3" t="n">
        <v>11</v>
      </c>
      <c r="N24" s="3" t="n">
        <v>27</v>
      </c>
      <c r="O24" s="3" t="n">
        <v>0</v>
      </c>
      <c r="P24" s="3" t="n">
        <v>0</v>
      </c>
      <c r="Q24" s="3" t="s">
        <v>2142</v>
      </c>
    </row>
    <row r="25" customFormat="false" ht="15" hidden="false" customHeight="false" outlineLevel="0" collapsed="false">
      <c r="A25" s="3" t="s">
        <v>2143</v>
      </c>
      <c r="B25" s="3" t="s">
        <v>2144</v>
      </c>
      <c r="C25" s="3" t="n">
        <v>5</v>
      </c>
      <c r="D25" s="3" t="n">
        <v>5</v>
      </c>
      <c r="E25" s="3" t="n">
        <v>0</v>
      </c>
      <c r="F25" s="3" t="s">
        <v>1742</v>
      </c>
      <c r="G25" s="3" t="n">
        <v>22</v>
      </c>
      <c r="H25" s="3" t="n">
        <v>18</v>
      </c>
      <c r="I25" s="3" t="n">
        <v>19</v>
      </c>
      <c r="J25" s="3" t="s">
        <v>2145</v>
      </c>
      <c r="K25" s="3" t="s">
        <v>2045</v>
      </c>
      <c r="L25" s="3" t="s">
        <v>2146</v>
      </c>
      <c r="M25" s="3" t="n">
        <v>5</v>
      </c>
      <c r="N25" s="3" t="n">
        <v>17</v>
      </c>
      <c r="O25" s="3" t="n">
        <v>0</v>
      </c>
      <c r="P25" s="3" t="n">
        <v>0</v>
      </c>
      <c r="Q25" s="3" t="s">
        <v>2147</v>
      </c>
    </row>
    <row r="26" customFormat="false" ht="15" hidden="false" customHeight="false" outlineLevel="0" collapsed="false">
      <c r="A26" s="3" t="s">
        <v>2148</v>
      </c>
      <c r="B26" s="3" t="s">
        <v>2149</v>
      </c>
      <c r="C26" s="3" t="n">
        <v>5</v>
      </c>
      <c r="D26" s="3" t="n">
        <v>5</v>
      </c>
      <c r="E26" s="3" t="n">
        <v>0</v>
      </c>
      <c r="F26" s="3" t="s">
        <v>1742</v>
      </c>
      <c r="G26" s="3" t="n">
        <v>3</v>
      </c>
      <c r="H26" s="3" t="n">
        <v>3</v>
      </c>
      <c r="I26" s="3" t="n">
        <v>3</v>
      </c>
      <c r="J26" s="3" t="s">
        <v>2088</v>
      </c>
      <c r="K26" s="3" t="s">
        <v>2045</v>
      </c>
      <c r="L26" s="3" t="s">
        <v>2150</v>
      </c>
      <c r="M26" s="3" t="n">
        <v>1</v>
      </c>
      <c r="N26" s="3" t="n">
        <v>2</v>
      </c>
      <c r="O26" s="3" t="n">
        <v>0</v>
      </c>
      <c r="P26" s="3" t="n">
        <v>0</v>
      </c>
      <c r="Q26" s="3" t="s">
        <v>2090</v>
      </c>
    </row>
    <row r="27" customFormat="false" ht="15" hidden="false" customHeight="false" outlineLevel="0" collapsed="false">
      <c r="A27" s="3" t="s">
        <v>2151</v>
      </c>
      <c r="B27" s="3" t="s">
        <v>2152</v>
      </c>
      <c r="C27" s="3" t="n">
        <v>5</v>
      </c>
      <c r="D27" s="3" t="n">
        <v>5</v>
      </c>
      <c r="E27" s="3" t="n">
        <v>0</v>
      </c>
      <c r="F27" s="3" t="s">
        <v>1742</v>
      </c>
      <c r="G27" s="3" t="n">
        <v>21</v>
      </c>
      <c r="H27" s="3" t="n">
        <v>19</v>
      </c>
      <c r="I27" s="3" t="n">
        <v>16</v>
      </c>
      <c r="J27" s="3" t="s">
        <v>2083</v>
      </c>
      <c r="K27" s="3" t="s">
        <v>2045</v>
      </c>
      <c r="L27" s="3" t="s">
        <v>2153</v>
      </c>
      <c r="M27" s="3" t="n">
        <v>5</v>
      </c>
      <c r="N27" s="3" t="n">
        <v>16</v>
      </c>
      <c r="O27" s="3" t="n">
        <v>0</v>
      </c>
      <c r="P27" s="3" t="n">
        <v>0</v>
      </c>
      <c r="Q27" s="3" t="s">
        <v>2154</v>
      </c>
    </row>
    <row r="28" customFormat="false" ht="15" hidden="false" customHeight="false" outlineLevel="0" collapsed="false">
      <c r="A28" s="3" t="s">
        <v>2155</v>
      </c>
      <c r="B28" s="3" t="s">
        <v>2156</v>
      </c>
      <c r="C28" s="3" t="n">
        <v>4</v>
      </c>
      <c r="D28" s="3" t="n">
        <v>4</v>
      </c>
      <c r="E28" s="3" t="n">
        <v>0</v>
      </c>
      <c r="F28" s="3" t="s">
        <v>1742</v>
      </c>
      <c r="G28" s="3" t="n">
        <v>5</v>
      </c>
      <c r="H28" s="3" t="n">
        <v>4</v>
      </c>
      <c r="I28" s="3" t="n">
        <v>5</v>
      </c>
      <c r="J28" s="3" t="s">
        <v>2157</v>
      </c>
      <c r="K28" s="3" t="s">
        <v>2045</v>
      </c>
      <c r="L28" s="3" t="s">
        <v>2158</v>
      </c>
      <c r="M28" s="3" t="n">
        <v>2</v>
      </c>
      <c r="N28" s="3" t="n">
        <v>3</v>
      </c>
      <c r="O28" s="3" t="n">
        <v>0</v>
      </c>
      <c r="P28" s="3" t="n">
        <v>0</v>
      </c>
      <c r="Q28" s="3" t="s">
        <v>2159</v>
      </c>
    </row>
    <row r="29" customFormat="false" ht="15" hidden="false" customHeight="false" outlineLevel="0" collapsed="false">
      <c r="A29" s="3" t="s">
        <v>2160</v>
      </c>
      <c r="B29" s="3" t="s">
        <v>2161</v>
      </c>
      <c r="C29" s="3" t="n">
        <v>5</v>
      </c>
      <c r="D29" s="3" t="n">
        <v>5</v>
      </c>
      <c r="E29" s="3" t="n">
        <v>0</v>
      </c>
      <c r="F29" s="3" t="s">
        <v>1742</v>
      </c>
      <c r="G29" s="3" t="n">
        <v>8</v>
      </c>
      <c r="H29" s="3" t="n">
        <v>7</v>
      </c>
      <c r="I29" s="3" t="n">
        <v>8</v>
      </c>
      <c r="J29" s="3" t="s">
        <v>2162</v>
      </c>
      <c r="K29" s="3" t="s">
        <v>2045</v>
      </c>
      <c r="L29" s="3" t="s">
        <v>2163</v>
      </c>
      <c r="M29" s="3" t="n">
        <v>3</v>
      </c>
      <c r="N29" s="3" t="n">
        <v>5</v>
      </c>
      <c r="O29" s="3" t="n">
        <v>0</v>
      </c>
      <c r="P29" s="3" t="n">
        <v>0</v>
      </c>
      <c r="Q29" s="3" t="s">
        <v>2164</v>
      </c>
    </row>
    <row r="30" customFormat="false" ht="15" hidden="false" customHeight="false" outlineLevel="0" collapsed="false">
      <c r="A30" s="3" t="s">
        <v>2165</v>
      </c>
      <c r="B30" s="3" t="s">
        <v>2166</v>
      </c>
      <c r="C30" s="3" t="n">
        <v>5</v>
      </c>
      <c r="D30" s="3" t="n">
        <v>5</v>
      </c>
      <c r="E30" s="3" t="n">
        <v>0</v>
      </c>
      <c r="F30" s="3" t="s">
        <v>1742</v>
      </c>
      <c r="G30" s="3" t="n">
        <v>26</v>
      </c>
      <c r="H30" s="3" t="n">
        <v>24</v>
      </c>
      <c r="I30" s="3" t="n">
        <v>20</v>
      </c>
      <c r="J30" s="3" t="s">
        <v>2167</v>
      </c>
      <c r="K30" s="3" t="s">
        <v>2045</v>
      </c>
      <c r="L30" s="3" t="s">
        <v>2168</v>
      </c>
      <c r="M30" s="3" t="n">
        <v>11</v>
      </c>
      <c r="N30" s="3" t="n">
        <v>15</v>
      </c>
      <c r="O30" s="3" t="n">
        <v>0</v>
      </c>
      <c r="P30" s="3" t="n">
        <v>0</v>
      </c>
      <c r="Q30" s="3" t="s">
        <v>2169</v>
      </c>
    </row>
    <row r="31" customFormat="false" ht="15" hidden="false" customHeight="false" outlineLevel="0" collapsed="false">
      <c r="A31" s="3" t="s">
        <v>2170</v>
      </c>
      <c r="B31" s="3" t="s">
        <v>2171</v>
      </c>
      <c r="C31" s="3" t="n">
        <v>4</v>
      </c>
      <c r="D31" s="3" t="n">
        <v>4</v>
      </c>
      <c r="E31" s="3" t="n">
        <v>0</v>
      </c>
      <c r="F31" s="3" t="s">
        <v>1742</v>
      </c>
      <c r="G31" s="3" t="n">
        <v>1</v>
      </c>
      <c r="H31" s="3" t="n">
        <v>1</v>
      </c>
      <c r="I31" s="3" t="n">
        <v>1</v>
      </c>
      <c r="J31" s="3" t="s">
        <v>2068</v>
      </c>
      <c r="K31" s="3" t="s">
        <v>2045</v>
      </c>
      <c r="L31" s="3" t="s">
        <v>2172</v>
      </c>
      <c r="M31" s="3" t="n">
        <v>0</v>
      </c>
      <c r="N31" s="3" t="n">
        <v>1</v>
      </c>
      <c r="O31" s="3" t="n">
        <v>0</v>
      </c>
      <c r="P31" s="3" t="n">
        <v>0</v>
      </c>
      <c r="Q31" s="3" t="s">
        <v>2070</v>
      </c>
    </row>
    <row r="32" customFormat="false" ht="15" hidden="false" customHeight="false" outlineLevel="0" collapsed="false">
      <c r="A32" s="3" t="s">
        <v>2173</v>
      </c>
      <c r="B32" s="3" t="s">
        <v>2174</v>
      </c>
      <c r="C32" s="3" t="n">
        <v>3</v>
      </c>
      <c r="D32" s="3" t="n">
        <v>3</v>
      </c>
      <c r="E32" s="3" t="n">
        <v>0</v>
      </c>
      <c r="F32" s="3" t="s">
        <v>1742</v>
      </c>
      <c r="G32" s="3" t="n">
        <v>23</v>
      </c>
      <c r="H32" s="3" t="n">
        <v>20</v>
      </c>
      <c r="I32" s="3" t="n">
        <v>15</v>
      </c>
      <c r="J32" s="3" t="s">
        <v>2175</v>
      </c>
      <c r="K32" s="3" t="s">
        <v>2045</v>
      </c>
      <c r="L32" s="3" t="s">
        <v>2176</v>
      </c>
      <c r="M32" s="3" t="n">
        <v>17</v>
      </c>
      <c r="N32" s="3" t="n">
        <v>6</v>
      </c>
      <c r="O32" s="3" t="n">
        <v>0</v>
      </c>
      <c r="P32" s="3" t="n">
        <v>0</v>
      </c>
      <c r="Q32" s="3" t="s">
        <v>2177</v>
      </c>
    </row>
    <row r="33" customFormat="false" ht="15" hidden="false" customHeight="false" outlineLevel="0" collapsed="false">
      <c r="A33" s="3" t="s">
        <v>2178</v>
      </c>
      <c r="B33" s="3" t="s">
        <v>2179</v>
      </c>
      <c r="C33" s="3" t="n">
        <v>5</v>
      </c>
      <c r="D33" s="3" t="n">
        <v>5</v>
      </c>
      <c r="E33" s="3" t="n">
        <v>0</v>
      </c>
      <c r="F33" s="3" t="s">
        <v>1742</v>
      </c>
      <c r="G33" s="3" t="n">
        <v>49</v>
      </c>
      <c r="H33" s="3" t="n">
        <v>40</v>
      </c>
      <c r="I33" s="3" t="n">
        <v>47</v>
      </c>
      <c r="J33" s="3" t="s">
        <v>2180</v>
      </c>
      <c r="K33" s="3" t="s">
        <v>2045</v>
      </c>
      <c r="L33" s="3" t="s">
        <v>2181</v>
      </c>
      <c r="M33" s="3" t="n">
        <v>29</v>
      </c>
      <c r="N33" s="3" t="n">
        <v>20</v>
      </c>
      <c r="O33" s="3" t="n">
        <v>0</v>
      </c>
      <c r="P33" s="3" t="n">
        <v>0</v>
      </c>
      <c r="Q33" s="3" t="s">
        <v>2182</v>
      </c>
    </row>
    <row r="34" customFormat="false" ht="15" hidden="false" customHeight="false" outlineLevel="0" collapsed="false">
      <c r="A34" s="3" t="s">
        <v>2183</v>
      </c>
      <c r="B34" s="3" t="s">
        <v>2184</v>
      </c>
      <c r="C34" s="3" t="n">
        <v>4</v>
      </c>
      <c r="D34" s="3" t="n">
        <v>4</v>
      </c>
      <c r="E34" s="3" t="n">
        <v>0</v>
      </c>
      <c r="F34" s="3" t="s">
        <v>1742</v>
      </c>
      <c r="G34" s="3" t="n">
        <v>37</v>
      </c>
      <c r="H34" s="3" t="n">
        <v>33</v>
      </c>
      <c r="I34" s="3" t="n">
        <v>33</v>
      </c>
      <c r="J34" s="3" t="s">
        <v>2185</v>
      </c>
      <c r="K34" s="3" t="s">
        <v>2045</v>
      </c>
      <c r="L34" s="3" t="s">
        <v>2186</v>
      </c>
      <c r="M34" s="3" t="n">
        <v>12</v>
      </c>
      <c r="N34" s="3" t="n">
        <v>25</v>
      </c>
      <c r="O34" s="3" t="n">
        <v>0</v>
      </c>
      <c r="P34" s="3" t="n">
        <v>0</v>
      </c>
      <c r="Q34" s="3" t="s">
        <v>2187</v>
      </c>
    </row>
    <row r="35" customFormat="false" ht="15" hidden="false" customHeight="false" outlineLevel="0" collapsed="false">
      <c r="A35" s="3" t="s">
        <v>2188</v>
      </c>
      <c r="B35" s="3" t="s">
        <v>2189</v>
      </c>
      <c r="C35" s="3" t="n">
        <v>5</v>
      </c>
      <c r="D35" s="3" t="n">
        <v>5</v>
      </c>
      <c r="E35" s="3" t="n">
        <v>0</v>
      </c>
      <c r="F35" s="3" t="s">
        <v>1742</v>
      </c>
      <c r="G35" s="3" t="n">
        <v>4</v>
      </c>
      <c r="H35" s="3" t="n">
        <v>4</v>
      </c>
      <c r="I35" s="3" t="n">
        <v>3</v>
      </c>
      <c r="J35" s="3" t="s">
        <v>2190</v>
      </c>
      <c r="K35" s="3" t="s">
        <v>2045</v>
      </c>
      <c r="L35" s="3" t="s">
        <v>2191</v>
      </c>
      <c r="M35" s="3" t="n">
        <v>3</v>
      </c>
      <c r="N35" s="3" t="n">
        <v>1</v>
      </c>
      <c r="O35" s="3" t="n">
        <v>0</v>
      </c>
      <c r="P35" s="3" t="n">
        <v>0</v>
      </c>
      <c r="Q35" s="3" t="s">
        <v>2192</v>
      </c>
    </row>
    <row r="36" customFormat="false" ht="15" hidden="false" customHeight="false" outlineLevel="0" collapsed="false">
      <c r="A36" s="3" t="s">
        <v>2193</v>
      </c>
      <c r="B36" s="3" t="s">
        <v>2194</v>
      </c>
      <c r="C36" s="3" t="n">
        <v>4</v>
      </c>
      <c r="D36" s="3" t="n">
        <v>4</v>
      </c>
      <c r="E36" s="3" t="n">
        <v>0</v>
      </c>
      <c r="F36" s="3" t="s">
        <v>1742</v>
      </c>
      <c r="G36" s="3" t="n">
        <v>4</v>
      </c>
      <c r="H36" s="3" t="n">
        <v>4</v>
      </c>
      <c r="I36" s="3" t="n">
        <v>4</v>
      </c>
      <c r="J36" s="3" t="s">
        <v>2195</v>
      </c>
      <c r="K36" s="3" t="s">
        <v>2045</v>
      </c>
      <c r="L36" s="3" t="s">
        <v>2196</v>
      </c>
      <c r="M36" s="3" t="n">
        <v>4</v>
      </c>
      <c r="N36" s="3" t="n">
        <v>0</v>
      </c>
      <c r="O36" s="3" t="n">
        <v>0</v>
      </c>
      <c r="P36" s="3" t="n">
        <v>0</v>
      </c>
      <c r="Q36" s="3" t="s">
        <v>2197</v>
      </c>
    </row>
    <row r="37" customFormat="false" ht="15" hidden="false" customHeight="false" outlineLevel="0" collapsed="false">
      <c r="A37" s="3" t="s">
        <v>2198</v>
      </c>
      <c r="B37" s="3" t="s">
        <v>2199</v>
      </c>
      <c r="C37" s="3" t="n">
        <v>5</v>
      </c>
      <c r="D37" s="3" t="n">
        <v>5</v>
      </c>
      <c r="E37" s="3" t="n">
        <v>0</v>
      </c>
      <c r="F37" s="3" t="s">
        <v>1742</v>
      </c>
      <c r="G37" s="3" t="n">
        <v>26</v>
      </c>
      <c r="H37" s="3" t="n">
        <v>20</v>
      </c>
      <c r="I37" s="3" t="n">
        <v>24</v>
      </c>
      <c r="J37" s="3" t="s">
        <v>2167</v>
      </c>
      <c r="K37" s="3" t="s">
        <v>2045</v>
      </c>
      <c r="L37" s="3" t="s">
        <v>2200</v>
      </c>
      <c r="M37" s="3" t="n">
        <v>7</v>
      </c>
      <c r="N37" s="3" t="n">
        <v>19</v>
      </c>
      <c r="O37" s="3" t="n">
        <v>0</v>
      </c>
      <c r="P37" s="3" t="n">
        <v>0</v>
      </c>
      <c r="Q37" s="3" t="s">
        <v>2201</v>
      </c>
    </row>
    <row r="38" customFormat="false" ht="15" hidden="false" customHeight="false" outlineLevel="0" collapsed="false">
      <c r="A38" s="3" t="s">
        <v>2202</v>
      </c>
      <c r="B38" s="3" t="s">
        <v>2203</v>
      </c>
      <c r="C38" s="3" t="n">
        <v>5</v>
      </c>
      <c r="D38" s="3" t="n">
        <v>5</v>
      </c>
      <c r="E38" s="3" t="n">
        <v>0</v>
      </c>
      <c r="F38" s="3" t="s">
        <v>1742</v>
      </c>
      <c r="G38" s="3" t="n">
        <v>16</v>
      </c>
      <c r="H38" s="3" t="n">
        <v>14</v>
      </c>
      <c r="I38" s="3" t="n">
        <v>16</v>
      </c>
      <c r="J38" s="3" t="s">
        <v>2204</v>
      </c>
      <c r="K38" s="3" t="s">
        <v>2045</v>
      </c>
      <c r="L38" s="3" t="s">
        <v>2205</v>
      </c>
      <c r="M38" s="3" t="n">
        <v>6</v>
      </c>
      <c r="N38" s="3" t="n">
        <v>10</v>
      </c>
      <c r="O38" s="3" t="n">
        <v>0</v>
      </c>
      <c r="P38" s="3" t="n">
        <v>0</v>
      </c>
      <c r="Q38" s="3" t="s">
        <v>2080</v>
      </c>
    </row>
    <row r="39" customFormat="false" ht="15" hidden="false" customHeight="false" outlineLevel="0" collapsed="false">
      <c r="A39" s="3" t="s">
        <v>2206</v>
      </c>
      <c r="B39" s="3" t="s">
        <v>2207</v>
      </c>
      <c r="C39" s="3" t="n">
        <v>5</v>
      </c>
      <c r="D39" s="3" t="n">
        <v>5</v>
      </c>
      <c r="E39" s="3" t="n">
        <v>0</v>
      </c>
      <c r="F39" s="3" t="s">
        <v>1742</v>
      </c>
      <c r="G39" s="3" t="n">
        <v>9</v>
      </c>
      <c r="H39" s="3" t="n">
        <v>7</v>
      </c>
      <c r="I39" s="3" t="n">
        <v>9</v>
      </c>
      <c r="J39" s="3" t="s">
        <v>2093</v>
      </c>
      <c r="K39" s="3" t="s">
        <v>2045</v>
      </c>
      <c r="L39" s="3" t="s">
        <v>2208</v>
      </c>
      <c r="M39" s="3" t="n">
        <v>3</v>
      </c>
      <c r="N39" s="3" t="n">
        <v>6</v>
      </c>
      <c r="O39" s="3" t="n">
        <v>0</v>
      </c>
      <c r="P39" s="3" t="n">
        <v>0</v>
      </c>
      <c r="Q39" s="3" t="s">
        <v>2209</v>
      </c>
    </row>
    <row r="40" customFormat="false" ht="15" hidden="false" customHeight="false" outlineLevel="0" collapsed="false">
      <c r="A40" s="3" t="s">
        <v>2210</v>
      </c>
      <c r="B40" s="3" t="s">
        <v>2211</v>
      </c>
      <c r="C40" s="3" t="n">
        <v>4</v>
      </c>
      <c r="D40" s="3" t="n">
        <v>4</v>
      </c>
      <c r="E40" s="3" t="n">
        <v>0</v>
      </c>
      <c r="F40" s="3" t="s">
        <v>1742</v>
      </c>
      <c r="G40" s="3" t="n">
        <v>19</v>
      </c>
      <c r="H40" s="3" t="n">
        <v>17</v>
      </c>
      <c r="I40" s="3" t="n">
        <v>13</v>
      </c>
      <c r="J40" s="3" t="s">
        <v>2212</v>
      </c>
      <c r="K40" s="3" t="s">
        <v>2045</v>
      </c>
      <c r="L40" s="3" t="s">
        <v>2213</v>
      </c>
      <c r="M40" s="3" t="n">
        <v>6</v>
      </c>
      <c r="N40" s="3" t="n">
        <v>13</v>
      </c>
      <c r="O40" s="3" t="n">
        <v>0</v>
      </c>
      <c r="P40" s="3" t="n">
        <v>0</v>
      </c>
      <c r="Q40" s="3" t="s">
        <v>2214</v>
      </c>
    </row>
    <row r="41" customFormat="false" ht="15" hidden="false" customHeight="false" outlineLevel="0" collapsed="false">
      <c r="A41" s="3" t="s">
        <v>2215</v>
      </c>
      <c r="B41" s="3" t="s">
        <v>2216</v>
      </c>
      <c r="C41" s="3" t="n">
        <v>5</v>
      </c>
      <c r="D41" s="3" t="n">
        <v>5</v>
      </c>
      <c r="E41" s="3" t="n">
        <v>0</v>
      </c>
      <c r="F41" s="3" t="s">
        <v>1742</v>
      </c>
      <c r="G41" s="3" t="n">
        <v>12</v>
      </c>
      <c r="H41" s="3" t="n">
        <v>11</v>
      </c>
      <c r="I41" s="3" t="n">
        <v>11</v>
      </c>
      <c r="J41" s="3" t="s">
        <v>2217</v>
      </c>
      <c r="K41" s="3" t="s">
        <v>2045</v>
      </c>
      <c r="L41" s="3" t="s">
        <v>2218</v>
      </c>
      <c r="M41" s="3" t="n">
        <v>3</v>
      </c>
      <c r="N41" s="3" t="n">
        <v>9</v>
      </c>
      <c r="O41" s="3" t="n">
        <v>0</v>
      </c>
      <c r="P41" s="3" t="n">
        <v>0</v>
      </c>
      <c r="Q41" s="3" t="s">
        <v>2219</v>
      </c>
    </row>
    <row r="42" customFormat="false" ht="15" hidden="false" customHeight="false" outlineLevel="0" collapsed="false">
      <c r="A42" s="3" t="s">
        <v>2220</v>
      </c>
      <c r="B42" s="3" t="s">
        <v>2221</v>
      </c>
      <c r="C42" s="3" t="n">
        <v>5</v>
      </c>
      <c r="D42" s="3" t="n">
        <v>5</v>
      </c>
      <c r="E42" s="3" t="n">
        <v>0</v>
      </c>
      <c r="F42" s="3" t="s">
        <v>1742</v>
      </c>
      <c r="G42" s="3" t="n">
        <v>17</v>
      </c>
      <c r="H42" s="3" t="n">
        <v>17</v>
      </c>
      <c r="I42" s="3" t="n">
        <v>16</v>
      </c>
      <c r="J42" s="3" t="s">
        <v>2222</v>
      </c>
      <c r="K42" s="3" t="s">
        <v>2045</v>
      </c>
      <c r="L42" s="3" t="s">
        <v>2223</v>
      </c>
      <c r="M42" s="3" t="n">
        <v>10</v>
      </c>
      <c r="N42" s="3" t="n">
        <v>7</v>
      </c>
      <c r="O42" s="3" t="n">
        <v>0</v>
      </c>
      <c r="P42" s="3" t="n">
        <v>0</v>
      </c>
      <c r="Q42" s="3" t="s">
        <v>2224</v>
      </c>
    </row>
    <row r="43" customFormat="false" ht="15" hidden="false" customHeight="false" outlineLevel="0" collapsed="false">
      <c r="A43" s="3" t="s">
        <v>2225</v>
      </c>
      <c r="B43" s="3" t="s">
        <v>2226</v>
      </c>
      <c r="C43" s="3" t="n">
        <v>5</v>
      </c>
      <c r="D43" s="3" t="n">
        <v>5</v>
      </c>
      <c r="E43" s="3" t="n">
        <v>0</v>
      </c>
      <c r="F43" s="3" t="s">
        <v>1742</v>
      </c>
      <c r="G43" s="3" t="n">
        <v>30</v>
      </c>
      <c r="H43" s="3" t="n">
        <v>26</v>
      </c>
      <c r="I43" s="3" t="n">
        <v>29</v>
      </c>
      <c r="J43" s="3" t="s">
        <v>2227</v>
      </c>
      <c r="K43" s="3" t="s">
        <v>2045</v>
      </c>
      <c r="L43" s="3" t="s">
        <v>2228</v>
      </c>
      <c r="M43" s="3" t="n">
        <v>10</v>
      </c>
      <c r="N43" s="3" t="n">
        <v>20</v>
      </c>
      <c r="O43" s="3" t="n">
        <v>0</v>
      </c>
      <c r="P43" s="3" t="n">
        <v>0</v>
      </c>
      <c r="Q43" s="3" t="s">
        <v>2229</v>
      </c>
    </row>
    <row r="44" customFormat="false" ht="15" hidden="false" customHeight="false" outlineLevel="0" collapsed="false">
      <c r="A44" s="3" t="s">
        <v>2230</v>
      </c>
      <c r="B44" s="3" t="s">
        <v>2231</v>
      </c>
      <c r="C44" s="3" t="n">
        <v>4</v>
      </c>
      <c r="D44" s="3" t="n">
        <v>4</v>
      </c>
      <c r="E44" s="3" t="n">
        <v>0</v>
      </c>
      <c r="F44" s="3" t="s">
        <v>1742</v>
      </c>
      <c r="G44" s="3" t="n">
        <v>5</v>
      </c>
      <c r="H44" s="3" t="n">
        <v>5</v>
      </c>
      <c r="I44" s="3" t="n">
        <v>5</v>
      </c>
      <c r="J44" s="3" t="s">
        <v>2157</v>
      </c>
      <c r="K44" s="3" t="s">
        <v>2045</v>
      </c>
      <c r="L44" s="3" t="s">
        <v>2232</v>
      </c>
      <c r="M44" s="3" t="n">
        <v>1</v>
      </c>
      <c r="N44" s="3" t="n">
        <v>4</v>
      </c>
      <c r="O44" s="3" t="n">
        <v>0</v>
      </c>
      <c r="P44" s="3" t="n">
        <v>0</v>
      </c>
      <c r="Q44" s="3" t="s">
        <v>2233</v>
      </c>
    </row>
    <row r="45" customFormat="false" ht="15" hidden="false" customHeight="false" outlineLevel="0" collapsed="false">
      <c r="A45" s="3" t="s">
        <v>2234</v>
      </c>
      <c r="B45" s="3" t="s">
        <v>2235</v>
      </c>
      <c r="C45" s="3" t="n">
        <v>5</v>
      </c>
      <c r="D45" s="3" t="n">
        <v>5</v>
      </c>
      <c r="E45" s="3" t="n">
        <v>0</v>
      </c>
      <c r="F45" s="3" t="s">
        <v>1742</v>
      </c>
      <c r="G45" s="3" t="n">
        <v>21</v>
      </c>
      <c r="H45" s="3" t="n">
        <v>18</v>
      </c>
      <c r="I45" s="3" t="n">
        <v>20</v>
      </c>
      <c r="J45" s="3" t="s">
        <v>2083</v>
      </c>
      <c r="K45" s="3" t="s">
        <v>2045</v>
      </c>
      <c r="L45" s="3" t="s">
        <v>2236</v>
      </c>
      <c r="M45" s="3" t="n">
        <v>5</v>
      </c>
      <c r="N45" s="3" t="n">
        <v>16</v>
      </c>
      <c r="O45" s="3" t="n">
        <v>0</v>
      </c>
      <c r="P45" s="3" t="n">
        <v>0</v>
      </c>
      <c r="Q45" s="3" t="s">
        <v>2154</v>
      </c>
    </row>
    <row r="46" customFormat="false" ht="15" hidden="false" customHeight="false" outlineLevel="0" collapsed="false">
      <c r="A46" s="3" t="s">
        <v>2237</v>
      </c>
      <c r="B46" s="3" t="s">
        <v>2238</v>
      </c>
      <c r="C46" s="3" t="n">
        <v>5</v>
      </c>
      <c r="D46" s="3" t="n">
        <v>5</v>
      </c>
      <c r="E46" s="3" t="n">
        <v>0</v>
      </c>
      <c r="F46" s="3" t="s">
        <v>1742</v>
      </c>
      <c r="G46" s="3" t="n">
        <v>24</v>
      </c>
      <c r="H46" s="3" t="n">
        <v>23</v>
      </c>
      <c r="I46" s="3" t="n">
        <v>21</v>
      </c>
      <c r="J46" s="3" t="s">
        <v>2059</v>
      </c>
      <c r="K46" s="3" t="s">
        <v>2045</v>
      </c>
      <c r="L46" s="3" t="s">
        <v>2239</v>
      </c>
      <c r="M46" s="3" t="n">
        <v>5</v>
      </c>
      <c r="N46" s="3" t="n">
        <v>19</v>
      </c>
      <c r="O46" s="3" t="n">
        <v>0</v>
      </c>
      <c r="P46" s="3" t="n">
        <v>0</v>
      </c>
      <c r="Q46" s="3" t="s">
        <v>2240</v>
      </c>
    </row>
    <row r="47" customFormat="false" ht="15" hidden="false" customHeight="false" outlineLevel="0" collapsed="false">
      <c r="A47" s="3" t="s">
        <v>2241</v>
      </c>
      <c r="B47" s="3" t="s">
        <v>2242</v>
      </c>
      <c r="C47" s="3" t="n">
        <v>5</v>
      </c>
      <c r="D47" s="3" t="n">
        <v>5</v>
      </c>
      <c r="E47" s="3" t="n">
        <v>0</v>
      </c>
      <c r="F47" s="3" t="s">
        <v>1742</v>
      </c>
      <c r="G47" s="3" t="n">
        <v>20</v>
      </c>
      <c r="H47" s="3" t="n">
        <v>16</v>
      </c>
      <c r="I47" s="3" t="n">
        <v>20</v>
      </c>
      <c r="J47" s="3" t="s">
        <v>2073</v>
      </c>
      <c r="K47" s="3" t="s">
        <v>2045</v>
      </c>
      <c r="L47" s="3" t="s">
        <v>2243</v>
      </c>
      <c r="M47" s="3" t="n">
        <v>4</v>
      </c>
      <c r="N47" s="3" t="n">
        <v>16</v>
      </c>
      <c r="O47" s="3" t="n">
        <v>0</v>
      </c>
      <c r="P47" s="3" t="n">
        <v>0</v>
      </c>
      <c r="Q47" s="3" t="s">
        <v>2244</v>
      </c>
    </row>
    <row r="48" customFormat="false" ht="15" hidden="false" customHeight="false" outlineLevel="0" collapsed="false">
      <c r="A48" s="3" t="s">
        <v>2245</v>
      </c>
      <c r="B48" s="3" t="s">
        <v>2246</v>
      </c>
      <c r="C48" s="3" t="n">
        <v>5</v>
      </c>
      <c r="D48" s="3" t="n">
        <v>5</v>
      </c>
      <c r="E48" s="3" t="n">
        <v>0</v>
      </c>
      <c r="F48" s="3" t="s">
        <v>1742</v>
      </c>
      <c r="G48" s="3" t="n">
        <v>3</v>
      </c>
      <c r="H48" s="3" t="n">
        <v>3</v>
      </c>
      <c r="I48" s="3" t="n">
        <v>3</v>
      </c>
      <c r="J48" s="3" t="s">
        <v>2088</v>
      </c>
      <c r="K48" s="3" t="s">
        <v>2045</v>
      </c>
      <c r="L48" s="3" t="s">
        <v>2247</v>
      </c>
      <c r="M48" s="3" t="n">
        <v>1</v>
      </c>
      <c r="N48" s="3" t="n">
        <v>2</v>
      </c>
      <c r="O48" s="3" t="n">
        <v>0</v>
      </c>
      <c r="P48" s="3" t="n">
        <v>0</v>
      </c>
      <c r="Q48" s="3" t="s">
        <v>2090</v>
      </c>
    </row>
    <row r="49" customFormat="false" ht="15" hidden="false" customHeight="false" outlineLevel="0" collapsed="false">
      <c r="A49" s="3" t="s">
        <v>2248</v>
      </c>
      <c r="B49" s="3" t="s">
        <v>2249</v>
      </c>
      <c r="C49" s="3" t="n">
        <v>5</v>
      </c>
      <c r="D49" s="3" t="n">
        <v>5</v>
      </c>
      <c r="E49" s="3" t="n">
        <v>0</v>
      </c>
      <c r="F49" s="3" t="s">
        <v>1742</v>
      </c>
      <c r="G49" s="3" t="n">
        <v>24</v>
      </c>
      <c r="H49" s="3" t="n">
        <v>23</v>
      </c>
      <c r="I49" s="3" t="n">
        <v>22</v>
      </c>
      <c r="J49" s="3" t="s">
        <v>2059</v>
      </c>
      <c r="K49" s="3" t="s">
        <v>2045</v>
      </c>
      <c r="L49" s="3" t="s">
        <v>2250</v>
      </c>
      <c r="M49" s="3" t="n">
        <v>5</v>
      </c>
      <c r="N49" s="3" t="n">
        <v>19</v>
      </c>
      <c r="O49" s="3" t="n">
        <v>0</v>
      </c>
      <c r="P49" s="3" t="n">
        <v>0</v>
      </c>
      <c r="Q49" s="3" t="s">
        <v>2240</v>
      </c>
    </row>
    <row r="50" customFormat="false" ht="15" hidden="false" customHeight="false" outlineLevel="0" collapsed="false">
      <c r="A50" s="3" t="s">
        <v>2251</v>
      </c>
      <c r="B50" s="3" t="s">
        <v>2252</v>
      </c>
      <c r="C50" s="3" t="n">
        <v>5</v>
      </c>
      <c r="D50" s="3" t="n">
        <v>5</v>
      </c>
      <c r="E50" s="3" t="n">
        <v>0</v>
      </c>
      <c r="F50" s="3" t="s">
        <v>1742</v>
      </c>
      <c r="G50" s="3" t="n">
        <v>32</v>
      </c>
      <c r="H50" s="3" t="n">
        <v>27</v>
      </c>
      <c r="I50" s="3" t="n">
        <v>31</v>
      </c>
      <c r="J50" s="3" t="s">
        <v>2253</v>
      </c>
      <c r="K50" s="3" t="s">
        <v>2045</v>
      </c>
      <c r="L50" s="3" t="s">
        <v>2254</v>
      </c>
      <c r="M50" s="3" t="n">
        <v>5</v>
      </c>
      <c r="N50" s="3" t="n">
        <v>27</v>
      </c>
      <c r="O50" s="3" t="n">
        <v>0</v>
      </c>
      <c r="P50" s="3" t="n">
        <v>0</v>
      </c>
      <c r="Q50" s="3" t="s">
        <v>2255</v>
      </c>
    </row>
    <row r="51" customFormat="false" ht="15" hidden="false" customHeight="false" outlineLevel="0" collapsed="false">
      <c r="A51" s="3" t="s">
        <v>2256</v>
      </c>
      <c r="B51" s="3" t="s">
        <v>2257</v>
      </c>
      <c r="C51" s="3" t="n">
        <v>5</v>
      </c>
      <c r="D51" s="3" t="n">
        <v>5</v>
      </c>
      <c r="E51" s="3" t="n">
        <v>0</v>
      </c>
      <c r="F51" s="3" t="s">
        <v>1742</v>
      </c>
      <c r="G51" s="3" t="n">
        <v>8</v>
      </c>
      <c r="H51" s="3" t="n">
        <v>6</v>
      </c>
      <c r="I51" s="3" t="n">
        <v>8</v>
      </c>
      <c r="J51" s="3" t="s">
        <v>2162</v>
      </c>
      <c r="K51" s="3" t="s">
        <v>2045</v>
      </c>
      <c r="L51" s="3" t="s">
        <v>2258</v>
      </c>
      <c r="M51" s="3" t="n">
        <v>1</v>
      </c>
      <c r="N51" s="3" t="n">
        <v>7</v>
      </c>
      <c r="O51" s="3" t="n">
        <v>0</v>
      </c>
      <c r="P51" s="3" t="n">
        <v>0</v>
      </c>
      <c r="Q51" s="3" t="s">
        <v>2259</v>
      </c>
    </row>
    <row r="52" customFormat="false" ht="15" hidden="false" customHeight="false" outlineLevel="0" collapsed="false">
      <c r="A52" s="3" t="s">
        <v>2260</v>
      </c>
      <c r="B52" s="3" t="s">
        <v>2261</v>
      </c>
      <c r="C52" s="3" t="n">
        <v>5</v>
      </c>
      <c r="D52" s="3" t="n">
        <v>5</v>
      </c>
      <c r="E52" s="3" t="n">
        <v>0</v>
      </c>
      <c r="F52" s="3" t="s">
        <v>1742</v>
      </c>
      <c r="G52" s="3" t="n">
        <v>4</v>
      </c>
      <c r="H52" s="3" t="n">
        <v>4</v>
      </c>
      <c r="I52" s="3" t="n">
        <v>3</v>
      </c>
      <c r="J52" s="3" t="s">
        <v>2190</v>
      </c>
      <c r="K52" s="3" t="s">
        <v>2045</v>
      </c>
      <c r="L52" s="3" t="s">
        <v>2262</v>
      </c>
      <c r="M52" s="3" t="n">
        <v>0</v>
      </c>
      <c r="N52" s="3" t="n">
        <v>4</v>
      </c>
      <c r="O52" s="3" t="n">
        <v>0</v>
      </c>
      <c r="P52" s="3" t="n">
        <v>0</v>
      </c>
      <c r="Q52" s="3" t="s">
        <v>2263</v>
      </c>
    </row>
    <row r="53" customFormat="false" ht="15" hidden="false" customHeight="false" outlineLevel="0" collapsed="false">
      <c r="A53" s="3" t="s">
        <v>2264</v>
      </c>
      <c r="B53" s="3" t="s">
        <v>2265</v>
      </c>
      <c r="C53" s="3" t="n">
        <v>5</v>
      </c>
      <c r="D53" s="3" t="n">
        <v>5</v>
      </c>
      <c r="E53" s="3" t="n">
        <v>0</v>
      </c>
      <c r="F53" s="3" t="s">
        <v>1742</v>
      </c>
      <c r="G53" s="3" t="n">
        <v>21</v>
      </c>
      <c r="H53" s="3" t="n">
        <v>16</v>
      </c>
      <c r="I53" s="3" t="n">
        <v>19</v>
      </c>
      <c r="J53" s="3" t="s">
        <v>2083</v>
      </c>
      <c r="K53" s="3" t="s">
        <v>2045</v>
      </c>
      <c r="L53" s="3" t="s">
        <v>2266</v>
      </c>
      <c r="M53" s="3" t="n">
        <v>7</v>
      </c>
      <c r="N53" s="3" t="n">
        <v>14</v>
      </c>
      <c r="O53" s="3" t="n">
        <v>0</v>
      </c>
      <c r="P53" s="3" t="n">
        <v>0</v>
      </c>
      <c r="Q53" s="3" t="s">
        <v>2267</v>
      </c>
    </row>
    <row r="54" customFormat="false" ht="15" hidden="false" customHeight="false" outlineLevel="0" collapsed="false">
      <c r="A54" s="3" t="s">
        <v>2268</v>
      </c>
      <c r="B54" s="3" t="s">
        <v>2269</v>
      </c>
      <c r="C54" s="3" t="n">
        <v>5</v>
      </c>
      <c r="D54" s="3" t="n">
        <v>4</v>
      </c>
      <c r="E54" s="3" t="n">
        <v>1</v>
      </c>
      <c r="F54" s="3" t="s">
        <v>1742</v>
      </c>
      <c r="G54" s="3" t="n">
        <v>21</v>
      </c>
      <c r="H54" s="3" t="n">
        <v>19</v>
      </c>
      <c r="I54" s="3" t="n">
        <v>19</v>
      </c>
      <c r="J54" s="3" t="s">
        <v>2270</v>
      </c>
      <c r="K54" s="3" t="s">
        <v>2045</v>
      </c>
      <c r="L54" s="3" t="s">
        <v>2271</v>
      </c>
      <c r="M54" s="3" t="n">
        <v>0</v>
      </c>
      <c r="N54" s="3" t="n">
        <v>21</v>
      </c>
      <c r="O54" s="3" t="n">
        <v>0</v>
      </c>
      <c r="P54" s="3" t="n">
        <v>0</v>
      </c>
      <c r="Q54" s="3" t="s">
        <v>2272</v>
      </c>
    </row>
    <row r="55" customFormat="false" ht="15" hidden="false" customHeight="false" outlineLevel="0" collapsed="false">
      <c r="A55" s="3" t="s">
        <v>2273</v>
      </c>
      <c r="B55" s="3" t="s">
        <v>2274</v>
      </c>
      <c r="C55" s="3" t="n">
        <v>5</v>
      </c>
      <c r="D55" s="3" t="n">
        <v>0</v>
      </c>
      <c r="E55" s="3" t="n">
        <v>5</v>
      </c>
      <c r="F55" s="3" t="s">
        <v>1742</v>
      </c>
      <c r="G55" s="3" t="s">
        <v>1720</v>
      </c>
      <c r="H55" s="3" t="s">
        <v>1720</v>
      </c>
      <c r="I55" s="3" t="s">
        <v>1720</v>
      </c>
      <c r="J55" s="3" t="s">
        <v>1720</v>
      </c>
      <c r="K55" s="3" t="s">
        <v>2045</v>
      </c>
      <c r="L55" s="3" t="s">
        <v>1720</v>
      </c>
      <c r="M55" s="3" t="n">
        <v>0</v>
      </c>
      <c r="N55" s="3" t="n">
        <v>0</v>
      </c>
      <c r="O55" s="3" t="n">
        <v>0</v>
      </c>
      <c r="P55" s="3" t="n">
        <v>0</v>
      </c>
      <c r="Q55" s="3" t="s">
        <v>1720</v>
      </c>
    </row>
    <row r="56" customFormat="false" ht="15" hidden="false" customHeight="false" outlineLevel="0" collapsed="false">
      <c r="A56" s="3" t="s">
        <v>2275</v>
      </c>
      <c r="B56" s="3" t="s">
        <v>2276</v>
      </c>
      <c r="C56" s="3" t="n">
        <v>4</v>
      </c>
      <c r="D56" s="3" t="n">
        <v>0</v>
      </c>
      <c r="E56" s="3" t="n">
        <v>4</v>
      </c>
      <c r="F56" s="3" t="s">
        <v>1742</v>
      </c>
      <c r="G56" s="3" t="s">
        <v>1720</v>
      </c>
      <c r="H56" s="3" t="s">
        <v>1720</v>
      </c>
      <c r="I56" s="3" t="s">
        <v>1720</v>
      </c>
      <c r="J56" s="3" t="s">
        <v>1720</v>
      </c>
      <c r="K56" s="3" t="s">
        <v>2045</v>
      </c>
      <c r="L56" s="3" t="s">
        <v>1720</v>
      </c>
      <c r="M56" s="3" t="n">
        <v>0</v>
      </c>
      <c r="N56" s="3" t="n">
        <v>0</v>
      </c>
      <c r="O56" s="3" t="n">
        <v>0</v>
      </c>
      <c r="P56" s="3" t="n">
        <v>0</v>
      </c>
      <c r="Q56" s="3" t="s">
        <v>1720</v>
      </c>
    </row>
    <row r="57" customFormat="false" ht="15" hidden="false" customHeight="false" outlineLevel="0" collapsed="false">
      <c r="A57" s="3" t="s">
        <v>2277</v>
      </c>
      <c r="B57" s="3" t="s">
        <v>2278</v>
      </c>
      <c r="C57" s="3" t="n">
        <v>4</v>
      </c>
      <c r="D57" s="3" t="n">
        <v>0</v>
      </c>
      <c r="E57" s="3" t="n">
        <v>4</v>
      </c>
      <c r="F57" s="3" t="s">
        <v>1742</v>
      </c>
      <c r="G57" s="3" t="s">
        <v>1720</v>
      </c>
      <c r="H57" s="3" t="s">
        <v>1720</v>
      </c>
      <c r="I57" s="3" t="s">
        <v>1720</v>
      </c>
      <c r="J57" s="3" t="s">
        <v>1720</v>
      </c>
      <c r="K57" s="3" t="s">
        <v>2045</v>
      </c>
      <c r="L57" s="3" t="s">
        <v>1720</v>
      </c>
      <c r="M57" s="3" t="n">
        <v>0</v>
      </c>
      <c r="N57" s="3" t="n">
        <v>0</v>
      </c>
      <c r="O57" s="3" t="n">
        <v>0</v>
      </c>
      <c r="P57" s="3" t="n">
        <v>0</v>
      </c>
      <c r="Q57" s="3" t="s">
        <v>1720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5" min="3" style="0" width="9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36"/>
    <col collapsed="false" customWidth="true" hidden="false" outlineLevel="0" max="16" min="13" style="0" width="10"/>
  </cols>
  <sheetData>
    <row r="1" customFormat="false" ht="46.25" hidden="false" customHeight="false" outlineLevel="0" collapsed="false">
      <c r="A1" s="1" t="s">
        <v>2279</v>
      </c>
      <c r="B1" s="1" t="s">
        <v>2028</v>
      </c>
      <c r="C1" s="1" t="s">
        <v>2029</v>
      </c>
      <c r="D1" s="1" t="s">
        <v>2030</v>
      </c>
      <c r="E1" s="1" t="s">
        <v>2031</v>
      </c>
      <c r="F1" s="1" t="s">
        <v>2032</v>
      </c>
      <c r="G1" s="1" t="s">
        <v>2033</v>
      </c>
      <c r="H1" s="1" t="s">
        <v>2034</v>
      </c>
      <c r="I1" s="1" t="s">
        <v>1714</v>
      </c>
      <c r="J1" s="1" t="s">
        <v>2035</v>
      </c>
      <c r="K1" s="1" t="s">
        <v>2036</v>
      </c>
      <c r="L1" s="1" t="s">
        <v>2037</v>
      </c>
      <c r="M1" s="1" t="s">
        <v>2280</v>
      </c>
      <c r="N1" s="1" t="s">
        <v>2281</v>
      </c>
      <c r="O1" s="1" t="s">
        <v>2282</v>
      </c>
      <c r="P1" s="1" t="s">
        <v>2041</v>
      </c>
    </row>
    <row r="2" customFormat="false" ht="15" hidden="false" customHeight="false" outlineLevel="0" collapsed="false">
      <c r="A2" s="3" t="s">
        <v>2283</v>
      </c>
      <c r="B2" s="3" t="s">
        <v>2284</v>
      </c>
      <c r="C2" s="3" t="n">
        <v>21</v>
      </c>
      <c r="D2" s="3" t="n">
        <v>1</v>
      </c>
      <c r="E2" s="3" t="n">
        <v>20</v>
      </c>
      <c r="F2" s="3" t="s">
        <v>1742</v>
      </c>
      <c r="G2" s="3" t="n">
        <v>0</v>
      </c>
      <c r="H2" s="3" t="n">
        <v>0</v>
      </c>
      <c r="I2" s="3" t="n">
        <v>0</v>
      </c>
      <c r="J2" s="3" t="s">
        <v>2285</v>
      </c>
      <c r="K2" s="3" t="s">
        <v>2045</v>
      </c>
      <c r="L2" s="3" t="s">
        <v>2286</v>
      </c>
      <c r="M2" s="3" t="n">
        <v>0</v>
      </c>
      <c r="N2" s="3" t="n">
        <v>0</v>
      </c>
      <c r="O2" s="3" t="n">
        <v>0</v>
      </c>
      <c r="P2" s="3" t="n">
        <v>0</v>
      </c>
    </row>
    <row r="3" customFormat="false" ht="15" hidden="false" customHeight="false" outlineLevel="0" collapsed="false">
      <c r="A3" s="3" t="s">
        <v>2287</v>
      </c>
      <c r="B3" s="3" t="s">
        <v>2288</v>
      </c>
      <c r="C3" s="3" t="n">
        <v>21</v>
      </c>
      <c r="D3" s="3" t="n">
        <v>21</v>
      </c>
      <c r="E3" s="3" t="n">
        <v>0</v>
      </c>
      <c r="F3" s="3" t="s">
        <v>1742</v>
      </c>
      <c r="G3" s="3" t="n">
        <v>91</v>
      </c>
      <c r="H3" s="3" t="n">
        <v>67</v>
      </c>
      <c r="I3" s="3" t="n">
        <v>24</v>
      </c>
      <c r="J3" s="3" t="s">
        <v>2289</v>
      </c>
      <c r="K3" s="3" t="s">
        <v>2045</v>
      </c>
      <c r="L3" s="3" t="s">
        <v>2290</v>
      </c>
      <c r="M3" s="3" t="n">
        <v>33</v>
      </c>
      <c r="N3" s="3" t="n">
        <v>57</v>
      </c>
      <c r="O3" s="3" t="n">
        <v>0</v>
      </c>
      <c r="P3" s="3" t="n">
        <v>1</v>
      </c>
    </row>
    <row r="4" customFormat="false" ht="15" hidden="false" customHeight="false" outlineLevel="0" collapsed="false">
      <c r="A4" s="3" t="s">
        <v>2291</v>
      </c>
      <c r="B4" s="3" t="s">
        <v>2292</v>
      </c>
      <c r="C4" s="3" t="n">
        <v>19</v>
      </c>
      <c r="D4" s="3" t="n">
        <v>19</v>
      </c>
      <c r="E4" s="3" t="n">
        <v>0</v>
      </c>
      <c r="F4" s="3" t="s">
        <v>1742</v>
      </c>
      <c r="G4" s="3" t="n">
        <v>49</v>
      </c>
      <c r="H4" s="3" t="n">
        <v>39</v>
      </c>
      <c r="I4" s="3" t="n">
        <v>27</v>
      </c>
      <c r="J4" s="3" t="s">
        <v>2293</v>
      </c>
      <c r="K4" s="3" t="s">
        <v>2045</v>
      </c>
      <c r="L4" s="3" t="s">
        <v>2294</v>
      </c>
      <c r="M4" s="3" t="n">
        <v>25</v>
      </c>
      <c r="N4" s="3" t="n">
        <v>23</v>
      </c>
      <c r="O4" s="3" t="n">
        <v>0</v>
      </c>
      <c r="P4" s="3" t="n">
        <v>1</v>
      </c>
    </row>
    <row r="5" customFormat="false" ht="15" hidden="false" customHeight="false" outlineLevel="0" collapsed="false">
      <c r="A5" s="3" t="s">
        <v>2295</v>
      </c>
      <c r="B5" s="3" t="s">
        <v>2296</v>
      </c>
      <c r="C5" s="3" t="n">
        <v>22</v>
      </c>
      <c r="D5" s="3" t="n">
        <v>22</v>
      </c>
      <c r="E5" s="3" t="n">
        <v>0</v>
      </c>
      <c r="F5" s="3" t="s">
        <v>1742</v>
      </c>
      <c r="G5" s="3" t="n">
        <v>50</v>
      </c>
      <c r="H5" s="3" t="n">
        <v>41</v>
      </c>
      <c r="I5" s="3" t="n">
        <v>37</v>
      </c>
      <c r="J5" s="3" t="s">
        <v>2297</v>
      </c>
      <c r="K5" s="3" t="s">
        <v>2045</v>
      </c>
      <c r="L5" s="3" t="s">
        <v>2298</v>
      </c>
      <c r="M5" s="3" t="n">
        <v>22</v>
      </c>
      <c r="N5" s="3" t="n">
        <v>27</v>
      </c>
      <c r="O5" s="3" t="n">
        <v>0</v>
      </c>
      <c r="P5" s="3" t="n">
        <v>1</v>
      </c>
    </row>
    <row r="6" customFormat="false" ht="15" hidden="false" customHeight="false" outlineLevel="0" collapsed="false">
      <c r="A6" s="3" t="s">
        <v>2299</v>
      </c>
      <c r="B6" s="3" t="s">
        <v>2300</v>
      </c>
      <c r="C6" s="3" t="n">
        <v>20</v>
      </c>
      <c r="D6" s="3" t="n">
        <v>20</v>
      </c>
      <c r="E6" s="3" t="n">
        <v>0</v>
      </c>
      <c r="F6" s="3" t="s">
        <v>1742</v>
      </c>
      <c r="G6" s="3" t="n">
        <v>109</v>
      </c>
      <c r="H6" s="3" t="n">
        <v>75</v>
      </c>
      <c r="I6" s="3" t="n">
        <v>73</v>
      </c>
      <c r="J6" s="3" t="s">
        <v>2301</v>
      </c>
      <c r="K6" s="3" t="s">
        <v>2045</v>
      </c>
      <c r="L6" s="3" t="s">
        <v>2302</v>
      </c>
      <c r="M6" s="3" t="n">
        <v>29</v>
      </c>
      <c r="N6" s="3" t="n">
        <v>79</v>
      </c>
      <c r="O6" s="3" t="n">
        <v>0</v>
      </c>
      <c r="P6" s="3" t="n">
        <v>1</v>
      </c>
    </row>
    <row r="7" customFormat="false" ht="15" hidden="false" customHeight="false" outlineLevel="0" collapsed="false">
      <c r="A7" s="3" t="s">
        <v>2303</v>
      </c>
      <c r="B7" s="3" t="s">
        <v>2304</v>
      </c>
      <c r="C7" s="3" t="n">
        <v>20</v>
      </c>
      <c r="D7" s="3" t="n">
        <v>20</v>
      </c>
      <c r="E7" s="3" t="n">
        <v>0</v>
      </c>
      <c r="F7" s="3" t="s">
        <v>1742</v>
      </c>
      <c r="G7" s="3" t="n">
        <v>84</v>
      </c>
      <c r="H7" s="3" t="n">
        <v>61</v>
      </c>
      <c r="I7" s="3" t="n">
        <v>74</v>
      </c>
      <c r="J7" s="3" t="s">
        <v>2305</v>
      </c>
      <c r="K7" s="3" t="s">
        <v>2045</v>
      </c>
      <c r="L7" s="3" t="s">
        <v>2306</v>
      </c>
      <c r="M7" s="3" t="n">
        <v>22</v>
      </c>
      <c r="N7" s="3" t="n">
        <v>62</v>
      </c>
      <c r="O7" s="3" t="n">
        <v>0</v>
      </c>
      <c r="P7" s="3" t="n">
        <v>0</v>
      </c>
    </row>
    <row r="8" customFormat="false" ht="15" hidden="false" customHeight="false" outlineLevel="0" collapsed="false">
      <c r="A8" s="3" t="s">
        <v>2307</v>
      </c>
      <c r="B8" s="3" t="s">
        <v>2308</v>
      </c>
      <c r="C8" s="3" t="n">
        <v>19</v>
      </c>
      <c r="D8" s="3" t="n">
        <v>19</v>
      </c>
      <c r="E8" s="3" t="n">
        <v>0</v>
      </c>
      <c r="F8" s="3" t="s">
        <v>1742</v>
      </c>
      <c r="G8" s="3" t="n">
        <v>40</v>
      </c>
      <c r="H8" s="3" t="n">
        <v>32</v>
      </c>
      <c r="I8" s="3" t="n">
        <v>34</v>
      </c>
      <c r="J8" s="3" t="s">
        <v>2309</v>
      </c>
      <c r="K8" s="3" t="s">
        <v>2045</v>
      </c>
      <c r="L8" s="3" t="s">
        <v>2310</v>
      </c>
      <c r="M8" s="3" t="n">
        <v>16</v>
      </c>
      <c r="N8" s="3" t="n">
        <v>24</v>
      </c>
      <c r="O8" s="3" t="n">
        <v>0</v>
      </c>
      <c r="P8" s="3" t="n">
        <v>0</v>
      </c>
    </row>
    <row r="9" customFormat="false" ht="15" hidden="false" customHeight="false" outlineLevel="0" collapsed="false">
      <c r="A9" s="3" t="s">
        <v>2311</v>
      </c>
      <c r="B9" s="3" t="s">
        <v>2312</v>
      </c>
      <c r="C9" s="3" t="n">
        <v>20</v>
      </c>
      <c r="D9" s="3" t="n">
        <v>20</v>
      </c>
      <c r="E9" s="3" t="n">
        <v>0</v>
      </c>
      <c r="F9" s="3" t="s">
        <v>1742</v>
      </c>
      <c r="G9" s="3" t="n">
        <v>117</v>
      </c>
      <c r="H9" s="3" t="n">
        <v>78</v>
      </c>
      <c r="I9" s="3" t="n">
        <v>102</v>
      </c>
      <c r="J9" s="3" t="s">
        <v>2313</v>
      </c>
      <c r="K9" s="3" t="s">
        <v>2045</v>
      </c>
      <c r="L9" s="3" t="s">
        <v>2314</v>
      </c>
      <c r="M9" s="3" t="n">
        <v>65</v>
      </c>
      <c r="N9" s="3" t="n">
        <v>52</v>
      </c>
      <c r="O9" s="3" t="n">
        <v>0</v>
      </c>
      <c r="P9" s="3" t="n">
        <v>0</v>
      </c>
    </row>
    <row r="10" customFormat="false" ht="15" hidden="false" customHeight="false" outlineLevel="0" collapsed="false">
      <c r="A10" s="3" t="s">
        <v>2315</v>
      </c>
      <c r="B10" s="3" t="s">
        <v>2316</v>
      </c>
      <c r="C10" s="3" t="n">
        <v>19</v>
      </c>
      <c r="D10" s="3" t="n">
        <v>19</v>
      </c>
      <c r="E10" s="3" t="n">
        <v>0</v>
      </c>
      <c r="F10" s="3" t="s">
        <v>1742</v>
      </c>
      <c r="G10" s="3" t="n">
        <v>70</v>
      </c>
      <c r="H10" s="3" t="n">
        <v>53</v>
      </c>
      <c r="I10" s="3" t="n">
        <v>62</v>
      </c>
      <c r="J10" s="3" t="s">
        <v>2317</v>
      </c>
      <c r="K10" s="3" t="s">
        <v>2045</v>
      </c>
      <c r="L10" s="3" t="s">
        <v>2318</v>
      </c>
      <c r="M10" s="3" t="n">
        <v>22</v>
      </c>
      <c r="N10" s="3" t="n">
        <v>48</v>
      </c>
      <c r="O10" s="3" t="n">
        <v>0</v>
      </c>
      <c r="P10" s="3" t="n">
        <v>0</v>
      </c>
    </row>
    <row r="11" customFormat="false" ht="15" hidden="false" customHeight="false" outlineLevel="0" collapsed="false">
      <c r="A11" s="3" t="s">
        <v>2319</v>
      </c>
      <c r="B11" s="3" t="s">
        <v>2320</v>
      </c>
      <c r="C11" s="3" t="n">
        <v>21</v>
      </c>
      <c r="D11" s="3" t="n">
        <v>21</v>
      </c>
      <c r="E11" s="3" t="n">
        <v>0</v>
      </c>
      <c r="F11" s="3" t="s">
        <v>1742</v>
      </c>
      <c r="G11" s="3" t="n">
        <v>66</v>
      </c>
      <c r="H11" s="3" t="n">
        <v>51</v>
      </c>
      <c r="I11" s="3" t="n">
        <v>63</v>
      </c>
      <c r="J11" s="3" t="s">
        <v>2321</v>
      </c>
      <c r="K11" s="3" t="s">
        <v>2045</v>
      </c>
      <c r="L11" s="3" t="s">
        <v>2322</v>
      </c>
      <c r="M11" s="3" t="n">
        <v>24</v>
      </c>
      <c r="N11" s="3" t="n">
        <v>42</v>
      </c>
      <c r="O11" s="3" t="n">
        <v>0</v>
      </c>
      <c r="P11" s="3" t="n">
        <v>0</v>
      </c>
    </row>
    <row r="12" customFormat="false" ht="15" hidden="false" customHeight="false" outlineLevel="0" collapsed="false">
      <c r="A12" s="3" t="s">
        <v>2323</v>
      </c>
      <c r="B12" s="3" t="s">
        <v>2324</v>
      </c>
      <c r="C12" s="3" t="n">
        <v>23</v>
      </c>
      <c r="D12" s="3" t="n">
        <v>23</v>
      </c>
      <c r="E12" s="3" t="n">
        <v>0</v>
      </c>
      <c r="F12" s="3" t="s">
        <v>1742</v>
      </c>
      <c r="G12" s="3" t="n">
        <v>90</v>
      </c>
      <c r="H12" s="3" t="n">
        <v>68</v>
      </c>
      <c r="I12" s="3" t="n">
        <v>84</v>
      </c>
      <c r="J12" s="3" t="s">
        <v>2325</v>
      </c>
      <c r="K12" s="3" t="s">
        <v>2045</v>
      </c>
      <c r="L12" s="3" t="s">
        <v>2326</v>
      </c>
      <c r="M12" s="3" t="n">
        <v>20</v>
      </c>
      <c r="N12" s="3" t="n">
        <v>70</v>
      </c>
      <c r="O12" s="3" t="n">
        <v>0</v>
      </c>
      <c r="P12" s="3" t="n">
        <v>0</v>
      </c>
    </row>
    <row r="13" customFormat="false" ht="15" hidden="false" customHeight="false" outlineLevel="0" collapsed="false">
      <c r="A13" s="3" t="s">
        <v>2327</v>
      </c>
      <c r="B13" s="3" t="s">
        <v>2328</v>
      </c>
      <c r="C13" s="3" t="n">
        <v>21</v>
      </c>
      <c r="D13" s="3" t="n">
        <v>21</v>
      </c>
      <c r="E13" s="3" t="n">
        <v>0</v>
      </c>
      <c r="F13" s="3" t="s">
        <v>1742</v>
      </c>
      <c r="G13" s="3" t="n">
        <v>79</v>
      </c>
      <c r="H13" s="3" t="n">
        <v>59</v>
      </c>
      <c r="I13" s="3" t="n">
        <v>74</v>
      </c>
      <c r="J13" s="3" t="s">
        <v>2329</v>
      </c>
      <c r="K13" s="3" t="s">
        <v>2045</v>
      </c>
      <c r="L13" s="3" t="s">
        <v>2330</v>
      </c>
      <c r="M13" s="3" t="n">
        <v>13</v>
      </c>
      <c r="N13" s="3" t="n">
        <v>66</v>
      </c>
      <c r="O13" s="3" t="n">
        <v>0</v>
      </c>
      <c r="P13" s="3" t="n">
        <v>0</v>
      </c>
    </row>
    <row r="14" customFormat="false" ht="15" hidden="false" customHeight="false" outlineLevel="0" collapsed="false">
      <c r="A14" s="3" t="s">
        <v>2331</v>
      </c>
      <c r="B14" s="3" t="s">
        <v>2332</v>
      </c>
      <c r="C14" s="3" t="n">
        <v>17</v>
      </c>
      <c r="D14" s="3" t="n">
        <v>3</v>
      </c>
      <c r="E14" s="3" t="n">
        <v>14</v>
      </c>
      <c r="F14" s="3" t="s">
        <v>1742</v>
      </c>
      <c r="G14" s="3" t="n">
        <v>7</v>
      </c>
      <c r="H14" s="3" t="n">
        <v>7</v>
      </c>
      <c r="I14" s="3" t="n">
        <v>6</v>
      </c>
      <c r="J14" s="3" t="s">
        <v>2333</v>
      </c>
      <c r="K14" s="3" t="s">
        <v>2045</v>
      </c>
      <c r="L14" s="3" t="s">
        <v>2334</v>
      </c>
      <c r="M14" s="3" t="n">
        <v>0</v>
      </c>
      <c r="N14" s="3" t="n">
        <v>7</v>
      </c>
      <c r="O14" s="3" t="n">
        <v>0</v>
      </c>
      <c r="P14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7" t="s">
        <v>2335</v>
      </c>
      <c r="B1" s="7" t="s">
        <v>2336</v>
      </c>
      <c r="C1" s="7" t="s">
        <v>2337</v>
      </c>
    </row>
    <row r="2" customFormat="false" ht="15" hidden="false" customHeight="false" outlineLevel="0" collapsed="false">
      <c r="A2" s="3" t="s">
        <v>2338</v>
      </c>
      <c r="B2" s="3" t="n">
        <f aca="false">COUNTA(T2_CatchToCurrent!$H$2:$H$853)</f>
        <v>852</v>
      </c>
      <c r="C2" s="3" t="s">
        <v>2339</v>
      </c>
    </row>
    <row r="3" customFormat="false" ht="15" hidden="false" customHeight="false" outlineLevel="0" collapsed="false">
      <c r="A3" s="3" t="s">
        <v>2340</v>
      </c>
      <c r="B3" s="3" t="n">
        <f aca="false">COUNTIF(T2_CatchToCurrent!$H$2:$H$853,"RISEN")</f>
        <v>291</v>
      </c>
      <c r="C3" s="3"/>
    </row>
    <row r="4" customFormat="false" ht="15" hidden="false" customHeight="false" outlineLevel="0" collapsed="false">
      <c r="A4" s="3" t="s">
        <v>2341</v>
      </c>
      <c r="B4" s="3" t="n">
        <f aca="false">COUNTIF(T2_CatchToCurrent!$H$2:$H$853,"FALLEN")</f>
        <v>557</v>
      </c>
      <c r="C4" s="3"/>
    </row>
    <row r="5" customFormat="false" ht="15" hidden="false" customHeight="false" outlineLevel="0" collapsed="false">
      <c r="A5" s="3" t="s">
        <v>2342</v>
      </c>
      <c r="B5" s="3" t="n">
        <f aca="false">COUNTIF(T2_CatchToCurrent!$H$2:$H$853,"UNCHANGED")</f>
        <v>0</v>
      </c>
      <c r="C5" s="3"/>
    </row>
    <row r="6" customFormat="false" ht="15" hidden="false" customHeight="false" outlineLevel="0" collapsed="false">
      <c r="A6" s="3" t="s">
        <v>2343</v>
      </c>
      <c r="B6" s="3" t="n">
        <f aca="false">COUNTIF(T2_CatchToCurrent!$H$2:$H$853,"NO CURRENT DATA")</f>
        <v>4</v>
      </c>
      <c r="C6" s="3"/>
    </row>
    <row r="7" customFormat="false" ht="15" hidden="false" customHeight="false" outlineLevel="0" collapsed="false">
      <c r="A7" s="3" t="s">
        <v>2344</v>
      </c>
      <c r="B7" s="3" t="n">
        <f aca="false">B3+B4+B5</f>
        <v>848</v>
      </c>
      <c r="C7" s="3" t="s">
        <v>2345</v>
      </c>
    </row>
    <row r="8" customFormat="false" ht="15" hidden="false" customHeight="false" outlineLevel="0" collapsed="false">
      <c r="A8" s="3" t="s">
        <v>2346</v>
      </c>
      <c r="B8" s="6" t="n">
        <f aca="false">B3/B7*100</f>
        <v>34.3160377358491</v>
      </c>
      <c r="C8" s="3" t="s">
        <v>2347</v>
      </c>
    </row>
    <row r="9" customFormat="false" ht="15" hidden="false" customHeight="false" outlineLevel="0" collapsed="false">
      <c r="A9" s="3" t="s">
        <v>2348</v>
      </c>
      <c r="B9" s="6" t="n">
        <f aca="false">B4/B7*100</f>
        <v>65.6839622641509</v>
      </c>
      <c r="C9" s="3" t="s">
        <v>2347</v>
      </c>
    </row>
    <row r="10" customFormat="false" ht="15" hidden="false" customHeight="false" outlineLevel="0" collapsed="false">
      <c r="A10" s="3" t="s">
        <v>2349</v>
      </c>
      <c r="B10" s="6" t="n">
        <f aca="false">B5/B7*100</f>
        <v>0</v>
      </c>
      <c r="C10" s="3" t="s">
        <v>2347</v>
      </c>
    </row>
    <row r="11" customFormat="false" ht="15" hidden="false" customHeight="false" outlineLevel="0" collapsed="false">
      <c r="A11" s="3" t="s">
        <v>2350</v>
      </c>
      <c r="B11" s="6" t="n">
        <f aca="false">B6/B2*100</f>
        <v>0.469483568075117</v>
      </c>
      <c r="C11" s="3" t="s">
        <v>2351</v>
      </c>
    </row>
    <row r="12" customFormat="false" ht="15" hidden="false" customHeight="false" outlineLevel="0" collapsed="false">
      <c r="A12" s="3"/>
      <c r="B12" s="3"/>
      <c r="C12" s="3"/>
    </row>
    <row r="13" customFormat="false" ht="15" hidden="false" customHeight="false" outlineLevel="0" collapsed="false">
      <c r="A13" s="3" t="s">
        <v>2352</v>
      </c>
      <c r="B13" s="3"/>
      <c r="C13" s="3"/>
    </row>
    <row r="14" customFormat="false" ht="15" hidden="false" customHeight="false" outlineLevel="0" collapsed="false">
      <c r="A14" s="3" t="s">
        <v>2353</v>
      </c>
      <c r="B14" s="3" t="n">
        <v>260</v>
      </c>
      <c r="C14" s="3"/>
    </row>
    <row r="15" customFormat="false" ht="15" hidden="false" customHeight="false" outlineLevel="0" collapsed="false">
      <c r="A15" s="3" t="s">
        <v>2354</v>
      </c>
      <c r="B15" s="3" t="n">
        <v>505</v>
      </c>
      <c r="C15" s="3"/>
    </row>
    <row r="16" customFormat="false" ht="15" hidden="false" customHeight="false" outlineLevel="0" collapsed="false">
      <c r="A16" s="3" t="s">
        <v>2355</v>
      </c>
      <c r="B16" s="3" t="n">
        <v>0</v>
      </c>
      <c r="C16" s="3"/>
    </row>
    <row r="17" customFormat="false" ht="15" hidden="false" customHeight="false" outlineLevel="0" collapsed="false">
      <c r="A17" s="3" t="s">
        <v>2356</v>
      </c>
      <c r="B17" s="3" t="n">
        <v>4</v>
      </c>
      <c r="C17" s="3"/>
    </row>
    <row r="18" customFormat="false" ht="15" hidden="false" customHeight="false" outlineLevel="0" collapsed="false">
      <c r="A18" s="3"/>
      <c r="B18" s="3"/>
      <c r="C18" s="3"/>
    </row>
    <row r="19" customFormat="false" ht="15" hidden="false" customHeight="false" outlineLevel="0" collapsed="false">
      <c r="A19" s="3" t="s">
        <v>2357</v>
      </c>
      <c r="B19" s="3"/>
      <c r="C19" s="3"/>
    </row>
    <row r="20" customFormat="false" ht="15" hidden="false" customHeight="false" outlineLevel="0" collapsed="false">
      <c r="A20" s="3" t="s">
        <v>2358</v>
      </c>
      <c r="B20" s="3" t="s">
        <v>2359</v>
      </c>
      <c r="C20" s="3" t="s">
        <v>2360</v>
      </c>
    </row>
    <row r="21" customFormat="false" ht="15" hidden="false" customHeight="false" outlineLevel="0" collapsed="false">
      <c r="A21" s="3" t="s">
        <v>2361</v>
      </c>
      <c r="B21" s="3" t="s">
        <v>2362</v>
      </c>
      <c r="C21" s="3" t="s">
        <v>2360</v>
      </c>
    </row>
    <row r="22" customFormat="false" ht="15" hidden="false" customHeight="false" outlineLevel="0" collapsed="false">
      <c r="A22" s="3" t="s">
        <v>2363</v>
      </c>
      <c r="B22" s="3" t="s">
        <v>2364</v>
      </c>
      <c r="C22" s="3" t="s">
        <v>2360</v>
      </c>
    </row>
    <row r="23" customFormat="false" ht="15" hidden="false" customHeight="false" outlineLevel="0" collapsed="false">
      <c r="A23" s="3" t="s">
        <v>2365</v>
      </c>
      <c r="B23" s="3" t="s">
        <v>2366</v>
      </c>
      <c r="C23" s="3" t="s">
        <v>2360</v>
      </c>
    </row>
    <row r="24" customFormat="false" ht="15" hidden="false" customHeight="false" outlineLevel="0" collapsed="false">
      <c r="A24" s="3" t="s">
        <v>2367</v>
      </c>
      <c r="B24" s="3" t="s">
        <v>2368</v>
      </c>
      <c r="C24" s="3" t="s">
        <v>2360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00"/>
  </cols>
  <sheetData>
    <row r="1" customFormat="false" ht="35.05" hidden="false" customHeight="false" outlineLevel="0" collapsed="false">
      <c r="A1" s="8" t="s">
        <v>2369</v>
      </c>
      <c r="B1" s="8" t="s">
        <v>42</v>
      </c>
      <c r="C1" s="8" t="s">
        <v>41</v>
      </c>
      <c r="D1" s="8" t="s">
        <v>44</v>
      </c>
      <c r="E1" s="8" t="s">
        <v>2370</v>
      </c>
      <c r="F1" s="8" t="s">
        <v>2371</v>
      </c>
      <c r="G1" s="8" t="s">
        <v>2372</v>
      </c>
      <c r="H1" s="8" t="s">
        <v>2373</v>
      </c>
    </row>
    <row r="2" customFormat="false" ht="15" hidden="false" customHeight="false" outlineLevel="0" collapsed="false">
      <c r="A2" s="9" t="s">
        <v>2374</v>
      </c>
      <c r="B2" s="9"/>
      <c r="C2" s="9"/>
      <c r="D2" s="9"/>
      <c r="E2" s="9"/>
      <c r="F2" s="10"/>
      <c r="G2" s="9"/>
      <c r="H2" s="9"/>
    </row>
    <row r="3" customFormat="false" ht="15" hidden="false" customHeight="false" outlineLevel="0" collapsed="false">
      <c r="A3" s="3" t="n">
        <v>1</v>
      </c>
      <c r="B3" s="3" t="s">
        <v>203</v>
      </c>
      <c r="C3" s="3" t="s">
        <v>198</v>
      </c>
      <c r="D3" s="3" t="n">
        <v>877.95</v>
      </c>
      <c r="E3" s="3" t="n">
        <v>2010.7</v>
      </c>
      <c r="F3" s="6" t="n">
        <v>129.022153881201</v>
      </c>
      <c r="G3" s="3"/>
      <c r="H3" s="3"/>
    </row>
    <row r="4" customFormat="false" ht="15" hidden="false" customHeight="false" outlineLevel="0" collapsed="false">
      <c r="A4" s="3" t="n">
        <v>2</v>
      </c>
      <c r="B4" s="3" t="s">
        <v>203</v>
      </c>
      <c r="C4" s="3" t="s">
        <v>395</v>
      </c>
      <c r="D4" s="3" t="n">
        <v>986.6</v>
      </c>
      <c r="E4" s="3" t="n">
        <v>2010.7</v>
      </c>
      <c r="F4" s="6" t="n">
        <v>103.800932495439</v>
      </c>
      <c r="G4" s="3"/>
      <c r="H4" s="3"/>
    </row>
    <row r="5" customFormat="false" ht="15" hidden="false" customHeight="false" outlineLevel="0" collapsed="false">
      <c r="A5" s="3" t="n">
        <v>3</v>
      </c>
      <c r="B5" s="3" t="s">
        <v>203</v>
      </c>
      <c r="C5" s="3" t="s">
        <v>1049</v>
      </c>
      <c r="D5" s="3" t="n">
        <v>1166.4</v>
      </c>
      <c r="E5" s="3" t="n">
        <v>2010.7</v>
      </c>
      <c r="F5" s="6" t="n">
        <v>72.3851165980796</v>
      </c>
      <c r="G5" s="3"/>
      <c r="H5" s="3"/>
    </row>
    <row r="6" customFormat="false" ht="15" hidden="false" customHeight="false" outlineLevel="0" collapsed="false">
      <c r="A6" s="3" t="n">
        <v>4</v>
      </c>
      <c r="B6" s="3" t="s">
        <v>203</v>
      </c>
      <c r="C6" s="3" t="s">
        <v>1058</v>
      </c>
      <c r="D6" s="3" t="n">
        <v>1177.6</v>
      </c>
      <c r="E6" s="3" t="n">
        <v>2010.7</v>
      </c>
      <c r="F6" s="6" t="n">
        <v>70.7455842391305</v>
      </c>
      <c r="G6" s="3"/>
      <c r="H6" s="3"/>
    </row>
    <row r="7" customFormat="false" ht="15" hidden="false" customHeight="false" outlineLevel="0" collapsed="false">
      <c r="A7" s="3" t="n">
        <v>5</v>
      </c>
      <c r="B7" s="3" t="s">
        <v>66</v>
      </c>
      <c r="C7" s="3" t="s">
        <v>57</v>
      </c>
      <c r="D7" s="3" t="n">
        <v>5710</v>
      </c>
      <c r="E7" s="3" t="n">
        <v>9550</v>
      </c>
      <c r="F7" s="6" t="n">
        <v>67.2504378283713</v>
      </c>
      <c r="G7" s="3"/>
      <c r="H7" s="3"/>
    </row>
    <row r="8" customFormat="false" ht="15" hidden="false" customHeight="false" outlineLevel="0" collapsed="false">
      <c r="A8" s="3" t="n">
        <v>6</v>
      </c>
      <c r="B8" s="3" t="s">
        <v>203</v>
      </c>
      <c r="C8" s="3" t="s">
        <v>1074</v>
      </c>
      <c r="D8" s="3" t="n">
        <v>1206.5</v>
      </c>
      <c r="E8" s="3" t="n">
        <v>2010.7</v>
      </c>
      <c r="F8" s="6" t="n">
        <v>66.655615416494</v>
      </c>
      <c r="G8" s="3"/>
      <c r="H8" s="3"/>
    </row>
    <row r="9" customFormat="false" ht="15" hidden="false" customHeight="false" outlineLevel="0" collapsed="false">
      <c r="A9" s="3" t="n">
        <v>7</v>
      </c>
      <c r="B9" s="3" t="s">
        <v>453</v>
      </c>
      <c r="C9" s="3" t="s">
        <v>444</v>
      </c>
      <c r="D9" s="3" t="n">
        <v>492.5</v>
      </c>
      <c r="E9" s="3" t="n">
        <v>807.9</v>
      </c>
      <c r="F9" s="6" t="n">
        <v>64.0406091370558</v>
      </c>
      <c r="G9" s="3"/>
      <c r="H9" s="3"/>
    </row>
    <row r="10" customFormat="false" ht="15" hidden="false" customHeight="false" outlineLevel="0" collapsed="false">
      <c r="A10" s="3" t="n">
        <v>8</v>
      </c>
      <c r="B10" s="3" t="s">
        <v>66</v>
      </c>
      <c r="C10" s="3" t="s">
        <v>89</v>
      </c>
      <c r="D10" s="3" t="n">
        <v>5866</v>
      </c>
      <c r="E10" s="3" t="n">
        <v>9550</v>
      </c>
      <c r="F10" s="6" t="n">
        <v>62.8025912035459</v>
      </c>
      <c r="G10" s="3"/>
      <c r="H10" s="3"/>
    </row>
    <row r="11" customFormat="false" ht="15" hidden="false" customHeight="false" outlineLevel="0" collapsed="false">
      <c r="A11" s="3" t="n">
        <v>9</v>
      </c>
      <c r="B11" s="3" t="s">
        <v>453</v>
      </c>
      <c r="C11" s="3" t="s">
        <v>472</v>
      </c>
      <c r="D11" s="3" t="n">
        <v>496.8</v>
      </c>
      <c r="E11" s="3" t="n">
        <v>807.9</v>
      </c>
      <c r="F11" s="6" t="n">
        <v>62.6207729468599</v>
      </c>
      <c r="G11" s="3"/>
      <c r="H11" s="3"/>
    </row>
    <row r="12" customFormat="false" ht="15" hidden="false" customHeight="false" outlineLevel="0" collapsed="false">
      <c r="A12" s="3" t="n">
        <v>10</v>
      </c>
      <c r="B12" s="3" t="s">
        <v>453</v>
      </c>
      <c r="C12" s="3" t="s">
        <v>848</v>
      </c>
      <c r="D12" s="3" t="n">
        <v>502.1</v>
      </c>
      <c r="E12" s="3" t="n">
        <v>807.9</v>
      </c>
      <c r="F12" s="6" t="n">
        <v>60.9042023501295</v>
      </c>
      <c r="G12" s="3"/>
      <c r="H12" s="3"/>
    </row>
    <row r="13" customFormat="false" ht="15" hidden="false" customHeight="false" outlineLevel="0" collapsed="false">
      <c r="A13" s="3" t="n">
        <v>11</v>
      </c>
      <c r="B13" s="3" t="s">
        <v>152</v>
      </c>
      <c r="C13" s="3" t="s">
        <v>915</v>
      </c>
      <c r="D13" s="3" t="n">
        <v>696.05</v>
      </c>
      <c r="E13" s="3" t="n">
        <v>1117.1</v>
      </c>
      <c r="F13" s="6" t="n">
        <v>60.4913440126428</v>
      </c>
      <c r="G13" s="3"/>
      <c r="H13" s="3"/>
    </row>
    <row r="14" customFormat="false" ht="15" hidden="false" customHeight="false" outlineLevel="0" collapsed="false">
      <c r="A14" s="3" t="n">
        <v>12</v>
      </c>
      <c r="B14" s="3" t="s">
        <v>152</v>
      </c>
      <c r="C14" s="3" t="s">
        <v>929</v>
      </c>
      <c r="D14" s="3" t="n">
        <v>710.25</v>
      </c>
      <c r="E14" s="3" t="n">
        <v>1117.1</v>
      </c>
      <c r="F14" s="6" t="n">
        <v>57.2826469552974</v>
      </c>
      <c r="G14" s="3"/>
      <c r="H14" s="3"/>
    </row>
    <row r="15" customFormat="false" ht="15" hidden="false" customHeight="false" outlineLevel="0" collapsed="false">
      <c r="A15" s="3" t="n">
        <v>13</v>
      </c>
      <c r="B15" s="3" t="s">
        <v>368</v>
      </c>
      <c r="C15" s="3" t="s">
        <v>356</v>
      </c>
      <c r="D15" s="3" t="n">
        <v>105.92</v>
      </c>
      <c r="E15" s="3" t="n">
        <v>162.37</v>
      </c>
      <c r="F15" s="6" t="n">
        <v>53.2949395770393</v>
      </c>
      <c r="G15" s="3"/>
      <c r="H15" s="3"/>
    </row>
    <row r="16" customFormat="false" ht="15" hidden="false" customHeight="false" outlineLevel="0" collapsed="false">
      <c r="A16" s="3" t="n">
        <v>14</v>
      </c>
      <c r="B16" s="3" t="s">
        <v>195</v>
      </c>
      <c r="C16" s="3" t="s">
        <v>193</v>
      </c>
      <c r="D16" s="3" t="n">
        <v>213.02</v>
      </c>
      <c r="E16" s="3" t="n">
        <v>325</v>
      </c>
      <c r="F16" s="6" t="n">
        <v>52.5678340061966</v>
      </c>
      <c r="G16" s="3"/>
      <c r="H16" s="3"/>
    </row>
    <row r="17" customFormat="false" ht="15" hidden="false" customHeight="false" outlineLevel="0" collapsed="false">
      <c r="A17" s="3" t="n">
        <v>15</v>
      </c>
      <c r="B17" s="3" t="s">
        <v>453</v>
      </c>
      <c r="C17" s="3" t="s">
        <v>707</v>
      </c>
      <c r="D17" s="3" t="n">
        <v>530.2</v>
      </c>
      <c r="E17" s="3" t="n">
        <v>807.9</v>
      </c>
      <c r="F17" s="6" t="n">
        <v>52.3764617125613</v>
      </c>
      <c r="G17" s="3"/>
      <c r="H17" s="3"/>
    </row>
    <row r="18" customFormat="false" ht="15" hidden="false" customHeight="false" outlineLevel="0" collapsed="false">
      <c r="A18" s="3" t="n">
        <v>16</v>
      </c>
      <c r="B18" s="3" t="s">
        <v>453</v>
      </c>
      <c r="C18" s="3" t="s">
        <v>943</v>
      </c>
      <c r="D18" s="3" t="n">
        <v>533.7</v>
      </c>
      <c r="E18" s="3" t="n">
        <v>807.9</v>
      </c>
      <c r="F18" s="6" t="n">
        <v>51.3771781899944</v>
      </c>
      <c r="G18" s="3"/>
      <c r="H18" s="3"/>
    </row>
    <row r="19" customFormat="false" ht="15" hidden="false" customHeight="false" outlineLevel="0" collapsed="false">
      <c r="A19" s="3" t="n">
        <v>17</v>
      </c>
      <c r="B19" s="3" t="s">
        <v>368</v>
      </c>
      <c r="C19" s="3" t="s">
        <v>888</v>
      </c>
      <c r="D19" s="3" t="n">
        <v>107.62</v>
      </c>
      <c r="E19" s="3" t="n">
        <v>162.37</v>
      </c>
      <c r="F19" s="6" t="n">
        <v>50.8734435978443</v>
      </c>
      <c r="G19" s="3"/>
      <c r="H19" s="3"/>
    </row>
    <row r="20" customFormat="false" ht="15" hidden="false" customHeight="false" outlineLevel="0" collapsed="false">
      <c r="A20" s="3" t="n">
        <v>18</v>
      </c>
      <c r="B20" s="3" t="s">
        <v>195</v>
      </c>
      <c r="C20" s="3" t="s">
        <v>198</v>
      </c>
      <c r="D20" s="3" t="n">
        <v>215.44</v>
      </c>
      <c r="E20" s="3" t="n">
        <v>325</v>
      </c>
      <c r="F20" s="6" t="n">
        <v>50.8540660972893</v>
      </c>
      <c r="G20" s="3"/>
      <c r="H20" s="3"/>
    </row>
    <row r="21" customFormat="false" ht="15" hidden="false" customHeight="false" outlineLevel="0" collapsed="false">
      <c r="A21" s="3" t="n">
        <v>19</v>
      </c>
      <c r="B21" s="3" t="s">
        <v>66</v>
      </c>
      <c r="C21" s="3" t="s">
        <v>181</v>
      </c>
      <c r="D21" s="3" t="n">
        <v>6474.5</v>
      </c>
      <c r="E21" s="3" t="n">
        <v>9550</v>
      </c>
      <c r="F21" s="6" t="n">
        <v>47.501737585914</v>
      </c>
      <c r="G21" s="3"/>
      <c r="H21" s="3"/>
    </row>
    <row r="22" customFormat="false" ht="15" hidden="false" customHeight="false" outlineLevel="0" collapsed="false">
      <c r="A22" s="3" t="n">
        <v>20</v>
      </c>
      <c r="B22" s="3" t="s">
        <v>66</v>
      </c>
      <c r="C22" s="3" t="s">
        <v>193</v>
      </c>
      <c r="D22" s="3" t="n">
        <v>6556</v>
      </c>
      <c r="E22" s="3" t="n">
        <v>9550</v>
      </c>
      <c r="F22" s="6" t="n">
        <v>45.6680902989628</v>
      </c>
      <c r="G22" s="3"/>
      <c r="H22" s="3"/>
    </row>
    <row r="23" customFormat="false" ht="15" hidden="false" customHeight="false" outlineLevel="0" collapsed="false">
      <c r="A23" s="9" t="s">
        <v>2375</v>
      </c>
      <c r="B23" s="9"/>
      <c r="C23" s="9"/>
      <c r="D23" s="9"/>
      <c r="E23" s="9"/>
      <c r="F23" s="10"/>
      <c r="G23" s="9"/>
      <c r="H23" s="9"/>
    </row>
    <row r="24" customFormat="false" ht="15" hidden="false" customHeight="false" outlineLevel="0" collapsed="false">
      <c r="A24" s="3" t="n">
        <v>1</v>
      </c>
      <c r="B24" s="3" t="s">
        <v>130</v>
      </c>
      <c r="C24" s="3" t="s">
        <v>129</v>
      </c>
      <c r="D24" s="3" t="n">
        <v>3825.5</v>
      </c>
      <c r="E24" s="3" t="n">
        <v>691.55</v>
      </c>
      <c r="F24" s="6" t="n">
        <v>-81.9226244935303</v>
      </c>
      <c r="G24" s="3" t="s">
        <v>2376</v>
      </c>
      <c r="H24" s="3" t="s">
        <v>1483</v>
      </c>
    </row>
    <row r="25" customFormat="false" ht="15" hidden="false" customHeight="false" outlineLevel="0" collapsed="false">
      <c r="A25" s="3" t="n">
        <v>2</v>
      </c>
      <c r="B25" s="3" t="s">
        <v>234</v>
      </c>
      <c r="C25" s="3" t="s">
        <v>226</v>
      </c>
      <c r="D25" s="3" t="n">
        <v>2205.4</v>
      </c>
      <c r="E25" s="3" t="n">
        <v>401.55</v>
      </c>
      <c r="F25" s="6" t="n">
        <v>-81.7924186088691</v>
      </c>
      <c r="G25" s="3" t="s">
        <v>2376</v>
      </c>
      <c r="H25" s="3" t="s">
        <v>1485</v>
      </c>
    </row>
    <row r="26" customFormat="false" ht="15" hidden="false" customHeight="false" outlineLevel="0" collapsed="false">
      <c r="A26" s="3" t="n">
        <v>3</v>
      </c>
      <c r="B26" s="3" t="s">
        <v>414</v>
      </c>
      <c r="C26" s="3" t="s">
        <v>412</v>
      </c>
      <c r="D26" s="3" t="n">
        <v>7462.5</v>
      </c>
      <c r="E26" s="3" t="n">
        <v>1640.6</v>
      </c>
      <c r="F26" s="6" t="n">
        <v>-78.0154103852596</v>
      </c>
      <c r="G26" s="3" t="s">
        <v>2376</v>
      </c>
      <c r="H26" s="3" t="s">
        <v>1488</v>
      </c>
    </row>
    <row r="27" customFormat="false" ht="15" hidden="false" customHeight="false" outlineLevel="0" collapsed="false">
      <c r="A27" s="3" t="n">
        <v>4</v>
      </c>
      <c r="B27" s="3" t="s">
        <v>101</v>
      </c>
      <c r="C27" s="3" t="s">
        <v>89</v>
      </c>
      <c r="D27" s="3" t="n">
        <v>5591</v>
      </c>
      <c r="E27" s="3" t="n">
        <v>2302.3</v>
      </c>
      <c r="F27" s="6" t="n">
        <v>-58.8213199785369</v>
      </c>
      <c r="G27" s="3" t="s">
        <v>2376</v>
      </c>
      <c r="H27" s="3" t="s">
        <v>1481</v>
      </c>
    </row>
    <row r="28" customFormat="false" ht="15" hidden="false" customHeight="false" outlineLevel="0" collapsed="false">
      <c r="A28" s="3" t="n">
        <v>5</v>
      </c>
      <c r="B28" s="3" t="s">
        <v>101</v>
      </c>
      <c r="C28" s="3" t="s">
        <v>181</v>
      </c>
      <c r="D28" s="3" t="n">
        <v>5520</v>
      </c>
      <c r="E28" s="3" t="n">
        <v>2302.3</v>
      </c>
      <c r="F28" s="6" t="n">
        <v>-58.2916666666667</v>
      </c>
      <c r="G28" s="3" t="s">
        <v>2376</v>
      </c>
      <c r="H28" s="3" t="s">
        <v>1481</v>
      </c>
    </row>
    <row r="29" customFormat="false" ht="15" hidden="false" customHeight="false" outlineLevel="0" collapsed="false">
      <c r="A29" s="3" t="n">
        <v>6</v>
      </c>
      <c r="B29" s="3" t="s">
        <v>312</v>
      </c>
      <c r="C29" s="3" t="s">
        <v>306</v>
      </c>
      <c r="D29" s="3" t="n">
        <v>919.9</v>
      </c>
      <c r="E29" s="3" t="n">
        <v>400.65</v>
      </c>
      <c r="F29" s="6" t="n">
        <v>-56.4463528644418</v>
      </c>
      <c r="G29" s="3" t="s">
        <v>2376</v>
      </c>
      <c r="H29" s="3" t="s">
        <v>1486</v>
      </c>
    </row>
    <row r="30" customFormat="false" ht="15" hidden="false" customHeight="false" outlineLevel="0" collapsed="false">
      <c r="A30" s="3" t="n">
        <v>7</v>
      </c>
      <c r="B30" s="3" t="s">
        <v>312</v>
      </c>
      <c r="C30" s="3" t="s">
        <v>469</v>
      </c>
      <c r="D30" s="3" t="n">
        <v>847.4</v>
      </c>
      <c r="E30" s="3" t="n">
        <v>400.65</v>
      </c>
      <c r="F30" s="6" t="n">
        <v>-52.7200849657777</v>
      </c>
      <c r="G30" s="3" t="s">
        <v>2376</v>
      </c>
      <c r="H30" s="3" t="s">
        <v>1486</v>
      </c>
    </row>
    <row r="31" customFormat="false" ht="15" hidden="false" customHeight="false" outlineLevel="0" collapsed="false">
      <c r="A31" s="3" t="n">
        <v>8</v>
      </c>
      <c r="B31" s="3" t="s">
        <v>126</v>
      </c>
      <c r="C31" s="3" t="s">
        <v>444</v>
      </c>
      <c r="D31" s="3" t="n">
        <v>543.6</v>
      </c>
      <c r="E31" s="3" t="n">
        <v>259</v>
      </c>
      <c r="F31" s="6" t="n">
        <v>-52.3546725533481</v>
      </c>
      <c r="G31" s="3" t="s">
        <v>2376</v>
      </c>
      <c r="H31" s="3" t="s">
        <v>1482</v>
      </c>
    </row>
    <row r="32" customFormat="false" ht="15" hidden="false" customHeight="false" outlineLevel="0" collapsed="false">
      <c r="A32" s="3" t="n">
        <v>9</v>
      </c>
      <c r="B32" s="3" t="s">
        <v>126</v>
      </c>
      <c r="C32" s="3" t="s">
        <v>89</v>
      </c>
      <c r="D32" s="3" t="n">
        <v>470.95</v>
      </c>
      <c r="E32" s="3" t="n">
        <v>259</v>
      </c>
      <c r="F32" s="6" t="n">
        <v>-45.0047775772375</v>
      </c>
      <c r="G32" s="3" t="s">
        <v>2376</v>
      </c>
      <c r="H32" s="3" t="s">
        <v>1482</v>
      </c>
    </row>
    <row r="33" customFormat="false" ht="15" hidden="false" customHeight="false" outlineLevel="0" collapsed="false">
      <c r="A33" s="3" t="n">
        <v>10</v>
      </c>
      <c r="B33" s="3" t="s">
        <v>372</v>
      </c>
      <c r="C33" s="3" t="s">
        <v>356</v>
      </c>
      <c r="D33" s="3" t="n">
        <v>663.85</v>
      </c>
      <c r="E33" s="3" t="n">
        <v>376</v>
      </c>
      <c r="F33" s="6" t="n">
        <v>-43.3606989530768</v>
      </c>
      <c r="G33" s="3"/>
      <c r="H33" s="3"/>
    </row>
    <row r="34" customFormat="false" ht="15" hidden="false" customHeight="false" outlineLevel="0" collapsed="false">
      <c r="A34" s="3" t="n">
        <v>11</v>
      </c>
      <c r="B34" s="3" t="s">
        <v>372</v>
      </c>
      <c r="C34" s="3" t="s">
        <v>444</v>
      </c>
      <c r="D34" s="3" t="n">
        <v>647</v>
      </c>
      <c r="E34" s="3" t="n">
        <v>376</v>
      </c>
      <c r="F34" s="6" t="n">
        <v>-41.8856259659969</v>
      </c>
      <c r="G34" s="3"/>
      <c r="H34" s="3"/>
    </row>
    <row r="35" customFormat="false" ht="15" hidden="false" customHeight="false" outlineLevel="0" collapsed="false">
      <c r="A35" s="3" t="n">
        <v>12</v>
      </c>
      <c r="B35" s="3" t="s">
        <v>263</v>
      </c>
      <c r="C35" s="3" t="s">
        <v>252</v>
      </c>
      <c r="D35" s="3" t="n">
        <v>730.65</v>
      </c>
      <c r="E35" s="3" t="n">
        <v>453.5</v>
      </c>
      <c r="F35" s="6" t="n">
        <v>-37.9319783754191</v>
      </c>
      <c r="G35" s="3"/>
      <c r="H35" s="3"/>
    </row>
    <row r="36" customFormat="false" ht="15" hidden="false" customHeight="false" outlineLevel="0" collapsed="false">
      <c r="A36" s="3" t="n">
        <v>13</v>
      </c>
      <c r="B36" s="3" t="s">
        <v>388</v>
      </c>
      <c r="C36" s="3" t="s">
        <v>1113</v>
      </c>
      <c r="D36" s="3" t="n">
        <v>1830</v>
      </c>
      <c r="E36" s="3" t="n">
        <v>1151.3</v>
      </c>
      <c r="F36" s="6" t="n">
        <v>-37.0874316939891</v>
      </c>
      <c r="G36" s="3" t="s">
        <v>2376</v>
      </c>
      <c r="H36" s="3" t="s">
        <v>1487</v>
      </c>
    </row>
    <row r="37" customFormat="false" ht="15" hidden="false" customHeight="false" outlineLevel="0" collapsed="false">
      <c r="A37" s="3" t="n">
        <v>14</v>
      </c>
      <c r="B37" s="3" t="s">
        <v>388</v>
      </c>
      <c r="C37" s="3" t="s">
        <v>387</v>
      </c>
      <c r="D37" s="3" t="n">
        <v>1815.7</v>
      </c>
      <c r="E37" s="3" t="n">
        <v>1151.3</v>
      </c>
      <c r="F37" s="6" t="n">
        <v>-36.5919480090323</v>
      </c>
      <c r="G37" s="3" t="s">
        <v>2376</v>
      </c>
      <c r="H37" s="3" t="s">
        <v>1487</v>
      </c>
    </row>
    <row r="38" customFormat="false" ht="15" hidden="false" customHeight="false" outlineLevel="0" collapsed="false">
      <c r="A38" s="3" t="n">
        <v>15</v>
      </c>
      <c r="B38" s="3" t="s">
        <v>388</v>
      </c>
      <c r="C38" s="3" t="s">
        <v>1107</v>
      </c>
      <c r="D38" s="3" t="n">
        <v>1804.8</v>
      </c>
      <c r="E38" s="3" t="n">
        <v>1151.3</v>
      </c>
      <c r="F38" s="6" t="n">
        <v>-36.2089982269504</v>
      </c>
      <c r="G38" s="3" t="s">
        <v>2376</v>
      </c>
      <c r="H38" s="3" t="s">
        <v>1487</v>
      </c>
    </row>
    <row r="39" customFormat="false" ht="15" hidden="false" customHeight="false" outlineLevel="0" collapsed="false">
      <c r="A39" s="3" t="n">
        <v>16</v>
      </c>
      <c r="B39" s="3" t="s">
        <v>223</v>
      </c>
      <c r="C39" s="3" t="s">
        <v>206</v>
      </c>
      <c r="D39" s="3" t="n">
        <v>250.21</v>
      </c>
      <c r="E39" s="3" t="n">
        <v>161.56</v>
      </c>
      <c r="F39" s="6" t="n">
        <v>-35.4302385995764</v>
      </c>
      <c r="G39" s="3"/>
      <c r="H39" s="3"/>
    </row>
    <row r="40" customFormat="false" ht="15" hidden="false" customHeight="false" outlineLevel="0" collapsed="false">
      <c r="A40" s="3" t="n">
        <v>17</v>
      </c>
      <c r="B40" s="3" t="s">
        <v>275</v>
      </c>
      <c r="C40" s="3" t="s">
        <v>252</v>
      </c>
      <c r="D40" s="3" t="n">
        <v>604.7</v>
      </c>
      <c r="E40" s="3" t="n">
        <v>390.8</v>
      </c>
      <c r="F40" s="6" t="n">
        <v>-35.3729121878618</v>
      </c>
      <c r="G40" s="3"/>
      <c r="H40" s="3"/>
    </row>
    <row r="41" customFormat="false" ht="15" hidden="false" customHeight="false" outlineLevel="0" collapsed="false">
      <c r="A41" s="3" t="n">
        <v>18</v>
      </c>
      <c r="B41" s="3" t="s">
        <v>231</v>
      </c>
      <c r="C41" s="3" t="s">
        <v>226</v>
      </c>
      <c r="D41" s="3" t="n">
        <v>405.15</v>
      </c>
      <c r="E41" s="3" t="n">
        <v>265.2</v>
      </c>
      <c r="F41" s="6" t="n">
        <v>-34.5427619400222</v>
      </c>
      <c r="G41" s="3"/>
      <c r="H41" s="3"/>
    </row>
    <row r="42" customFormat="false" ht="15" hidden="false" customHeight="false" outlineLevel="0" collapsed="false">
      <c r="A42" s="3" t="n">
        <v>19</v>
      </c>
      <c r="B42" s="3" t="s">
        <v>388</v>
      </c>
      <c r="C42" s="3" t="s">
        <v>1105</v>
      </c>
      <c r="D42" s="3" t="n">
        <v>1748.3</v>
      </c>
      <c r="E42" s="3" t="n">
        <v>1151.3</v>
      </c>
      <c r="F42" s="6" t="n">
        <v>-34.1474575301722</v>
      </c>
      <c r="G42" s="3" t="s">
        <v>2376</v>
      </c>
      <c r="H42" s="3" t="s">
        <v>1487</v>
      </c>
    </row>
    <row r="43" customFormat="false" ht="15" hidden="false" customHeight="false" outlineLevel="0" collapsed="false">
      <c r="A43" s="3" t="n">
        <v>20</v>
      </c>
      <c r="B43" s="3" t="s">
        <v>263</v>
      </c>
      <c r="C43" s="3" t="s">
        <v>477</v>
      </c>
      <c r="D43" s="3" t="n">
        <v>681.65</v>
      </c>
      <c r="E43" s="3" t="n">
        <v>453.5</v>
      </c>
      <c r="F43" s="6" t="n">
        <v>-33.4702559964791</v>
      </c>
      <c r="G43" s="3"/>
      <c r="H4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9" min="8" style="0" width="9"/>
    <col collapsed="false" customWidth="true" hidden="false" outlineLevel="0" max="13" min="10" style="0" width="10"/>
    <col collapsed="false" customWidth="true" hidden="false" outlineLevel="0" max="14" min="14" style="0" width="22"/>
    <col collapsed="false" customWidth="true" hidden="false" outlineLevel="0" max="16" min="15" style="0" width="13"/>
    <col collapsed="false" customWidth="true" hidden="false" outlineLevel="0" max="17" min="17" style="0" width="12"/>
  </cols>
  <sheetData>
    <row r="1" customFormat="false" ht="35.05" hidden="false" customHeight="false" outlineLevel="0" collapsed="false">
      <c r="A1" s="1" t="s">
        <v>42</v>
      </c>
      <c r="B1" s="1" t="s">
        <v>1704</v>
      </c>
      <c r="C1" s="1" t="s">
        <v>54</v>
      </c>
      <c r="D1" s="1" t="s">
        <v>2377</v>
      </c>
      <c r="E1" s="1" t="s">
        <v>2378</v>
      </c>
      <c r="F1" s="1" t="s">
        <v>2379</v>
      </c>
      <c r="G1" s="1" t="s">
        <v>2380</v>
      </c>
      <c r="H1" s="1" t="s">
        <v>2381</v>
      </c>
      <c r="I1" s="1" t="s">
        <v>56</v>
      </c>
      <c r="J1" s="1" t="s">
        <v>2382</v>
      </c>
      <c r="K1" s="1" t="s">
        <v>2383</v>
      </c>
      <c r="L1" s="1" t="s">
        <v>2384</v>
      </c>
      <c r="M1" s="1" t="s">
        <v>2385</v>
      </c>
      <c r="N1" s="1" t="s">
        <v>2386</v>
      </c>
      <c r="O1" s="1" t="s">
        <v>2387</v>
      </c>
      <c r="P1" s="1" t="s">
        <v>2388</v>
      </c>
      <c r="Q1" s="1" t="s">
        <v>2389</v>
      </c>
    </row>
    <row r="2" customFormat="false" ht="15" hidden="false" customHeight="false" outlineLevel="0" collapsed="false">
      <c r="A2" s="3" t="s">
        <v>58</v>
      </c>
      <c r="B2" s="3" t="s">
        <v>59</v>
      </c>
      <c r="C2" s="3" t="n">
        <v>0</v>
      </c>
      <c r="D2" s="3" t="s">
        <v>57</v>
      </c>
      <c r="E2" s="3" t="n">
        <v>1731.1</v>
      </c>
      <c r="F2" s="3" t="s">
        <v>57</v>
      </c>
      <c r="G2" s="3" t="n">
        <v>1731.1</v>
      </c>
      <c r="H2" s="3" t="n">
        <v>1</v>
      </c>
      <c r="I2" s="3" t="s">
        <v>65</v>
      </c>
      <c r="J2" s="3" t="n">
        <v>0.41</v>
      </c>
      <c r="K2" s="3" t="n">
        <v>0.23</v>
      </c>
      <c r="L2" s="3" t="n">
        <v>3.49</v>
      </c>
      <c r="M2" s="3" t="n">
        <v>8.79</v>
      </c>
      <c r="N2" s="3" t="n">
        <v>11.89</v>
      </c>
      <c r="O2" s="3" t="n">
        <v>2197</v>
      </c>
      <c r="P2" s="3" t="n">
        <v>26.91</v>
      </c>
      <c r="Q2" s="3"/>
    </row>
    <row r="3" customFormat="false" ht="15" hidden="false" customHeight="false" outlineLevel="0" collapsed="false">
      <c r="A3" s="3" t="s">
        <v>66</v>
      </c>
      <c r="B3" s="3" t="s">
        <v>67</v>
      </c>
      <c r="C3" s="3" t="n">
        <v>0</v>
      </c>
      <c r="D3" s="3" t="s">
        <v>57</v>
      </c>
      <c r="E3" s="3" t="n">
        <v>5710</v>
      </c>
      <c r="F3" s="3" t="s">
        <v>89</v>
      </c>
      <c r="G3" s="3" t="n">
        <v>5866</v>
      </c>
      <c r="H3" s="3" t="n">
        <v>2</v>
      </c>
      <c r="I3" s="3" t="s">
        <v>70</v>
      </c>
      <c r="J3" s="3" t="n">
        <v>2.73</v>
      </c>
      <c r="K3" s="3" t="n">
        <v>7.39</v>
      </c>
      <c r="L3" s="3" t="n">
        <v>18</v>
      </c>
      <c r="M3" s="3" t="n">
        <v>11.39</v>
      </c>
      <c r="N3" s="3" t="n">
        <v>4.15</v>
      </c>
      <c r="O3" s="3" t="n">
        <v>9550</v>
      </c>
      <c r="P3" s="3" t="n">
        <v>67.25</v>
      </c>
      <c r="Q3" s="3"/>
    </row>
    <row r="4" customFormat="false" ht="15" hidden="false" customHeight="false" outlineLevel="0" collapsed="false">
      <c r="A4" s="3" t="s">
        <v>71</v>
      </c>
      <c r="B4" s="3" t="s">
        <v>72</v>
      </c>
      <c r="C4" s="3" t="n">
        <v>0</v>
      </c>
      <c r="D4" s="3" t="s">
        <v>57</v>
      </c>
      <c r="E4" s="3" t="n">
        <v>989.65</v>
      </c>
      <c r="F4" s="3" t="s">
        <v>57</v>
      </c>
      <c r="G4" s="3" t="n">
        <v>989.65</v>
      </c>
      <c r="H4" s="3" t="n">
        <v>1</v>
      </c>
      <c r="I4" s="3" t="s">
        <v>65</v>
      </c>
      <c r="J4" s="3" t="n">
        <v>-0.93</v>
      </c>
      <c r="K4" s="3" t="n">
        <v>8</v>
      </c>
      <c r="L4" s="3" t="n">
        <v>3.37</v>
      </c>
      <c r="M4" s="3" t="n">
        <v>-11.2</v>
      </c>
      <c r="N4" s="3" t="n">
        <v>-19.67</v>
      </c>
      <c r="O4" s="3" t="n">
        <v>830.75</v>
      </c>
      <c r="P4" s="3" t="n">
        <v>-16.06</v>
      </c>
      <c r="Q4" s="3"/>
    </row>
    <row r="5" customFormat="false" ht="15" hidden="false" customHeight="false" outlineLevel="0" collapsed="false">
      <c r="A5" s="3" t="s">
        <v>74</v>
      </c>
      <c r="B5" s="3" t="s">
        <v>75</v>
      </c>
      <c r="C5" s="3" t="n">
        <v>0</v>
      </c>
      <c r="D5" s="3" t="s">
        <v>57</v>
      </c>
      <c r="E5" s="3" t="n">
        <v>1903.6</v>
      </c>
      <c r="F5" s="3" t="s">
        <v>57</v>
      </c>
      <c r="G5" s="3" t="n">
        <v>1903.6</v>
      </c>
      <c r="H5" s="3" t="n">
        <v>1</v>
      </c>
      <c r="I5" s="3" t="s">
        <v>65</v>
      </c>
      <c r="J5" s="3" t="n">
        <v>0.42</v>
      </c>
      <c r="K5" s="3" t="n">
        <v>-1.1</v>
      </c>
      <c r="L5" s="3" t="n">
        <v>4.73</v>
      </c>
      <c r="M5" s="3" t="n">
        <v>2.7</v>
      </c>
      <c r="N5" s="3" t="n">
        <v>-10.14</v>
      </c>
      <c r="O5" s="3" t="n">
        <v>1540</v>
      </c>
      <c r="P5" s="3" t="n">
        <v>-19.1</v>
      </c>
      <c r="Q5" s="3"/>
    </row>
    <row r="6" customFormat="false" ht="15" hidden="false" customHeight="false" outlineLevel="0" collapsed="false">
      <c r="A6" s="3" t="s">
        <v>77</v>
      </c>
      <c r="B6" s="3" t="s">
        <v>78</v>
      </c>
      <c r="C6" s="3" t="n">
        <v>0</v>
      </c>
      <c r="D6" s="3" t="s">
        <v>57</v>
      </c>
      <c r="E6" s="3" t="n">
        <v>141.18</v>
      </c>
      <c r="F6" s="3" t="s">
        <v>89</v>
      </c>
      <c r="G6" s="3" t="n">
        <v>143.59</v>
      </c>
      <c r="H6" s="3" t="n">
        <v>2</v>
      </c>
      <c r="I6" s="3" t="s">
        <v>70</v>
      </c>
      <c r="J6" s="3" t="n">
        <v>1.71</v>
      </c>
      <c r="K6" s="3" t="n">
        <v>-0.54</v>
      </c>
      <c r="L6" s="3" t="n">
        <v>-1.5</v>
      </c>
      <c r="M6" s="3" t="n">
        <v>-6.5</v>
      </c>
      <c r="N6" s="3" t="n">
        <v>-18.72</v>
      </c>
      <c r="O6" s="3" t="n">
        <v>111.35</v>
      </c>
      <c r="P6" s="3" t="n">
        <v>-21.13</v>
      </c>
      <c r="Q6" s="3"/>
    </row>
    <row r="7" customFormat="false" ht="15" hidden="false" customHeight="false" outlineLevel="0" collapsed="false">
      <c r="A7" s="3" t="s">
        <v>80</v>
      </c>
      <c r="B7" s="3" t="s">
        <v>81</v>
      </c>
      <c r="C7" s="3" t="n">
        <v>0</v>
      </c>
      <c r="D7" s="3" t="s">
        <v>57</v>
      </c>
      <c r="E7" s="3" t="n">
        <v>1621.9</v>
      </c>
      <c r="F7" s="3" t="s">
        <v>57</v>
      </c>
      <c r="G7" s="3" t="n">
        <v>1621.9</v>
      </c>
      <c r="H7" s="3" t="n">
        <v>1</v>
      </c>
      <c r="I7" s="3" t="s">
        <v>65</v>
      </c>
      <c r="J7" s="3" t="n">
        <v>-1.1</v>
      </c>
      <c r="K7" s="3" t="n">
        <v>-1.58</v>
      </c>
      <c r="L7" s="3" t="n">
        <v>-4.65</v>
      </c>
      <c r="M7" s="3" t="n">
        <v>0.77</v>
      </c>
      <c r="N7" s="3" t="n">
        <v>-8.09</v>
      </c>
      <c r="O7" s="3" t="n">
        <v>1444</v>
      </c>
      <c r="P7" s="3" t="n">
        <v>-10.97</v>
      </c>
      <c r="Q7" s="3"/>
    </row>
    <row r="8" customFormat="false" ht="15" hidden="false" customHeight="false" outlineLevel="0" collapsed="false">
      <c r="A8" s="3" t="s">
        <v>83</v>
      </c>
      <c r="B8" s="3" t="s">
        <v>84</v>
      </c>
      <c r="C8" s="3" t="n">
        <v>0</v>
      </c>
      <c r="D8" s="3" t="s">
        <v>57</v>
      </c>
      <c r="E8" s="3" t="n">
        <v>2907.1</v>
      </c>
      <c r="F8" s="3" t="s">
        <v>57</v>
      </c>
      <c r="G8" s="3" t="n">
        <v>2907.1</v>
      </c>
      <c r="H8" s="3" t="n">
        <v>1</v>
      </c>
      <c r="I8" s="3" t="s">
        <v>65</v>
      </c>
      <c r="J8" s="3" t="n">
        <v>0.42</v>
      </c>
      <c r="K8" s="3" t="n">
        <v>3.09</v>
      </c>
      <c r="L8" s="3" t="n">
        <v>0.8</v>
      </c>
      <c r="M8" s="3" t="n">
        <v>4.51</v>
      </c>
      <c r="N8" s="3" t="n">
        <v>-16.14</v>
      </c>
      <c r="O8" s="3" t="n">
        <v>2491.5</v>
      </c>
      <c r="P8" s="3" t="n">
        <v>-14.3</v>
      </c>
      <c r="Q8" s="3"/>
    </row>
    <row r="9" customFormat="false" ht="15" hidden="false" customHeight="false" outlineLevel="0" collapsed="false">
      <c r="A9" s="3" t="s">
        <v>86</v>
      </c>
      <c r="B9" s="3" t="s">
        <v>87</v>
      </c>
      <c r="C9" s="3" t="n">
        <v>0</v>
      </c>
      <c r="D9" s="3" t="s">
        <v>57</v>
      </c>
      <c r="E9" s="3" t="n">
        <v>21.76</v>
      </c>
      <c r="F9" s="3" t="s">
        <v>57</v>
      </c>
      <c r="G9" s="3" t="n">
        <v>21.76</v>
      </c>
      <c r="H9" s="3" t="n">
        <v>1</v>
      </c>
      <c r="I9" s="3" t="s">
        <v>65</v>
      </c>
      <c r="J9" s="3" t="n">
        <v>0.41</v>
      </c>
      <c r="K9" s="3" t="n">
        <v>3.03</v>
      </c>
      <c r="L9" s="3" t="n">
        <v>4.5</v>
      </c>
      <c r="M9" s="3" t="n">
        <v>-1.79</v>
      </c>
      <c r="N9" s="3" t="n">
        <v>-20.73</v>
      </c>
      <c r="O9" s="3" t="n">
        <v>21.18</v>
      </c>
      <c r="P9" s="3" t="n">
        <v>-2.67</v>
      </c>
      <c r="Q9" s="3"/>
    </row>
    <row r="10" customFormat="false" ht="15" hidden="false" customHeight="false" outlineLevel="0" collapsed="false">
      <c r="A10" s="3" t="s">
        <v>90</v>
      </c>
      <c r="B10" s="3" t="s">
        <v>91</v>
      </c>
      <c r="C10" s="3" t="n">
        <v>0</v>
      </c>
      <c r="D10" s="3" t="s">
        <v>89</v>
      </c>
      <c r="E10" s="3" t="n">
        <v>8679.5</v>
      </c>
      <c r="F10" s="3" t="s">
        <v>89</v>
      </c>
      <c r="G10" s="3" t="n">
        <v>8679.5</v>
      </c>
      <c r="H10" s="3" t="n">
        <v>1</v>
      </c>
      <c r="I10" s="3" t="s">
        <v>65</v>
      </c>
      <c r="J10" s="3" t="n">
        <v>1.3</v>
      </c>
      <c r="K10" s="3" t="n">
        <v>3.08</v>
      </c>
      <c r="L10" s="3" t="n">
        <v>2.8</v>
      </c>
      <c r="M10" s="3" t="n">
        <v>7.64</v>
      </c>
      <c r="N10" s="3" t="n">
        <v>2.49</v>
      </c>
      <c r="O10" s="3" t="n">
        <v>11024</v>
      </c>
      <c r="P10" s="3" t="n">
        <v>27.01</v>
      </c>
      <c r="Q10" s="3"/>
    </row>
    <row r="11" customFormat="false" ht="15" hidden="false" customHeight="false" outlineLevel="0" collapsed="false">
      <c r="A11" s="3" t="s">
        <v>93</v>
      </c>
      <c r="B11" s="3" t="s">
        <v>94</v>
      </c>
      <c r="C11" s="3" t="n">
        <v>0</v>
      </c>
      <c r="D11" s="3" t="s">
        <v>89</v>
      </c>
      <c r="E11" s="3" t="n">
        <v>2253.7</v>
      </c>
      <c r="F11" s="3" t="s">
        <v>89</v>
      </c>
      <c r="G11" s="3" t="n">
        <v>2253.7</v>
      </c>
      <c r="H11" s="3" t="n">
        <v>1</v>
      </c>
      <c r="I11" s="3" t="s">
        <v>65</v>
      </c>
      <c r="J11" s="3" t="n">
        <v>-0.11</v>
      </c>
      <c r="K11" s="3" t="n">
        <v>-1.15</v>
      </c>
      <c r="L11" s="3" t="n">
        <v>-7.62</v>
      </c>
      <c r="M11" s="3" t="n">
        <v>-5.45</v>
      </c>
      <c r="N11" s="3" t="n">
        <v>-19.87</v>
      </c>
      <c r="O11" s="3" t="n">
        <v>1651.6</v>
      </c>
      <c r="P11" s="3" t="n">
        <v>-26.72</v>
      </c>
      <c r="Q11" s="3"/>
    </row>
    <row r="12" customFormat="false" ht="15" hidden="false" customHeight="false" outlineLevel="0" collapsed="false">
      <c r="A12" s="3" t="s">
        <v>96</v>
      </c>
      <c r="B12" s="3" t="s">
        <v>97</v>
      </c>
      <c r="C12" s="3" t="n">
        <v>0</v>
      </c>
      <c r="D12" s="3" t="s">
        <v>89</v>
      </c>
      <c r="E12" s="3" t="n">
        <v>437.3</v>
      </c>
      <c r="F12" s="3" t="s">
        <v>89</v>
      </c>
      <c r="G12" s="3" t="n">
        <v>437.3</v>
      </c>
      <c r="H12" s="3" t="n">
        <v>1</v>
      </c>
      <c r="I12" s="3" t="s">
        <v>65</v>
      </c>
      <c r="J12" s="3" t="n">
        <v>5.79</v>
      </c>
      <c r="K12" s="3" t="n">
        <v>6.3</v>
      </c>
      <c r="L12" s="3" t="n">
        <v>7.99</v>
      </c>
      <c r="M12" s="3" t="n">
        <v>-7.65</v>
      </c>
      <c r="N12" s="3" t="n">
        <v>-1.35</v>
      </c>
      <c r="O12" s="3" t="n">
        <v>407.5</v>
      </c>
      <c r="P12" s="3" t="n">
        <v>-6.81</v>
      </c>
      <c r="Q12" s="3"/>
    </row>
    <row r="13" customFormat="false" ht="15" hidden="false" customHeight="false" outlineLevel="0" collapsed="false">
      <c r="A13" s="3" t="s">
        <v>101</v>
      </c>
      <c r="B13" s="3" t="s">
        <v>102</v>
      </c>
      <c r="C13" s="3" t="n">
        <v>0</v>
      </c>
      <c r="D13" s="3" t="s">
        <v>89</v>
      </c>
      <c r="E13" s="3" t="n">
        <v>5591</v>
      </c>
      <c r="F13" s="3" t="s">
        <v>89</v>
      </c>
      <c r="G13" s="3" t="n">
        <v>5591</v>
      </c>
      <c r="H13" s="3" t="n">
        <v>1</v>
      </c>
      <c r="I13" s="3" t="s">
        <v>65</v>
      </c>
      <c r="J13" s="3" t="n">
        <v>1.25</v>
      </c>
      <c r="K13" s="3" t="n">
        <v>-1.27</v>
      </c>
      <c r="L13" s="3" t="n">
        <v>-3.34</v>
      </c>
      <c r="M13" s="3" t="n">
        <v>-52.21</v>
      </c>
      <c r="N13" s="3" t="n">
        <v>-58.14</v>
      </c>
      <c r="O13" s="3" t="n">
        <v>2302.3</v>
      </c>
      <c r="P13" s="3" t="n">
        <v>-58.82</v>
      </c>
      <c r="Q13" s="3" t="s">
        <v>2390</v>
      </c>
    </row>
    <row r="14" customFormat="false" ht="15" hidden="false" customHeight="false" outlineLevel="0" collapsed="false">
      <c r="A14" s="3" t="s">
        <v>104</v>
      </c>
      <c r="B14" s="3" t="s">
        <v>105</v>
      </c>
      <c r="C14" s="3" t="n">
        <v>0</v>
      </c>
      <c r="D14" s="3" t="s">
        <v>89</v>
      </c>
      <c r="E14" s="3" t="n">
        <v>446.3</v>
      </c>
      <c r="F14" s="3" t="s">
        <v>89</v>
      </c>
      <c r="G14" s="3" t="n">
        <v>446.3</v>
      </c>
      <c r="H14" s="3" t="n">
        <v>1</v>
      </c>
      <c r="I14" s="3" t="s">
        <v>65</v>
      </c>
      <c r="J14" s="3" t="n">
        <v>2.24</v>
      </c>
      <c r="K14" s="3" t="n">
        <v>1.39</v>
      </c>
      <c r="L14" s="3" t="n">
        <v>8.47</v>
      </c>
      <c r="M14" s="3" t="n">
        <v>11.82</v>
      </c>
      <c r="N14" s="3" t="n">
        <v>-24.82</v>
      </c>
      <c r="O14" s="3" t="n">
        <v>342.45</v>
      </c>
      <c r="P14" s="3" t="n">
        <v>-23.27</v>
      </c>
      <c r="Q14" s="3"/>
    </row>
    <row r="15" customFormat="false" ht="15" hidden="false" customHeight="false" outlineLevel="0" collapsed="false">
      <c r="A15" s="3" t="s">
        <v>108</v>
      </c>
      <c r="B15" s="3" t="s">
        <v>109</v>
      </c>
      <c r="C15" s="3" t="n">
        <v>0</v>
      </c>
      <c r="D15" s="3" t="s">
        <v>89</v>
      </c>
      <c r="E15" s="3" t="n">
        <v>1076.5</v>
      </c>
      <c r="F15" s="3" t="s">
        <v>89</v>
      </c>
      <c r="G15" s="3" t="n">
        <v>1076.5</v>
      </c>
      <c r="H15" s="3" t="n">
        <v>1</v>
      </c>
      <c r="I15" s="3" t="s">
        <v>65</v>
      </c>
      <c r="J15" s="3" t="n">
        <v>-1.91</v>
      </c>
      <c r="K15" s="3" t="n">
        <v>-5.69</v>
      </c>
      <c r="L15" s="3" t="n">
        <v>0.05</v>
      </c>
      <c r="M15" s="3" t="n">
        <v>-2.11</v>
      </c>
      <c r="N15" s="3" t="n">
        <v>5.66</v>
      </c>
      <c r="O15" s="3" t="n">
        <v>1139.6</v>
      </c>
      <c r="P15" s="3" t="n">
        <v>5.86</v>
      </c>
      <c r="Q15" s="3"/>
    </row>
    <row r="16" customFormat="false" ht="15" hidden="false" customHeight="false" outlineLevel="0" collapsed="false">
      <c r="A16" s="3" t="s">
        <v>111</v>
      </c>
      <c r="B16" s="3" t="s">
        <v>112</v>
      </c>
      <c r="C16" s="3" t="n">
        <v>0</v>
      </c>
      <c r="D16" s="3" t="s">
        <v>89</v>
      </c>
      <c r="E16" s="3" t="n">
        <v>262.33</v>
      </c>
      <c r="F16" s="3" t="s">
        <v>89</v>
      </c>
      <c r="G16" s="3" t="n">
        <v>262.33</v>
      </c>
      <c r="H16" s="3" t="n">
        <v>1</v>
      </c>
      <c r="I16" s="3" t="s">
        <v>65</v>
      </c>
      <c r="J16" s="3" t="n">
        <v>-0.94</v>
      </c>
      <c r="K16" s="3" t="n">
        <v>-2.4</v>
      </c>
      <c r="L16" s="3" t="n">
        <v>6.62</v>
      </c>
      <c r="M16" s="3" t="n">
        <v>20.44</v>
      </c>
      <c r="N16" s="3" t="n">
        <v>-6.74</v>
      </c>
      <c r="O16" s="3" t="n">
        <v>280.85</v>
      </c>
      <c r="P16" s="3" t="n">
        <v>7.06</v>
      </c>
      <c r="Q16" s="3"/>
    </row>
    <row r="17" customFormat="false" ht="15" hidden="false" customHeight="false" outlineLevel="0" collapsed="false">
      <c r="A17" s="3" t="s">
        <v>114</v>
      </c>
      <c r="B17" s="3" t="s">
        <v>115</v>
      </c>
      <c r="C17" s="3" t="n">
        <v>0</v>
      </c>
      <c r="D17" s="3" t="s">
        <v>89</v>
      </c>
      <c r="E17" s="3" t="n">
        <v>77.1</v>
      </c>
      <c r="F17" s="3" t="s">
        <v>89</v>
      </c>
      <c r="G17" s="3" t="n">
        <v>77.1</v>
      </c>
      <c r="H17" s="3" t="n">
        <v>1</v>
      </c>
      <c r="I17" s="3" t="s">
        <v>65</v>
      </c>
      <c r="J17" s="3" t="n">
        <v>-1.35</v>
      </c>
      <c r="K17" s="3" t="n">
        <v>0.04</v>
      </c>
      <c r="L17" s="3" t="n">
        <v>-1.53</v>
      </c>
      <c r="M17" s="3" t="n">
        <v>7.87</v>
      </c>
      <c r="N17" s="3" t="n">
        <v>1.39</v>
      </c>
      <c r="O17" s="3" t="n">
        <v>77.43</v>
      </c>
      <c r="P17" s="3" t="n">
        <v>0.43</v>
      </c>
      <c r="Q17" s="3"/>
    </row>
    <row r="18" customFormat="false" ht="15" hidden="false" customHeight="false" outlineLevel="0" collapsed="false">
      <c r="A18" s="3" t="s">
        <v>117</v>
      </c>
      <c r="B18" s="3" t="s">
        <v>118</v>
      </c>
      <c r="C18" s="3" t="n">
        <v>0</v>
      </c>
      <c r="D18" s="3" t="s">
        <v>89</v>
      </c>
      <c r="E18" s="3" t="n">
        <v>278.95</v>
      </c>
      <c r="F18" s="3" t="s">
        <v>89</v>
      </c>
      <c r="G18" s="3" t="n">
        <v>278.95</v>
      </c>
      <c r="H18" s="3" t="n">
        <v>1</v>
      </c>
      <c r="I18" s="3" t="s">
        <v>65</v>
      </c>
      <c r="J18" s="3" t="n">
        <v>0.48</v>
      </c>
      <c r="K18" s="3" t="n">
        <v>0.9</v>
      </c>
      <c r="L18" s="3" t="n">
        <v>2.19</v>
      </c>
      <c r="M18" s="3" t="n">
        <v>1.85</v>
      </c>
      <c r="N18" s="3" t="n">
        <v>-7.55</v>
      </c>
      <c r="O18" s="3" t="n">
        <v>289.85</v>
      </c>
      <c r="P18" s="3" t="n">
        <v>3.91</v>
      </c>
      <c r="Q18" s="3"/>
    </row>
    <row r="19" customFormat="false" ht="15" hidden="false" customHeight="false" outlineLevel="0" collapsed="false">
      <c r="A19" s="3" t="s">
        <v>120</v>
      </c>
      <c r="B19" s="3" t="s">
        <v>121</v>
      </c>
      <c r="C19" s="3" t="n">
        <v>0</v>
      </c>
      <c r="D19" s="3" t="s">
        <v>89</v>
      </c>
      <c r="E19" s="3" t="n">
        <v>412.2</v>
      </c>
      <c r="F19" s="3" t="s">
        <v>89</v>
      </c>
      <c r="G19" s="3" t="n">
        <v>412.2</v>
      </c>
      <c r="H19" s="3" t="n">
        <v>1</v>
      </c>
      <c r="I19" s="3" t="s">
        <v>65</v>
      </c>
      <c r="J19" s="3" t="n">
        <v>-1.53</v>
      </c>
      <c r="K19" s="3" t="n">
        <v>-2.03</v>
      </c>
      <c r="L19" s="3" t="n">
        <v>-2.13</v>
      </c>
      <c r="M19" s="3" t="n">
        <v>-13.78</v>
      </c>
      <c r="N19" s="3" t="n">
        <v>-3.52</v>
      </c>
      <c r="O19" s="3" t="n">
        <v>330</v>
      </c>
      <c r="P19" s="3" t="n">
        <v>-19.94</v>
      </c>
      <c r="Q19" s="3"/>
    </row>
    <row r="20" customFormat="false" ht="15" hidden="false" customHeight="false" outlineLevel="0" collapsed="false">
      <c r="A20" s="3" t="s">
        <v>123</v>
      </c>
      <c r="B20" s="3" t="s">
        <v>124</v>
      </c>
      <c r="C20" s="3" t="n">
        <v>0</v>
      </c>
      <c r="D20" s="3" t="s">
        <v>89</v>
      </c>
      <c r="E20" s="3" t="n">
        <v>114.37</v>
      </c>
      <c r="F20" s="3" t="s">
        <v>89</v>
      </c>
      <c r="G20" s="3" t="n">
        <v>114.37</v>
      </c>
      <c r="H20" s="3" t="n">
        <v>1</v>
      </c>
      <c r="I20" s="3" t="s">
        <v>65</v>
      </c>
      <c r="J20" s="3" t="n">
        <v>0.15</v>
      </c>
      <c r="K20" s="3" t="n">
        <v>2.51</v>
      </c>
      <c r="L20" s="3" t="n">
        <v>8</v>
      </c>
      <c r="M20" s="3" t="n">
        <v>8.05</v>
      </c>
      <c r="N20" s="3" t="n">
        <v>-9.07</v>
      </c>
      <c r="O20" s="3" t="n">
        <v>112.6</v>
      </c>
      <c r="P20" s="3" t="n">
        <v>-1.55</v>
      </c>
      <c r="Q20" s="3"/>
    </row>
    <row r="21" customFormat="false" ht="15" hidden="false" customHeight="false" outlineLevel="0" collapsed="false">
      <c r="A21" s="3" t="s">
        <v>126</v>
      </c>
      <c r="B21" s="3" t="s">
        <v>127</v>
      </c>
      <c r="C21" s="3" t="n">
        <v>0</v>
      </c>
      <c r="D21" s="3" t="s">
        <v>89</v>
      </c>
      <c r="E21" s="3" t="n">
        <v>470.95</v>
      </c>
      <c r="F21" s="3" t="s">
        <v>89</v>
      </c>
      <c r="G21" s="3" t="n">
        <v>470.95</v>
      </c>
      <c r="H21" s="3" t="n">
        <v>1</v>
      </c>
      <c r="I21" s="3" t="s">
        <v>65</v>
      </c>
      <c r="J21" s="3" t="n">
        <v>-0.03</v>
      </c>
      <c r="K21" s="3" t="n">
        <v>2.39</v>
      </c>
      <c r="L21" s="3" t="n">
        <v>8.93</v>
      </c>
      <c r="M21" s="3" t="n">
        <v>28.34</v>
      </c>
      <c r="N21" s="3" t="n">
        <v>43.79</v>
      </c>
      <c r="O21" s="3" t="n">
        <v>259</v>
      </c>
      <c r="P21" s="3" t="n">
        <v>-45</v>
      </c>
      <c r="Q21" s="3"/>
    </row>
    <row r="22" customFormat="false" ht="15" hidden="false" customHeight="false" outlineLevel="0" collapsed="false">
      <c r="A22" s="3" t="s">
        <v>130</v>
      </c>
      <c r="B22" s="3" t="s">
        <v>131</v>
      </c>
      <c r="C22" s="3" t="n">
        <v>0</v>
      </c>
      <c r="D22" s="3" t="s">
        <v>129</v>
      </c>
      <c r="E22" s="3" t="n">
        <v>3825.5</v>
      </c>
      <c r="F22" s="3" t="s">
        <v>129</v>
      </c>
      <c r="G22" s="3" t="n">
        <v>3825.5</v>
      </c>
      <c r="H22" s="3" t="n">
        <v>1</v>
      </c>
      <c r="I22" s="3" t="s">
        <v>65</v>
      </c>
      <c r="J22" s="3" t="n">
        <v>-0.65</v>
      </c>
      <c r="K22" s="3" t="n">
        <v>1.12</v>
      </c>
      <c r="L22" s="3" t="n">
        <v>-0.64</v>
      </c>
      <c r="M22" s="3" t="n">
        <v>-80.78</v>
      </c>
      <c r="N22" s="3" t="n">
        <v>-82.72</v>
      </c>
      <c r="O22" s="3" t="n">
        <v>691.55</v>
      </c>
      <c r="P22" s="3" t="n">
        <v>-81.92</v>
      </c>
      <c r="Q22" s="3" t="s">
        <v>2390</v>
      </c>
    </row>
    <row r="23" customFormat="false" ht="15" hidden="false" customHeight="false" outlineLevel="0" collapsed="false">
      <c r="A23" s="3" t="s">
        <v>133</v>
      </c>
      <c r="B23" s="3" t="s">
        <v>134</v>
      </c>
      <c r="C23" s="3" t="n">
        <v>0</v>
      </c>
      <c r="D23" s="3" t="s">
        <v>129</v>
      </c>
      <c r="E23" s="3" t="n">
        <v>1180.6</v>
      </c>
      <c r="F23" s="3" t="s">
        <v>129</v>
      </c>
      <c r="G23" s="3" t="n">
        <v>1180.6</v>
      </c>
      <c r="H23" s="3" t="n">
        <v>1</v>
      </c>
      <c r="I23" s="3" t="s">
        <v>65</v>
      </c>
      <c r="J23" s="3" t="n">
        <v>-0.14</v>
      </c>
      <c r="K23" s="3" t="n">
        <v>-1.5</v>
      </c>
      <c r="L23" s="3" t="n">
        <v>-2.03</v>
      </c>
      <c r="M23" s="3" t="n">
        <v>-6.06</v>
      </c>
      <c r="N23" s="3" t="n">
        <v>-31.83</v>
      </c>
      <c r="O23" s="3" t="n">
        <v>1082.3</v>
      </c>
      <c r="P23" s="3" t="n">
        <v>-8.33</v>
      </c>
      <c r="Q23" s="3"/>
    </row>
    <row r="24" customFormat="false" ht="15" hidden="false" customHeight="false" outlineLevel="0" collapsed="false">
      <c r="A24" s="3" t="s">
        <v>136</v>
      </c>
      <c r="B24" s="3" t="s">
        <v>137</v>
      </c>
      <c r="C24" s="3" t="n">
        <v>0</v>
      </c>
      <c r="D24" s="3" t="s">
        <v>129</v>
      </c>
      <c r="E24" s="3" t="n">
        <v>154.84</v>
      </c>
      <c r="F24" s="3" t="s">
        <v>129</v>
      </c>
      <c r="G24" s="3" t="n">
        <v>154.84</v>
      </c>
      <c r="H24" s="3" t="n">
        <v>1</v>
      </c>
      <c r="I24" s="3" t="s">
        <v>65</v>
      </c>
      <c r="J24" s="3" t="n">
        <v>-0.3</v>
      </c>
      <c r="K24" s="3" t="n">
        <v>0.27</v>
      </c>
      <c r="L24" s="3" t="n">
        <v>9.31</v>
      </c>
      <c r="M24" s="3" t="n">
        <v>7.13</v>
      </c>
      <c r="N24" s="3" t="n">
        <v>-13.38</v>
      </c>
      <c r="O24" s="3" t="n">
        <v>133.32</v>
      </c>
      <c r="P24" s="3" t="n">
        <v>-13.9</v>
      </c>
      <c r="Q24" s="3"/>
    </row>
    <row r="25" customFormat="false" ht="15" hidden="false" customHeight="false" outlineLevel="0" collapsed="false">
      <c r="A25" s="3" t="s">
        <v>139</v>
      </c>
      <c r="B25" s="3" t="s">
        <v>140</v>
      </c>
      <c r="C25" s="3" t="n">
        <v>0</v>
      </c>
      <c r="D25" s="3" t="s">
        <v>129</v>
      </c>
      <c r="E25" s="3" t="n">
        <v>2456.3</v>
      </c>
      <c r="F25" s="3" t="s">
        <v>129</v>
      </c>
      <c r="G25" s="3" t="n">
        <v>2456.3</v>
      </c>
      <c r="H25" s="3" t="n">
        <v>1</v>
      </c>
      <c r="I25" s="3" t="s">
        <v>65</v>
      </c>
      <c r="J25" s="3" t="n">
        <v>0.99</v>
      </c>
      <c r="K25" s="3" t="n">
        <v>-0.56</v>
      </c>
      <c r="L25" s="3" t="n">
        <v>-3.53</v>
      </c>
      <c r="M25" s="3" t="n">
        <v>-11.88</v>
      </c>
      <c r="N25" s="3" t="n">
        <v>-18.64</v>
      </c>
      <c r="O25" s="3" t="n">
        <v>2435.6</v>
      </c>
      <c r="P25" s="3" t="n">
        <v>-0.84</v>
      </c>
      <c r="Q25" s="3"/>
    </row>
    <row r="26" customFormat="false" ht="15" hidden="false" customHeight="false" outlineLevel="0" collapsed="false">
      <c r="A26" s="3" t="s">
        <v>142</v>
      </c>
      <c r="B26" s="3" t="s">
        <v>143</v>
      </c>
      <c r="C26" s="3" t="n">
        <v>0</v>
      </c>
      <c r="D26" s="3" t="s">
        <v>129</v>
      </c>
      <c r="E26" s="3" t="n">
        <v>1142.1</v>
      </c>
      <c r="F26" s="3" t="s">
        <v>129</v>
      </c>
      <c r="G26" s="3" t="n">
        <v>1142.1</v>
      </c>
      <c r="H26" s="3" t="n">
        <v>1</v>
      </c>
      <c r="I26" s="3" t="s">
        <v>65</v>
      </c>
      <c r="J26" s="3" t="n">
        <v>-1.94</v>
      </c>
      <c r="K26" s="3" t="n">
        <v>-2.2</v>
      </c>
      <c r="L26" s="3" t="n">
        <v>3.26</v>
      </c>
      <c r="M26" s="3" t="n">
        <v>3.05</v>
      </c>
      <c r="N26" s="3" t="n">
        <v>-8.76</v>
      </c>
      <c r="O26" s="3" t="n">
        <v>960</v>
      </c>
      <c r="P26" s="3" t="n">
        <v>-15.94</v>
      </c>
      <c r="Q26" s="3"/>
    </row>
    <row r="27" customFormat="false" ht="15" hidden="false" customHeight="false" outlineLevel="0" collapsed="false">
      <c r="A27" s="3" t="s">
        <v>145</v>
      </c>
      <c r="B27" s="3" t="s">
        <v>146</v>
      </c>
      <c r="C27" s="3" t="n">
        <v>0</v>
      </c>
      <c r="D27" s="3" t="s">
        <v>129</v>
      </c>
      <c r="E27" s="3" t="n">
        <v>1439.3</v>
      </c>
      <c r="F27" s="3" t="s">
        <v>129</v>
      </c>
      <c r="G27" s="3" t="n">
        <v>1439.3</v>
      </c>
      <c r="H27" s="3" t="n">
        <v>1</v>
      </c>
      <c r="I27" s="3" t="s">
        <v>65</v>
      </c>
      <c r="J27" s="3" t="n">
        <v>-0.03</v>
      </c>
      <c r="K27" s="3" t="n">
        <v>0.81</v>
      </c>
      <c r="L27" s="3" t="n">
        <v>-2.09</v>
      </c>
      <c r="M27" s="3" t="n">
        <v>11.7</v>
      </c>
      <c r="N27" s="3" t="n">
        <v>0.15</v>
      </c>
      <c r="O27" s="3" t="n">
        <v>1542.2</v>
      </c>
      <c r="P27" s="3" t="n">
        <v>7.15</v>
      </c>
      <c r="Q27" s="3"/>
    </row>
    <row r="28" customFormat="false" ht="15" hidden="false" customHeight="false" outlineLevel="0" collapsed="false">
      <c r="A28" s="3" t="s">
        <v>148</v>
      </c>
      <c r="B28" s="3" t="s">
        <v>149</v>
      </c>
      <c r="C28" s="3" t="n">
        <v>0</v>
      </c>
      <c r="D28" s="3" t="s">
        <v>129</v>
      </c>
      <c r="E28" s="3" t="n">
        <v>3526</v>
      </c>
      <c r="F28" s="3" t="s">
        <v>151</v>
      </c>
      <c r="G28" s="3" t="n">
        <v>3536.9</v>
      </c>
      <c r="H28" s="3" t="n">
        <v>2</v>
      </c>
      <c r="I28" s="3" t="s">
        <v>70</v>
      </c>
      <c r="J28" s="3" t="n">
        <v>0.31</v>
      </c>
      <c r="K28" s="3" t="n">
        <v>-0.22</v>
      </c>
      <c r="L28" s="3" t="n">
        <v>1.39</v>
      </c>
      <c r="M28" s="3" t="n">
        <v>9.14</v>
      </c>
      <c r="N28" s="3" t="n">
        <v>13.08</v>
      </c>
      <c r="O28" s="3" t="n">
        <v>4869</v>
      </c>
      <c r="P28" s="3" t="n">
        <v>38.09</v>
      </c>
      <c r="Q28" s="3"/>
    </row>
    <row r="29" customFormat="false" ht="15" hidden="false" customHeight="false" outlineLevel="0" collapsed="false">
      <c r="A29" s="3" t="s">
        <v>152</v>
      </c>
      <c r="B29" s="3" t="s">
        <v>153</v>
      </c>
      <c r="C29" s="3" t="n">
        <v>0</v>
      </c>
      <c r="D29" s="3" t="s">
        <v>151</v>
      </c>
      <c r="E29" s="3" t="n">
        <v>1145</v>
      </c>
      <c r="F29" s="3" t="s">
        <v>151</v>
      </c>
      <c r="G29" s="3" t="n">
        <v>1145</v>
      </c>
      <c r="H29" s="3" t="n">
        <v>1</v>
      </c>
      <c r="I29" s="3" t="s">
        <v>65</v>
      </c>
      <c r="J29" s="3" t="n">
        <v>-1.42</v>
      </c>
      <c r="K29" s="3" t="n">
        <v>-0.26</v>
      </c>
      <c r="L29" s="3" t="n">
        <v>7.64</v>
      </c>
      <c r="M29" s="3" t="n">
        <v>-5.18</v>
      </c>
      <c r="N29" s="3" t="n">
        <v>-37.97</v>
      </c>
      <c r="O29" s="3" t="n">
        <v>1117.1</v>
      </c>
      <c r="P29" s="3" t="n">
        <v>-2.44</v>
      </c>
      <c r="Q29" s="3"/>
    </row>
    <row r="30" customFormat="false" ht="15" hidden="false" customHeight="false" outlineLevel="0" collapsed="false">
      <c r="A30" s="3" t="s">
        <v>156</v>
      </c>
      <c r="B30" s="3" t="s">
        <v>157</v>
      </c>
      <c r="C30" s="3" t="n">
        <v>0</v>
      </c>
      <c r="D30" s="3" t="s">
        <v>151</v>
      </c>
      <c r="E30" s="3" t="n">
        <v>1366.3</v>
      </c>
      <c r="F30" s="3" t="s">
        <v>151</v>
      </c>
      <c r="G30" s="3" t="n">
        <v>1366.3</v>
      </c>
      <c r="H30" s="3" t="n">
        <v>1</v>
      </c>
      <c r="I30" s="3" t="s">
        <v>65</v>
      </c>
      <c r="J30" s="3" t="n">
        <v>-4.02</v>
      </c>
      <c r="K30" s="3" t="n">
        <v>-13.24</v>
      </c>
      <c r="L30" s="3" t="n">
        <v>-9.7</v>
      </c>
      <c r="M30" s="3" t="n">
        <v>-3.3</v>
      </c>
      <c r="N30" s="3" t="n">
        <v>-23.27</v>
      </c>
      <c r="O30" s="3" t="n">
        <v>1173</v>
      </c>
      <c r="P30" s="3" t="n">
        <v>-14.15</v>
      </c>
      <c r="Q30" s="3"/>
    </row>
    <row r="31" customFormat="false" ht="15" hidden="false" customHeight="false" outlineLevel="0" collapsed="false">
      <c r="A31" s="3" t="s">
        <v>159</v>
      </c>
      <c r="B31" s="3" t="s">
        <v>160</v>
      </c>
      <c r="C31" s="3" t="n">
        <v>0</v>
      </c>
      <c r="D31" s="3" t="s">
        <v>151</v>
      </c>
      <c r="E31" s="3" t="n">
        <v>1372.2</v>
      </c>
      <c r="F31" s="3" t="s">
        <v>151</v>
      </c>
      <c r="G31" s="3" t="n">
        <v>1372.2</v>
      </c>
      <c r="H31" s="3" t="n">
        <v>1</v>
      </c>
      <c r="I31" s="3" t="s">
        <v>65</v>
      </c>
      <c r="J31" s="3" t="n">
        <v>-0.36</v>
      </c>
      <c r="K31" s="3" t="n">
        <v>1.42</v>
      </c>
      <c r="L31" s="3" t="n">
        <v>-5.82</v>
      </c>
      <c r="M31" s="3" t="n">
        <v>4.23</v>
      </c>
      <c r="N31" s="3" t="n">
        <v>-8.76</v>
      </c>
      <c r="O31" s="3" t="n">
        <v>1135.5</v>
      </c>
      <c r="P31" s="3" t="n">
        <v>-17.25</v>
      </c>
      <c r="Q31" s="3"/>
    </row>
    <row r="32" customFormat="false" ht="15" hidden="false" customHeight="false" outlineLevel="0" collapsed="false">
      <c r="A32" s="3" t="s">
        <v>86</v>
      </c>
      <c r="B32" s="3" t="s">
        <v>87</v>
      </c>
      <c r="C32" s="3" t="n">
        <v>1</v>
      </c>
      <c r="D32" s="3" t="s">
        <v>151</v>
      </c>
      <c r="E32" s="3" t="n">
        <v>22.22</v>
      </c>
      <c r="F32" s="3" t="s">
        <v>151</v>
      </c>
      <c r="G32" s="3" t="n">
        <v>22.22</v>
      </c>
      <c r="H32" s="3" t="n">
        <v>1</v>
      </c>
      <c r="I32" s="3" t="s">
        <v>65</v>
      </c>
      <c r="J32" s="3" t="n">
        <v>-0.81</v>
      </c>
      <c r="K32" s="3" t="n">
        <v>4.95</v>
      </c>
      <c r="L32" s="3" t="n">
        <v>1.85</v>
      </c>
      <c r="M32" s="3" t="n">
        <v>0.32</v>
      </c>
      <c r="N32" s="3" t="n">
        <v>-18.32</v>
      </c>
      <c r="O32" s="3" t="n">
        <v>21.18</v>
      </c>
      <c r="P32" s="3" t="n">
        <v>-4.68</v>
      </c>
      <c r="Q32" s="3"/>
    </row>
    <row r="33" customFormat="false" ht="15" hidden="false" customHeight="false" outlineLevel="0" collapsed="false">
      <c r="A33" s="3" t="s">
        <v>164</v>
      </c>
      <c r="B33" s="3" t="s">
        <v>165</v>
      </c>
      <c r="C33" s="3" t="n">
        <v>0</v>
      </c>
      <c r="D33" s="3" t="s">
        <v>163</v>
      </c>
      <c r="E33" s="3" t="n">
        <v>1493.7</v>
      </c>
      <c r="F33" s="3" t="s">
        <v>163</v>
      </c>
      <c r="G33" s="3" t="n">
        <v>1493.7</v>
      </c>
      <c r="H33" s="3" t="n">
        <v>1</v>
      </c>
      <c r="I33" s="3" t="s">
        <v>65</v>
      </c>
      <c r="J33" s="3" t="n">
        <v>1.12</v>
      </c>
      <c r="K33" s="3" t="n">
        <v>0.48</v>
      </c>
      <c r="L33" s="3" t="n">
        <v>-2.6</v>
      </c>
      <c r="M33" s="3" t="n">
        <v>0.76</v>
      </c>
      <c r="N33" s="3" t="n">
        <v>-13.3</v>
      </c>
      <c r="O33" s="3" t="n">
        <v>1503</v>
      </c>
      <c r="P33" s="3" t="n">
        <v>0.62</v>
      </c>
      <c r="Q33" s="3"/>
    </row>
    <row r="34" customFormat="false" ht="15" hidden="false" customHeight="false" outlineLevel="0" collapsed="false">
      <c r="A34" s="3" t="s">
        <v>168</v>
      </c>
      <c r="B34" s="3" t="s">
        <v>169</v>
      </c>
      <c r="C34" s="3" t="n">
        <v>0</v>
      </c>
      <c r="D34" s="3" t="s">
        <v>167</v>
      </c>
      <c r="E34" s="3" t="n">
        <v>1246.1</v>
      </c>
      <c r="F34" s="3" t="s">
        <v>167</v>
      </c>
      <c r="G34" s="3" t="n">
        <v>1246.1</v>
      </c>
      <c r="H34" s="3" t="n">
        <v>1</v>
      </c>
      <c r="I34" s="3" t="s">
        <v>65</v>
      </c>
      <c r="J34" s="3" t="n">
        <v>1.47</v>
      </c>
      <c r="K34" s="3" t="n">
        <v>-0.47</v>
      </c>
      <c r="L34" s="3" t="n">
        <v>-3.8</v>
      </c>
      <c r="M34" s="3" t="n">
        <v>0.81</v>
      </c>
      <c r="N34" s="3" t="n">
        <v>-4.39</v>
      </c>
      <c r="O34" s="3" t="n">
        <v>1221</v>
      </c>
      <c r="P34" s="3" t="n">
        <v>-2.01</v>
      </c>
      <c r="Q34" s="3"/>
    </row>
    <row r="35" customFormat="false" ht="15" hidden="false" customHeight="false" outlineLevel="0" collapsed="false">
      <c r="A35" s="3" t="s">
        <v>171</v>
      </c>
      <c r="B35" s="3" t="s">
        <v>172</v>
      </c>
      <c r="C35" s="3" t="n">
        <v>0</v>
      </c>
      <c r="D35" s="3" t="s">
        <v>167</v>
      </c>
      <c r="E35" s="3" t="n">
        <v>774.1</v>
      </c>
      <c r="F35" s="3" t="s">
        <v>167</v>
      </c>
      <c r="G35" s="3" t="n">
        <v>774.1</v>
      </c>
      <c r="H35" s="3" t="n">
        <v>1</v>
      </c>
      <c r="I35" s="3" t="s">
        <v>65</v>
      </c>
      <c r="J35" s="3" t="n">
        <v>-0.02</v>
      </c>
      <c r="K35" s="3" t="n">
        <v>0.78</v>
      </c>
      <c r="L35" s="3" t="n">
        <v>1.43</v>
      </c>
      <c r="M35" s="3" t="n">
        <v>21.72</v>
      </c>
      <c r="N35" s="3" t="n">
        <v>22.96</v>
      </c>
      <c r="O35" s="3" t="n">
        <v>955.9</v>
      </c>
      <c r="P35" s="3" t="n">
        <v>23.49</v>
      </c>
      <c r="Q35" s="3"/>
    </row>
    <row r="36" customFormat="false" ht="15" hidden="false" customHeight="false" outlineLevel="0" collapsed="false">
      <c r="A36" s="3" t="s">
        <v>136</v>
      </c>
      <c r="B36" s="3" t="s">
        <v>137</v>
      </c>
      <c r="C36" s="3" t="n">
        <v>1</v>
      </c>
      <c r="D36" s="3" t="s">
        <v>167</v>
      </c>
      <c r="E36" s="3" t="n">
        <v>155.25</v>
      </c>
      <c r="F36" s="3" t="s">
        <v>167</v>
      </c>
      <c r="G36" s="3" t="n">
        <v>155.25</v>
      </c>
      <c r="H36" s="3" t="n">
        <v>1</v>
      </c>
      <c r="I36" s="3" t="s">
        <v>65</v>
      </c>
      <c r="J36" s="3" t="n">
        <v>-0.73</v>
      </c>
      <c r="K36" s="3" t="n">
        <v>-1.02</v>
      </c>
      <c r="L36" s="3" t="n">
        <v>9.11</v>
      </c>
      <c r="M36" s="3" t="n">
        <v>5.64</v>
      </c>
      <c r="N36" s="3" t="n">
        <v>-7.67</v>
      </c>
      <c r="O36" s="3" t="n">
        <v>133.32</v>
      </c>
      <c r="P36" s="3" t="n">
        <v>-14.13</v>
      </c>
      <c r="Q36" s="3"/>
    </row>
    <row r="37" customFormat="false" ht="15" hidden="false" customHeight="false" outlineLevel="0" collapsed="false">
      <c r="A37" s="3" t="s">
        <v>175</v>
      </c>
      <c r="B37" s="3" t="s">
        <v>176</v>
      </c>
      <c r="C37" s="3" t="n">
        <v>0</v>
      </c>
      <c r="D37" s="3" t="s">
        <v>167</v>
      </c>
      <c r="E37" s="3" t="n">
        <v>1175.2</v>
      </c>
      <c r="F37" s="3" t="s">
        <v>167</v>
      </c>
      <c r="G37" s="3" t="n">
        <v>1175.2</v>
      </c>
      <c r="H37" s="3" t="n">
        <v>1</v>
      </c>
      <c r="I37" s="3" t="s">
        <v>65</v>
      </c>
      <c r="J37" s="3" t="n">
        <v>-0.63</v>
      </c>
      <c r="K37" s="3" t="n">
        <v>-0.26</v>
      </c>
      <c r="L37" s="3" t="n">
        <v>0.35</v>
      </c>
      <c r="M37" s="3" t="n">
        <v>0.09</v>
      </c>
      <c r="N37" s="3" t="n">
        <v>1.63</v>
      </c>
      <c r="O37" s="3" t="n">
        <v>1264.1</v>
      </c>
      <c r="P37" s="3" t="n">
        <v>7.56</v>
      </c>
      <c r="Q37" s="3"/>
    </row>
    <row r="38" customFormat="false" ht="15" hidden="false" customHeight="false" outlineLevel="0" collapsed="false">
      <c r="A38" s="3" t="s">
        <v>178</v>
      </c>
      <c r="B38" s="3" t="s">
        <v>179</v>
      </c>
      <c r="C38" s="3" t="n">
        <v>0</v>
      </c>
      <c r="D38" s="3" t="s">
        <v>167</v>
      </c>
      <c r="E38" s="3" t="n">
        <v>388.2</v>
      </c>
      <c r="F38" s="3" t="s">
        <v>181</v>
      </c>
      <c r="G38" s="3" t="n">
        <v>390.1</v>
      </c>
      <c r="H38" s="3" t="n">
        <v>2</v>
      </c>
      <c r="I38" s="3" t="s">
        <v>70</v>
      </c>
      <c r="J38" s="3" t="n">
        <v>0.49</v>
      </c>
      <c r="K38" s="3" t="n">
        <v>2.78</v>
      </c>
      <c r="L38" s="3" t="n">
        <v>1.97</v>
      </c>
      <c r="M38" s="3" t="n">
        <v>-0.44</v>
      </c>
      <c r="N38" s="3" t="n">
        <v>1.74</v>
      </c>
      <c r="O38" s="3" t="n">
        <v>361.9</v>
      </c>
      <c r="P38" s="3" t="n">
        <v>-6.77</v>
      </c>
      <c r="Q38" s="3"/>
    </row>
    <row r="39" customFormat="false" ht="15" hidden="false" customHeight="false" outlineLevel="0" collapsed="false">
      <c r="A39" s="3" t="s">
        <v>182</v>
      </c>
      <c r="B39" s="3" t="s">
        <v>183</v>
      </c>
      <c r="C39" s="3" t="n">
        <v>0</v>
      </c>
      <c r="D39" s="3" t="s">
        <v>181</v>
      </c>
      <c r="E39" s="3" t="n">
        <v>1427.1</v>
      </c>
      <c r="F39" s="3" t="s">
        <v>181</v>
      </c>
      <c r="G39" s="3" t="n">
        <v>1427.1</v>
      </c>
      <c r="H39" s="3" t="n">
        <v>1</v>
      </c>
      <c r="I39" s="3" t="s">
        <v>65</v>
      </c>
      <c r="J39" s="3" t="n">
        <v>-0.41</v>
      </c>
      <c r="K39" s="3" t="n">
        <v>1.07</v>
      </c>
      <c r="L39" s="3" t="n">
        <v>9.02</v>
      </c>
      <c r="M39" s="3" t="n">
        <v>5.29</v>
      </c>
      <c r="N39" s="3" t="n">
        <v>9.57</v>
      </c>
      <c r="O39" s="3" t="n">
        <v>1370.5</v>
      </c>
      <c r="P39" s="3" t="n">
        <v>-3.97</v>
      </c>
      <c r="Q39" s="3"/>
    </row>
    <row r="40" customFormat="false" ht="15" hidden="false" customHeight="false" outlineLevel="0" collapsed="false">
      <c r="A40" s="3" t="s">
        <v>66</v>
      </c>
      <c r="B40" s="3" t="s">
        <v>67</v>
      </c>
      <c r="C40" s="3" t="n">
        <v>1</v>
      </c>
      <c r="D40" s="3" t="s">
        <v>181</v>
      </c>
      <c r="E40" s="3" t="n">
        <v>6474.5</v>
      </c>
      <c r="F40" s="3" t="s">
        <v>193</v>
      </c>
      <c r="G40" s="3" t="n">
        <v>6556</v>
      </c>
      <c r="H40" s="3" t="n">
        <v>2</v>
      </c>
      <c r="I40" s="3" t="s">
        <v>70</v>
      </c>
      <c r="J40" s="3" t="n">
        <v>1.26</v>
      </c>
      <c r="K40" s="3" t="n">
        <v>2.27</v>
      </c>
      <c r="L40" s="3" t="n">
        <v>1</v>
      </c>
      <c r="M40" s="3" t="n">
        <v>2.59</v>
      </c>
      <c r="N40" s="3" t="n">
        <v>-8.06</v>
      </c>
      <c r="O40" s="3" t="n">
        <v>9550</v>
      </c>
      <c r="P40" s="3" t="n">
        <v>47.5</v>
      </c>
      <c r="Q40" s="3"/>
    </row>
    <row r="41" customFormat="false" ht="15" hidden="false" customHeight="false" outlineLevel="0" collapsed="false">
      <c r="A41" s="3" t="s">
        <v>101</v>
      </c>
      <c r="B41" s="3" t="s">
        <v>102</v>
      </c>
      <c r="C41" s="3" t="n">
        <v>1</v>
      </c>
      <c r="D41" s="3" t="s">
        <v>181</v>
      </c>
      <c r="E41" s="3" t="n">
        <v>5520</v>
      </c>
      <c r="F41" s="3" t="s">
        <v>181</v>
      </c>
      <c r="G41" s="3" t="n">
        <v>5520</v>
      </c>
      <c r="H41" s="3" t="n">
        <v>1</v>
      </c>
      <c r="I41" s="3" t="s">
        <v>65</v>
      </c>
      <c r="J41" s="3" t="n">
        <v>2.7</v>
      </c>
      <c r="K41" s="3" t="n">
        <v>3.54</v>
      </c>
      <c r="L41" s="3" t="n">
        <v>-0.72</v>
      </c>
      <c r="M41" s="3" t="n">
        <v>-52.45</v>
      </c>
      <c r="N41" s="3" t="n">
        <v>-54.44</v>
      </c>
      <c r="O41" s="3" t="n">
        <v>2302.3</v>
      </c>
      <c r="P41" s="3" t="n">
        <v>-58.29</v>
      </c>
      <c r="Q41" s="3" t="s">
        <v>2390</v>
      </c>
    </row>
    <row r="42" customFormat="false" ht="15" hidden="false" customHeight="false" outlineLevel="0" collapsed="false">
      <c r="A42" s="3" t="s">
        <v>187</v>
      </c>
      <c r="B42" s="3" t="s">
        <v>188</v>
      </c>
      <c r="C42" s="3" t="n">
        <v>0</v>
      </c>
      <c r="D42" s="3" t="s">
        <v>181</v>
      </c>
      <c r="E42" s="3" t="n">
        <v>74.43</v>
      </c>
      <c r="F42" s="3" t="s">
        <v>181</v>
      </c>
      <c r="G42" s="3" t="n">
        <v>74.43</v>
      </c>
      <c r="H42" s="3" t="n">
        <v>1</v>
      </c>
      <c r="I42" s="3" t="s">
        <v>65</v>
      </c>
      <c r="J42" s="3" t="n">
        <v>-0.97</v>
      </c>
      <c r="K42" s="3" t="n">
        <v>-3.43</v>
      </c>
      <c r="L42" s="3" t="n">
        <v>8.41</v>
      </c>
      <c r="M42" s="3" t="n">
        <v>13.4</v>
      </c>
      <c r="N42" s="3" t="n">
        <v>-12.29</v>
      </c>
      <c r="O42" s="3" t="n">
        <v>80.55</v>
      </c>
      <c r="P42" s="3" t="n">
        <v>8.22</v>
      </c>
      <c r="Q42" s="3"/>
    </row>
    <row r="43" customFormat="false" ht="15" hidden="false" customHeight="false" outlineLevel="0" collapsed="false">
      <c r="A43" s="3" t="s">
        <v>190</v>
      </c>
      <c r="B43" s="3" t="s">
        <v>60</v>
      </c>
      <c r="C43" s="3" t="n">
        <v>0</v>
      </c>
      <c r="D43" s="3" t="s">
        <v>181</v>
      </c>
      <c r="E43" s="3" t="n">
        <v>5471.5</v>
      </c>
      <c r="F43" s="3" t="s">
        <v>181</v>
      </c>
      <c r="G43" s="3" t="n">
        <v>5471.5</v>
      </c>
      <c r="H43" s="3" t="n">
        <v>1</v>
      </c>
      <c r="I43" s="3" t="s">
        <v>65</v>
      </c>
      <c r="J43" s="3" t="n">
        <v>0.48</v>
      </c>
      <c r="K43" s="3" t="n">
        <v>2.44</v>
      </c>
      <c r="L43" s="3" t="n">
        <v>4.37</v>
      </c>
      <c r="M43" s="3" t="n">
        <v>11.52</v>
      </c>
      <c r="N43" s="3" t="s">
        <v>2391</v>
      </c>
      <c r="O43" s="3" t="s">
        <v>60</v>
      </c>
      <c r="P43" s="3" t="s">
        <v>60</v>
      </c>
      <c r="Q43" s="3"/>
    </row>
    <row r="44" customFormat="false" ht="15" hidden="false" customHeight="false" outlineLevel="0" collapsed="false">
      <c r="A44" s="3" t="s">
        <v>195</v>
      </c>
      <c r="B44" s="3" t="s">
        <v>196</v>
      </c>
      <c r="C44" s="3" t="n">
        <v>0</v>
      </c>
      <c r="D44" s="3" t="s">
        <v>193</v>
      </c>
      <c r="E44" s="3" t="n">
        <v>213.02</v>
      </c>
      <c r="F44" s="3" t="s">
        <v>198</v>
      </c>
      <c r="G44" s="3" t="n">
        <v>215.44</v>
      </c>
      <c r="H44" s="3" t="n">
        <v>2</v>
      </c>
      <c r="I44" s="3" t="s">
        <v>70</v>
      </c>
      <c r="J44" s="3" t="n">
        <v>1.14</v>
      </c>
      <c r="K44" s="3" t="n">
        <v>6.6</v>
      </c>
      <c r="L44" s="3" t="n">
        <v>12.17</v>
      </c>
      <c r="M44" s="3" t="n">
        <v>20.06</v>
      </c>
      <c r="N44" s="3" t="n">
        <v>36.94</v>
      </c>
      <c r="O44" s="3" t="n">
        <v>325</v>
      </c>
      <c r="P44" s="3" t="n">
        <v>52.57</v>
      </c>
      <c r="Q44" s="3"/>
    </row>
    <row r="45" customFormat="false" ht="15" hidden="false" customHeight="false" outlineLevel="0" collapsed="false">
      <c r="A45" s="3" t="s">
        <v>199</v>
      </c>
      <c r="B45" s="3" t="s">
        <v>200</v>
      </c>
      <c r="C45" s="3" t="n">
        <v>0</v>
      </c>
      <c r="D45" s="3" t="s">
        <v>198</v>
      </c>
      <c r="E45" s="3" t="n">
        <v>351.85</v>
      </c>
      <c r="F45" s="3" t="s">
        <v>198</v>
      </c>
      <c r="G45" s="3" t="n">
        <v>351.85</v>
      </c>
      <c r="H45" s="3" t="n">
        <v>1</v>
      </c>
      <c r="I45" s="3" t="s">
        <v>65</v>
      </c>
      <c r="J45" s="3" t="n">
        <v>1.29</v>
      </c>
      <c r="K45" s="3" t="n">
        <v>4.05</v>
      </c>
      <c r="L45" s="3" t="n">
        <v>18.52</v>
      </c>
      <c r="M45" s="3" t="n">
        <v>7.89</v>
      </c>
      <c r="N45" s="3" t="n">
        <v>-1.95</v>
      </c>
      <c r="O45" s="3" t="n">
        <v>374.9</v>
      </c>
      <c r="P45" s="3" t="n">
        <v>6.55</v>
      </c>
      <c r="Q45" s="3"/>
    </row>
    <row r="46" customFormat="false" ht="15" hidden="false" customHeight="false" outlineLevel="0" collapsed="false">
      <c r="A46" s="3" t="s">
        <v>203</v>
      </c>
      <c r="B46" s="3" t="s">
        <v>204</v>
      </c>
      <c r="C46" s="3" t="n">
        <v>0</v>
      </c>
      <c r="D46" s="3" t="s">
        <v>198</v>
      </c>
      <c r="E46" s="3" t="n">
        <v>877.95</v>
      </c>
      <c r="F46" s="3" t="s">
        <v>198</v>
      </c>
      <c r="G46" s="3" t="n">
        <v>877.95</v>
      </c>
      <c r="H46" s="3" t="n">
        <v>1</v>
      </c>
      <c r="I46" s="3" t="s">
        <v>65</v>
      </c>
      <c r="J46" s="3" t="n">
        <v>-0.3</v>
      </c>
      <c r="K46" s="3" t="n">
        <v>5.23</v>
      </c>
      <c r="L46" s="3" t="n">
        <v>13.57</v>
      </c>
      <c r="M46" s="3" t="n">
        <v>23.36</v>
      </c>
      <c r="N46" s="3" t="n">
        <v>23.9</v>
      </c>
      <c r="O46" s="3" t="n">
        <v>2010.7</v>
      </c>
      <c r="P46" s="3" t="n">
        <v>129.02</v>
      </c>
      <c r="Q46" s="3"/>
    </row>
    <row r="47" customFormat="false" ht="15" hidden="false" customHeight="false" outlineLevel="0" collapsed="false">
      <c r="A47" s="3" t="s">
        <v>207</v>
      </c>
      <c r="B47" s="3" t="s">
        <v>208</v>
      </c>
      <c r="C47" s="3" t="n">
        <v>0</v>
      </c>
      <c r="D47" s="3" t="s">
        <v>206</v>
      </c>
      <c r="E47" s="3" t="n">
        <v>1160.4</v>
      </c>
      <c r="F47" s="3" t="s">
        <v>206</v>
      </c>
      <c r="G47" s="3" t="n">
        <v>1160.4</v>
      </c>
      <c r="H47" s="3" t="n">
        <v>1</v>
      </c>
      <c r="I47" s="3" t="s">
        <v>65</v>
      </c>
      <c r="J47" s="3" t="n">
        <v>0.98</v>
      </c>
      <c r="K47" s="3" t="n">
        <v>1.59</v>
      </c>
      <c r="L47" s="3" t="n">
        <v>-8.19</v>
      </c>
      <c r="M47" s="3" t="n">
        <v>-2.58</v>
      </c>
      <c r="N47" s="3" t="n">
        <v>-9</v>
      </c>
      <c r="O47" s="3" t="n">
        <v>1045</v>
      </c>
      <c r="P47" s="3" t="n">
        <v>-9.94</v>
      </c>
      <c r="Q47" s="3"/>
    </row>
    <row r="48" customFormat="false" ht="15" hidden="false" customHeight="false" outlineLevel="0" collapsed="false">
      <c r="A48" s="3" t="s">
        <v>210</v>
      </c>
      <c r="B48" s="3" t="s">
        <v>211</v>
      </c>
      <c r="C48" s="3" t="n">
        <v>0</v>
      </c>
      <c r="D48" s="3" t="s">
        <v>206</v>
      </c>
      <c r="E48" s="3" t="n">
        <v>2084.1</v>
      </c>
      <c r="F48" s="3" t="s">
        <v>226</v>
      </c>
      <c r="G48" s="3" t="n">
        <v>2090.2</v>
      </c>
      <c r="H48" s="3" t="n">
        <v>2</v>
      </c>
      <c r="I48" s="3" t="s">
        <v>70</v>
      </c>
      <c r="J48" s="3" t="n">
        <v>0.29</v>
      </c>
      <c r="K48" s="3" t="n">
        <v>4.44</v>
      </c>
      <c r="L48" s="3" t="n">
        <v>-0.88</v>
      </c>
      <c r="M48" s="3" t="n">
        <v>-4.09</v>
      </c>
      <c r="N48" s="3" t="n">
        <v>-12.39</v>
      </c>
      <c r="O48" s="3" t="n">
        <v>1752</v>
      </c>
      <c r="P48" s="3" t="n">
        <v>-15.93</v>
      </c>
      <c r="Q48" s="3"/>
    </row>
    <row r="49" customFormat="false" ht="15" hidden="false" customHeight="false" outlineLevel="0" collapsed="false">
      <c r="A49" s="3" t="s">
        <v>213</v>
      </c>
      <c r="B49" s="3" t="s">
        <v>214</v>
      </c>
      <c r="C49" s="3" t="n">
        <v>0</v>
      </c>
      <c r="D49" s="3" t="s">
        <v>206</v>
      </c>
      <c r="E49" s="3" t="n">
        <v>1059.9</v>
      </c>
      <c r="F49" s="3" t="s">
        <v>206</v>
      </c>
      <c r="G49" s="3" t="n">
        <v>1059.9</v>
      </c>
      <c r="H49" s="3" t="n">
        <v>1</v>
      </c>
      <c r="I49" s="3" t="s">
        <v>65</v>
      </c>
      <c r="J49" s="3" t="n">
        <v>0.55</v>
      </c>
      <c r="K49" s="3" t="n">
        <v>3.23</v>
      </c>
      <c r="L49" s="3" t="n">
        <v>-3.91</v>
      </c>
      <c r="M49" s="3" t="n">
        <v>-10.19</v>
      </c>
      <c r="N49" s="3" t="n">
        <v>-13.85</v>
      </c>
      <c r="O49" s="3" t="n">
        <v>985</v>
      </c>
      <c r="P49" s="3" t="n">
        <v>-7.07</v>
      </c>
      <c r="Q49" s="3"/>
    </row>
    <row r="50" customFormat="false" ht="15" hidden="false" customHeight="false" outlineLevel="0" collapsed="false">
      <c r="A50" s="3" t="s">
        <v>216</v>
      </c>
      <c r="B50" s="3" t="s">
        <v>217</v>
      </c>
      <c r="C50" s="3" t="n">
        <v>0</v>
      </c>
      <c r="D50" s="3" t="s">
        <v>206</v>
      </c>
      <c r="E50" s="3" t="n">
        <v>1558.7</v>
      </c>
      <c r="F50" s="3" t="s">
        <v>206</v>
      </c>
      <c r="G50" s="3" t="n">
        <v>1558.7</v>
      </c>
      <c r="H50" s="3" t="n">
        <v>1</v>
      </c>
      <c r="I50" s="3" t="s">
        <v>65</v>
      </c>
      <c r="J50" s="3" t="n">
        <v>0.69</v>
      </c>
      <c r="K50" s="3" t="n">
        <v>5.54</v>
      </c>
      <c r="L50" s="3" t="n">
        <v>-1.71</v>
      </c>
      <c r="M50" s="3" t="n">
        <v>-6</v>
      </c>
      <c r="N50" s="3" t="n">
        <v>-21.28</v>
      </c>
      <c r="O50" s="3" t="n">
        <v>1383.7</v>
      </c>
      <c r="P50" s="3" t="n">
        <v>-11.23</v>
      </c>
      <c r="Q50" s="3"/>
    </row>
    <row r="51" customFormat="false" ht="15" hidden="false" customHeight="false" outlineLevel="0" collapsed="false">
      <c r="A51" s="3" t="s">
        <v>171</v>
      </c>
      <c r="B51" s="3" t="s">
        <v>172</v>
      </c>
      <c r="C51" s="3" t="n">
        <v>1</v>
      </c>
      <c r="D51" s="3" t="s">
        <v>206</v>
      </c>
      <c r="E51" s="3" t="n">
        <v>764.25</v>
      </c>
      <c r="F51" s="3" t="s">
        <v>206</v>
      </c>
      <c r="G51" s="3" t="n">
        <v>764.25</v>
      </c>
      <c r="H51" s="3" t="n">
        <v>1</v>
      </c>
      <c r="I51" s="3" t="s">
        <v>65</v>
      </c>
      <c r="J51" s="3" t="n">
        <v>2.07</v>
      </c>
      <c r="K51" s="3" t="n">
        <v>3.68</v>
      </c>
      <c r="L51" s="3" t="n">
        <v>5.16</v>
      </c>
      <c r="M51" s="3" t="n">
        <v>20.4</v>
      </c>
      <c r="N51" s="3" t="n">
        <v>32.35</v>
      </c>
      <c r="O51" s="3" t="n">
        <v>955.9</v>
      </c>
      <c r="P51" s="3" t="n">
        <v>25.08</v>
      </c>
      <c r="Q51" s="3"/>
    </row>
    <row r="52" customFormat="false" ht="15" hidden="false" customHeight="false" outlineLevel="0" collapsed="false">
      <c r="A52" s="3" t="s">
        <v>104</v>
      </c>
      <c r="B52" s="3" t="s">
        <v>105</v>
      </c>
      <c r="C52" s="3" t="n">
        <v>1</v>
      </c>
      <c r="D52" s="3" t="s">
        <v>206</v>
      </c>
      <c r="E52" s="3" t="n">
        <v>448.65</v>
      </c>
      <c r="F52" s="3" t="s">
        <v>206</v>
      </c>
      <c r="G52" s="3" t="n">
        <v>448.65</v>
      </c>
      <c r="H52" s="3" t="n">
        <v>1</v>
      </c>
      <c r="I52" s="3" t="s">
        <v>65</v>
      </c>
      <c r="J52" s="3" t="n">
        <v>0.74</v>
      </c>
      <c r="K52" s="3" t="n">
        <v>-1.77</v>
      </c>
      <c r="L52" s="3" t="n">
        <v>7.27</v>
      </c>
      <c r="M52" s="3" t="n">
        <v>0.53</v>
      </c>
      <c r="N52" s="3" t="n">
        <v>-18.28</v>
      </c>
      <c r="O52" s="3" t="n">
        <v>342.45</v>
      </c>
      <c r="P52" s="3" t="n">
        <v>-23.67</v>
      </c>
      <c r="Q52" s="3"/>
    </row>
    <row r="53" customFormat="false" ht="15" hidden="false" customHeight="false" outlineLevel="0" collapsed="false">
      <c r="A53" s="3" t="s">
        <v>136</v>
      </c>
      <c r="B53" s="3" t="s">
        <v>137</v>
      </c>
      <c r="C53" s="3" t="n">
        <v>2</v>
      </c>
      <c r="D53" s="3" t="s">
        <v>206</v>
      </c>
      <c r="E53" s="3" t="n">
        <v>153.69</v>
      </c>
      <c r="F53" s="3" t="s">
        <v>206</v>
      </c>
      <c r="G53" s="3" t="n">
        <v>153.69</v>
      </c>
      <c r="H53" s="3" t="n">
        <v>1</v>
      </c>
      <c r="I53" s="3" t="s">
        <v>65</v>
      </c>
      <c r="J53" s="3" t="n">
        <v>-0.01</v>
      </c>
      <c r="K53" s="3" t="n">
        <v>-2.32</v>
      </c>
      <c r="L53" s="3" t="n">
        <v>11.43</v>
      </c>
      <c r="M53" s="3" t="n">
        <v>2.96</v>
      </c>
      <c r="N53" s="3" t="n">
        <v>-5.51</v>
      </c>
      <c r="O53" s="3" t="n">
        <v>133.32</v>
      </c>
      <c r="P53" s="3" t="n">
        <v>-13.25</v>
      </c>
      <c r="Q53" s="3"/>
    </row>
    <row r="54" customFormat="false" ht="15" hidden="false" customHeight="false" outlineLevel="0" collapsed="false">
      <c r="A54" s="3" t="s">
        <v>83</v>
      </c>
      <c r="B54" s="3" t="s">
        <v>84</v>
      </c>
      <c r="C54" s="3" t="n">
        <v>1</v>
      </c>
      <c r="D54" s="3" t="s">
        <v>206</v>
      </c>
      <c r="E54" s="3" t="n">
        <v>3088.6</v>
      </c>
      <c r="F54" s="3" t="s">
        <v>206</v>
      </c>
      <c r="G54" s="3" t="n">
        <v>3088.6</v>
      </c>
      <c r="H54" s="3" t="n">
        <v>1</v>
      </c>
      <c r="I54" s="3" t="s">
        <v>65</v>
      </c>
      <c r="J54" s="3" t="n">
        <v>3.28</v>
      </c>
      <c r="K54" s="3" t="n">
        <v>-0.36</v>
      </c>
      <c r="L54" s="3" t="n">
        <v>-8.08</v>
      </c>
      <c r="M54" s="3" t="n">
        <v>-1.38</v>
      </c>
      <c r="N54" s="3" t="n">
        <v>-19.04</v>
      </c>
      <c r="O54" s="3" t="n">
        <v>2491.5</v>
      </c>
      <c r="P54" s="3" t="n">
        <v>-19.33</v>
      </c>
      <c r="Q54" s="3"/>
    </row>
    <row r="55" customFormat="false" ht="15" hidden="false" customHeight="false" outlineLevel="0" collapsed="false">
      <c r="A55" s="3" t="s">
        <v>223</v>
      </c>
      <c r="B55" s="3" t="s">
        <v>224</v>
      </c>
      <c r="C55" s="3" t="n">
        <v>0</v>
      </c>
      <c r="D55" s="3" t="s">
        <v>206</v>
      </c>
      <c r="E55" s="3" t="n">
        <v>250.21</v>
      </c>
      <c r="F55" s="3" t="s">
        <v>206</v>
      </c>
      <c r="G55" s="3" t="n">
        <v>250.21</v>
      </c>
      <c r="H55" s="3" t="n">
        <v>1</v>
      </c>
      <c r="I55" s="3" t="s">
        <v>65</v>
      </c>
      <c r="J55" s="3" t="n">
        <v>1.44</v>
      </c>
      <c r="K55" s="3" t="n">
        <v>-2.36</v>
      </c>
      <c r="L55" s="3" t="n">
        <v>-2.33</v>
      </c>
      <c r="M55" s="3" t="n">
        <v>5.15</v>
      </c>
      <c r="N55" s="3" t="n">
        <v>-16.17</v>
      </c>
      <c r="O55" s="3" t="n">
        <v>161.56</v>
      </c>
      <c r="P55" s="3" t="n">
        <v>-35.43</v>
      </c>
      <c r="Q55" s="3"/>
    </row>
    <row r="56" customFormat="false" ht="15" hidden="false" customHeight="false" outlineLevel="0" collapsed="false">
      <c r="A56" s="3" t="s">
        <v>227</v>
      </c>
      <c r="B56" s="3" t="s">
        <v>228</v>
      </c>
      <c r="C56" s="3" t="n">
        <v>0</v>
      </c>
      <c r="D56" s="3" t="s">
        <v>226</v>
      </c>
      <c r="E56" s="3" t="n">
        <v>1479.5</v>
      </c>
      <c r="F56" s="3" t="s">
        <v>226</v>
      </c>
      <c r="G56" s="3" t="n">
        <v>1479.5</v>
      </c>
      <c r="H56" s="3" t="n">
        <v>1</v>
      </c>
      <c r="I56" s="3" t="s">
        <v>65</v>
      </c>
      <c r="J56" s="3" t="n">
        <v>-0.01</v>
      </c>
      <c r="K56" s="3" t="n">
        <v>-3.41</v>
      </c>
      <c r="L56" s="3" t="n">
        <v>1.9</v>
      </c>
      <c r="M56" s="3" t="n">
        <v>-3.44</v>
      </c>
      <c r="N56" s="3" t="n">
        <v>4.75</v>
      </c>
      <c r="O56" s="3" t="n">
        <v>1743.7</v>
      </c>
      <c r="P56" s="3" t="n">
        <v>17.86</v>
      </c>
      <c r="Q56" s="3"/>
    </row>
    <row r="57" customFormat="false" ht="15" hidden="false" customHeight="false" outlineLevel="0" collapsed="false">
      <c r="A57" s="3" t="s">
        <v>231</v>
      </c>
      <c r="B57" s="3" t="s">
        <v>232</v>
      </c>
      <c r="C57" s="3" t="n">
        <v>0</v>
      </c>
      <c r="D57" s="3" t="s">
        <v>226</v>
      </c>
      <c r="E57" s="3" t="n">
        <v>405.15</v>
      </c>
      <c r="F57" s="3" t="s">
        <v>226</v>
      </c>
      <c r="G57" s="3" t="n">
        <v>405.15</v>
      </c>
      <c r="H57" s="3" t="n">
        <v>1</v>
      </c>
      <c r="I57" s="3" t="s">
        <v>65</v>
      </c>
      <c r="J57" s="3" t="n">
        <v>1.73</v>
      </c>
      <c r="K57" s="3" t="n">
        <v>2.88</v>
      </c>
      <c r="L57" s="3" t="n">
        <v>0.48</v>
      </c>
      <c r="M57" s="3" t="n">
        <v>-17.39</v>
      </c>
      <c r="N57" s="3" t="n">
        <v>-25.11</v>
      </c>
      <c r="O57" s="3" t="n">
        <v>265.2</v>
      </c>
      <c r="P57" s="3" t="n">
        <v>-34.54</v>
      </c>
      <c r="Q57" s="3"/>
    </row>
    <row r="58" customFormat="false" ht="15" hidden="false" customHeight="false" outlineLevel="0" collapsed="false">
      <c r="A58" s="3" t="s">
        <v>234</v>
      </c>
      <c r="B58" s="3" t="s">
        <v>235</v>
      </c>
      <c r="C58" s="3" t="n">
        <v>0</v>
      </c>
      <c r="D58" s="3" t="s">
        <v>226</v>
      </c>
      <c r="E58" s="3" t="n">
        <v>2205.4</v>
      </c>
      <c r="F58" s="3" t="s">
        <v>226</v>
      </c>
      <c r="G58" s="3" t="n">
        <v>2205.4</v>
      </c>
      <c r="H58" s="3" t="n">
        <v>1</v>
      </c>
      <c r="I58" s="3" t="s">
        <v>65</v>
      </c>
      <c r="J58" s="3" t="n">
        <v>0.02</v>
      </c>
      <c r="K58" s="3" t="n">
        <v>-0.83</v>
      </c>
      <c r="L58" s="3" t="n">
        <v>-4.65</v>
      </c>
      <c r="M58" s="3" t="n">
        <v>-3.3</v>
      </c>
      <c r="N58" s="3" t="n">
        <v>-82.81</v>
      </c>
      <c r="O58" s="3" t="n">
        <v>401.55</v>
      </c>
      <c r="P58" s="3" t="n">
        <v>-81.79</v>
      </c>
      <c r="Q58" s="3" t="s">
        <v>2390</v>
      </c>
    </row>
    <row r="59" customFormat="false" ht="15" hidden="false" customHeight="false" outlineLevel="0" collapsed="false">
      <c r="A59" s="3" t="s">
        <v>237</v>
      </c>
      <c r="B59" s="3" t="s">
        <v>238</v>
      </c>
      <c r="C59" s="3" t="n">
        <v>0</v>
      </c>
      <c r="D59" s="3" t="s">
        <v>226</v>
      </c>
      <c r="E59" s="3" t="n">
        <v>1694.9</v>
      </c>
      <c r="F59" s="3" t="s">
        <v>226</v>
      </c>
      <c r="G59" s="3" t="n">
        <v>1694.9</v>
      </c>
      <c r="H59" s="3" t="n">
        <v>1</v>
      </c>
      <c r="I59" s="3" t="s">
        <v>65</v>
      </c>
      <c r="J59" s="3" t="n">
        <v>-0.42</v>
      </c>
      <c r="K59" s="3" t="n">
        <v>-0.84</v>
      </c>
      <c r="L59" s="3" t="n">
        <v>2.99</v>
      </c>
      <c r="M59" s="3" t="n">
        <v>11.79</v>
      </c>
      <c r="N59" s="3" t="n">
        <v>5.16</v>
      </c>
      <c r="O59" s="3" t="n">
        <v>1952.2</v>
      </c>
      <c r="P59" s="3" t="n">
        <v>15.18</v>
      </c>
      <c r="Q59" s="3"/>
    </row>
    <row r="60" customFormat="false" ht="15" hidden="false" customHeight="false" outlineLevel="0" collapsed="false">
      <c r="A60" s="3" t="s">
        <v>142</v>
      </c>
      <c r="B60" s="3" t="s">
        <v>143</v>
      </c>
      <c r="C60" s="3" t="n">
        <v>1</v>
      </c>
      <c r="D60" s="3" t="s">
        <v>226</v>
      </c>
      <c r="E60" s="3" t="n">
        <v>1149.3</v>
      </c>
      <c r="F60" s="3" t="s">
        <v>226</v>
      </c>
      <c r="G60" s="3" t="n">
        <v>1149.3</v>
      </c>
      <c r="H60" s="3" t="n">
        <v>1</v>
      </c>
      <c r="I60" s="3" t="s">
        <v>65</v>
      </c>
      <c r="J60" s="3" t="n">
        <v>1.45</v>
      </c>
      <c r="K60" s="3" t="n">
        <v>0.52</v>
      </c>
      <c r="L60" s="3" t="n">
        <v>2.58</v>
      </c>
      <c r="M60" s="3" t="n">
        <v>3.49</v>
      </c>
      <c r="N60" s="3" t="n">
        <v>-4.06</v>
      </c>
      <c r="O60" s="3" t="n">
        <v>960</v>
      </c>
      <c r="P60" s="3" t="n">
        <v>-16.47</v>
      </c>
      <c r="Q60" s="3"/>
    </row>
    <row r="61" customFormat="false" ht="15" hidden="false" customHeight="false" outlineLevel="0" collapsed="false">
      <c r="A61" s="3" t="s">
        <v>242</v>
      </c>
      <c r="B61" s="3" t="s">
        <v>243</v>
      </c>
      <c r="C61" s="3" t="n">
        <v>0</v>
      </c>
      <c r="D61" s="3" t="s">
        <v>241</v>
      </c>
      <c r="E61" s="3" t="n">
        <v>2012</v>
      </c>
      <c r="F61" s="3" t="s">
        <v>241</v>
      </c>
      <c r="G61" s="3" t="n">
        <v>2012</v>
      </c>
      <c r="H61" s="3" t="n">
        <v>1</v>
      </c>
      <c r="I61" s="3" t="s">
        <v>65</v>
      </c>
      <c r="J61" s="3" t="n">
        <v>1.96</v>
      </c>
      <c r="K61" s="3" t="n">
        <v>3.38</v>
      </c>
      <c r="L61" s="3" t="n">
        <v>6.82</v>
      </c>
      <c r="M61" s="3" t="n">
        <v>0.52</v>
      </c>
      <c r="N61" s="3" t="n">
        <v>-8.21</v>
      </c>
      <c r="O61" s="3" t="n">
        <v>1771.4</v>
      </c>
      <c r="P61" s="3" t="n">
        <v>-11.96</v>
      </c>
      <c r="Q61" s="3"/>
    </row>
    <row r="62" customFormat="false" ht="15" hidden="false" customHeight="false" outlineLevel="0" collapsed="false">
      <c r="A62" s="3" t="s">
        <v>245</v>
      </c>
      <c r="B62" s="3" t="s">
        <v>246</v>
      </c>
      <c r="C62" s="3" t="n">
        <v>0</v>
      </c>
      <c r="D62" s="3" t="s">
        <v>241</v>
      </c>
      <c r="E62" s="3" t="n">
        <v>2603.7</v>
      </c>
      <c r="F62" s="3" t="s">
        <v>241</v>
      </c>
      <c r="G62" s="3" t="n">
        <v>2603.7</v>
      </c>
      <c r="H62" s="3" t="n">
        <v>1</v>
      </c>
      <c r="I62" s="3" t="s">
        <v>65</v>
      </c>
      <c r="J62" s="3" t="n">
        <v>-0.36</v>
      </c>
      <c r="K62" s="3" t="n">
        <v>-3.53</v>
      </c>
      <c r="L62" s="3" t="n">
        <v>-7.67</v>
      </c>
      <c r="M62" s="3" t="n">
        <v>-9.61</v>
      </c>
      <c r="N62" s="3" t="n">
        <v>-13.94</v>
      </c>
      <c r="O62" s="3" t="n">
        <v>1896</v>
      </c>
      <c r="P62" s="3" t="n">
        <v>-27.18</v>
      </c>
      <c r="Q62" s="3"/>
    </row>
    <row r="63" customFormat="false" ht="15" hidden="false" customHeight="false" outlineLevel="0" collapsed="false">
      <c r="A63" s="3" t="s">
        <v>139</v>
      </c>
      <c r="B63" s="3" t="s">
        <v>140</v>
      </c>
      <c r="C63" s="3" t="n">
        <v>1</v>
      </c>
      <c r="D63" s="3" t="s">
        <v>241</v>
      </c>
      <c r="E63" s="3" t="n">
        <v>2476.6</v>
      </c>
      <c r="F63" s="3" t="s">
        <v>241</v>
      </c>
      <c r="G63" s="3" t="n">
        <v>2476.6</v>
      </c>
      <c r="H63" s="3" t="n">
        <v>1</v>
      </c>
      <c r="I63" s="3" t="s">
        <v>65</v>
      </c>
      <c r="J63" s="3" t="n">
        <v>-0.87</v>
      </c>
      <c r="K63" s="3" t="n">
        <v>-2.42</v>
      </c>
      <c r="L63" s="3" t="n">
        <v>-10.08</v>
      </c>
      <c r="M63" s="3" t="n">
        <v>-9.38</v>
      </c>
      <c r="N63" s="3" t="n">
        <v>-14.2</v>
      </c>
      <c r="O63" s="3" t="n">
        <v>2435.6</v>
      </c>
      <c r="P63" s="3" t="n">
        <v>-1.66</v>
      </c>
      <c r="Q63" s="3"/>
    </row>
    <row r="64" customFormat="false" ht="15" hidden="false" customHeight="false" outlineLevel="0" collapsed="false">
      <c r="A64" s="3" t="s">
        <v>164</v>
      </c>
      <c r="B64" s="3" t="s">
        <v>165</v>
      </c>
      <c r="C64" s="3" t="n">
        <v>1</v>
      </c>
      <c r="D64" s="3" t="s">
        <v>241</v>
      </c>
      <c r="E64" s="3" t="n">
        <v>1542.7</v>
      </c>
      <c r="F64" s="3" t="s">
        <v>241</v>
      </c>
      <c r="G64" s="3" t="n">
        <v>1542.7</v>
      </c>
      <c r="H64" s="3" t="n">
        <v>1</v>
      </c>
      <c r="I64" s="3" t="s">
        <v>65</v>
      </c>
      <c r="J64" s="3" t="n">
        <v>-1.06</v>
      </c>
      <c r="K64" s="3" t="n">
        <v>-2.48</v>
      </c>
      <c r="L64" s="3" t="n">
        <v>-3.35</v>
      </c>
      <c r="M64" s="3" t="n">
        <v>-3.07</v>
      </c>
      <c r="N64" s="3" t="n">
        <v>-9.68</v>
      </c>
      <c r="O64" s="3" t="n">
        <v>1503</v>
      </c>
      <c r="P64" s="3" t="n">
        <v>-2.57</v>
      </c>
      <c r="Q64" s="3"/>
    </row>
    <row r="65" customFormat="false" ht="15" hidden="false" customHeight="false" outlineLevel="0" collapsed="false">
      <c r="A65" s="3" t="s">
        <v>216</v>
      </c>
      <c r="B65" s="3" t="s">
        <v>217</v>
      </c>
      <c r="C65" s="3" t="n">
        <v>1</v>
      </c>
      <c r="D65" s="3" t="s">
        <v>250</v>
      </c>
      <c r="E65" s="3" t="n">
        <v>1639.1</v>
      </c>
      <c r="F65" s="3" t="s">
        <v>250</v>
      </c>
      <c r="G65" s="3" t="n">
        <v>1639.1</v>
      </c>
      <c r="H65" s="3" t="n">
        <v>1</v>
      </c>
      <c r="I65" s="3" t="s">
        <v>65</v>
      </c>
      <c r="J65" s="3" t="n">
        <v>1.49</v>
      </c>
      <c r="K65" s="3" t="n">
        <v>-4.33</v>
      </c>
      <c r="L65" s="3" t="n">
        <v>-6.85</v>
      </c>
      <c r="M65" s="3" t="n">
        <v>-14.74</v>
      </c>
      <c r="N65" s="3" t="n">
        <v>-24.99</v>
      </c>
      <c r="O65" s="3" t="n">
        <v>1383.7</v>
      </c>
      <c r="P65" s="3" t="n">
        <v>-15.58</v>
      </c>
      <c r="Q65" s="3"/>
    </row>
    <row r="66" customFormat="false" ht="15" hidden="false" customHeight="false" outlineLevel="0" collapsed="false">
      <c r="A66" s="3" t="s">
        <v>199</v>
      </c>
      <c r="B66" s="3" t="s">
        <v>200</v>
      </c>
      <c r="C66" s="3" t="n">
        <v>1</v>
      </c>
      <c r="D66" s="3" t="s">
        <v>252</v>
      </c>
      <c r="E66" s="3" t="n">
        <v>373.7</v>
      </c>
      <c r="F66" s="3" t="s">
        <v>282</v>
      </c>
      <c r="G66" s="3" t="n">
        <v>376.6</v>
      </c>
      <c r="H66" s="3" t="n">
        <v>2</v>
      </c>
      <c r="I66" s="3" t="s">
        <v>70</v>
      </c>
      <c r="J66" s="3" t="n">
        <v>0.78</v>
      </c>
      <c r="K66" s="3" t="n">
        <v>3.08</v>
      </c>
      <c r="L66" s="3" t="n">
        <v>6.94</v>
      </c>
      <c r="M66" s="3" t="n">
        <v>-2.26</v>
      </c>
      <c r="N66" s="3" t="n">
        <v>-2.92</v>
      </c>
      <c r="O66" s="3" t="n">
        <v>374.9</v>
      </c>
      <c r="P66" s="3" t="n">
        <v>0.32</v>
      </c>
      <c r="Q66" s="3"/>
    </row>
    <row r="67" customFormat="false" ht="15" hidden="false" customHeight="false" outlineLevel="0" collapsed="false">
      <c r="A67" s="3" t="s">
        <v>254</v>
      </c>
      <c r="B67" s="3" t="s">
        <v>255</v>
      </c>
      <c r="C67" s="3" t="n">
        <v>0</v>
      </c>
      <c r="D67" s="3" t="s">
        <v>252</v>
      </c>
      <c r="E67" s="3" t="n">
        <v>778.7</v>
      </c>
      <c r="F67" s="3" t="s">
        <v>252</v>
      </c>
      <c r="G67" s="3" t="n">
        <v>778.7</v>
      </c>
      <c r="H67" s="3" t="n">
        <v>1</v>
      </c>
      <c r="I67" s="3" t="s">
        <v>65</v>
      </c>
      <c r="J67" s="3" t="n">
        <v>-0.28</v>
      </c>
      <c r="K67" s="3" t="n">
        <v>-2.61</v>
      </c>
      <c r="L67" s="3" t="n">
        <v>-6.84</v>
      </c>
      <c r="M67" s="3" t="n">
        <v>-21.72</v>
      </c>
      <c r="N67" s="3" t="n">
        <v>-24.5</v>
      </c>
      <c r="O67" s="3" t="n">
        <v>663.55</v>
      </c>
      <c r="P67" s="3" t="n">
        <v>-14.79</v>
      </c>
      <c r="Q67" s="3"/>
    </row>
    <row r="68" customFormat="false" ht="15" hidden="false" customHeight="false" outlineLevel="0" collapsed="false">
      <c r="A68" s="3" t="s">
        <v>257</v>
      </c>
      <c r="B68" s="3" t="s">
        <v>258</v>
      </c>
      <c r="C68" s="3" t="n">
        <v>0</v>
      </c>
      <c r="D68" s="3" t="s">
        <v>252</v>
      </c>
      <c r="E68" s="3" t="n">
        <v>184.64</v>
      </c>
      <c r="F68" s="3" t="s">
        <v>252</v>
      </c>
      <c r="G68" s="3" t="n">
        <v>184.64</v>
      </c>
      <c r="H68" s="3" t="n">
        <v>1</v>
      </c>
      <c r="I68" s="3" t="s">
        <v>65</v>
      </c>
      <c r="J68" s="3" t="n">
        <v>-0.84</v>
      </c>
      <c r="K68" s="3" t="n">
        <v>-3.07</v>
      </c>
      <c r="L68" s="3" t="n">
        <v>-0.45</v>
      </c>
      <c r="M68" s="3" t="n">
        <v>-13.36</v>
      </c>
      <c r="N68" s="3" t="n">
        <v>-10.27</v>
      </c>
      <c r="O68" s="3" t="n">
        <v>172.45</v>
      </c>
      <c r="P68" s="3" t="n">
        <v>-6.6</v>
      </c>
      <c r="Q68" s="3"/>
    </row>
    <row r="69" customFormat="false" ht="15" hidden="false" customHeight="false" outlineLevel="0" collapsed="false">
      <c r="A69" s="3" t="s">
        <v>260</v>
      </c>
      <c r="B69" s="3" t="s">
        <v>261</v>
      </c>
      <c r="C69" s="3" t="n">
        <v>0</v>
      </c>
      <c r="D69" s="3" t="s">
        <v>252</v>
      </c>
      <c r="E69" s="3" t="n">
        <v>92.97</v>
      </c>
      <c r="F69" s="3" t="s">
        <v>282</v>
      </c>
      <c r="G69" s="3" t="n">
        <v>94.47</v>
      </c>
      <c r="H69" s="3" t="n">
        <v>2</v>
      </c>
      <c r="I69" s="3" t="s">
        <v>70</v>
      </c>
      <c r="J69" s="3" t="n">
        <v>1.61</v>
      </c>
      <c r="K69" s="3" t="n">
        <v>1.59</v>
      </c>
      <c r="L69" s="3" t="n">
        <v>14.76</v>
      </c>
      <c r="M69" s="3" t="n">
        <v>-0.35</v>
      </c>
      <c r="N69" s="3" t="n">
        <v>5.26</v>
      </c>
      <c r="O69" s="3" t="n">
        <v>94.75</v>
      </c>
      <c r="P69" s="3" t="n">
        <v>1.91</v>
      </c>
      <c r="Q69" s="3"/>
    </row>
    <row r="70" customFormat="false" ht="15" hidden="false" customHeight="false" outlineLevel="0" collapsed="false">
      <c r="A70" s="3" t="s">
        <v>263</v>
      </c>
      <c r="B70" s="3" t="s">
        <v>264</v>
      </c>
      <c r="C70" s="3" t="n">
        <v>0</v>
      </c>
      <c r="D70" s="3" t="s">
        <v>252</v>
      </c>
      <c r="E70" s="3" t="n">
        <v>730.65</v>
      </c>
      <c r="F70" s="3" t="s">
        <v>252</v>
      </c>
      <c r="G70" s="3" t="n">
        <v>730.65</v>
      </c>
      <c r="H70" s="3" t="n">
        <v>1</v>
      </c>
      <c r="I70" s="3" t="s">
        <v>65</v>
      </c>
      <c r="J70" s="3" t="n">
        <v>-0.34</v>
      </c>
      <c r="K70" s="3" t="n">
        <v>-3.74</v>
      </c>
      <c r="L70" s="3" t="n">
        <v>-5.86</v>
      </c>
      <c r="M70" s="3" t="n">
        <v>-16.85</v>
      </c>
      <c r="N70" s="3" t="n">
        <v>-25.57</v>
      </c>
      <c r="O70" s="3" t="n">
        <v>453.5</v>
      </c>
      <c r="P70" s="3" t="n">
        <v>-37.93</v>
      </c>
      <c r="Q70" s="3"/>
    </row>
    <row r="71" customFormat="false" ht="15" hidden="false" customHeight="false" outlineLevel="0" collapsed="false">
      <c r="A71" s="3" t="s">
        <v>266</v>
      </c>
      <c r="B71" s="3" t="s">
        <v>267</v>
      </c>
      <c r="C71" s="3" t="n">
        <v>0</v>
      </c>
      <c r="D71" s="3" t="s">
        <v>252</v>
      </c>
      <c r="E71" s="3" t="n">
        <v>2874.6</v>
      </c>
      <c r="F71" s="3" t="s">
        <v>252</v>
      </c>
      <c r="G71" s="3" t="n">
        <v>2874.6</v>
      </c>
      <c r="H71" s="3" t="n">
        <v>1</v>
      </c>
      <c r="I71" s="3" t="s">
        <v>65</v>
      </c>
      <c r="J71" s="3" t="n">
        <v>0.66</v>
      </c>
      <c r="K71" s="3" t="n">
        <v>-3.5</v>
      </c>
      <c r="L71" s="3" t="n">
        <v>-2.89</v>
      </c>
      <c r="M71" s="3" t="n">
        <v>-2.38</v>
      </c>
      <c r="N71" s="3" t="n">
        <v>-21.02</v>
      </c>
      <c r="O71" s="3" t="n">
        <v>2237.5</v>
      </c>
      <c r="P71" s="3" t="n">
        <v>-22.16</v>
      </c>
      <c r="Q71" s="3"/>
    </row>
    <row r="72" customFormat="false" ht="15" hidden="false" customHeight="false" outlineLevel="0" collapsed="false">
      <c r="A72" s="3" t="s">
        <v>269</v>
      </c>
      <c r="B72" s="3" t="s">
        <v>270</v>
      </c>
      <c r="C72" s="3" t="n">
        <v>0</v>
      </c>
      <c r="D72" s="3" t="s">
        <v>252</v>
      </c>
      <c r="E72" s="3" t="n">
        <v>115.22</v>
      </c>
      <c r="F72" s="3" t="s">
        <v>252</v>
      </c>
      <c r="G72" s="3" t="n">
        <v>115.22</v>
      </c>
      <c r="H72" s="3" t="n">
        <v>1</v>
      </c>
      <c r="I72" s="3" t="s">
        <v>65</v>
      </c>
      <c r="J72" s="3" t="n">
        <v>2.73</v>
      </c>
      <c r="K72" s="3" t="n">
        <v>-3.28</v>
      </c>
      <c r="L72" s="3" t="n">
        <v>1.91</v>
      </c>
      <c r="M72" s="3" t="n">
        <v>-15.95</v>
      </c>
      <c r="N72" s="3" t="n">
        <v>-17.87</v>
      </c>
      <c r="O72" s="3" t="n">
        <v>80.21</v>
      </c>
      <c r="P72" s="3" t="n">
        <v>-30.39</v>
      </c>
      <c r="Q72" s="3"/>
    </row>
    <row r="73" customFormat="false" ht="15" hidden="false" customHeight="false" outlineLevel="0" collapsed="false">
      <c r="A73" s="3" t="s">
        <v>272</v>
      </c>
      <c r="B73" s="3" t="s">
        <v>273</v>
      </c>
      <c r="C73" s="3" t="n">
        <v>0</v>
      </c>
      <c r="D73" s="3" t="s">
        <v>252</v>
      </c>
      <c r="E73" s="3" t="n">
        <v>347.5</v>
      </c>
      <c r="F73" s="3" t="s">
        <v>252</v>
      </c>
      <c r="G73" s="3" t="n">
        <v>347.5</v>
      </c>
      <c r="H73" s="3" t="n">
        <v>1</v>
      </c>
      <c r="I73" s="3" t="s">
        <v>65</v>
      </c>
      <c r="J73" s="3" t="n">
        <v>-0.68</v>
      </c>
      <c r="K73" s="3" t="n">
        <v>-6</v>
      </c>
      <c r="L73" s="3" t="n">
        <v>-5.8</v>
      </c>
      <c r="M73" s="3" t="n">
        <v>-0.81</v>
      </c>
      <c r="N73" s="3" t="n">
        <v>17.08</v>
      </c>
      <c r="O73" s="3" t="n">
        <v>321.1</v>
      </c>
      <c r="P73" s="3" t="n">
        <v>-7.6</v>
      </c>
      <c r="Q73" s="3"/>
    </row>
    <row r="74" customFormat="false" ht="15" hidden="false" customHeight="false" outlineLevel="0" collapsed="false">
      <c r="A74" s="3" t="s">
        <v>275</v>
      </c>
      <c r="B74" s="3" t="s">
        <v>276</v>
      </c>
      <c r="C74" s="3" t="n">
        <v>0</v>
      </c>
      <c r="D74" s="3" t="s">
        <v>252</v>
      </c>
      <c r="E74" s="3" t="n">
        <v>604.7</v>
      </c>
      <c r="F74" s="3" t="s">
        <v>252</v>
      </c>
      <c r="G74" s="3" t="n">
        <v>604.7</v>
      </c>
      <c r="H74" s="3" t="n">
        <v>1</v>
      </c>
      <c r="I74" s="3" t="s">
        <v>65</v>
      </c>
      <c r="J74" s="3" t="n">
        <v>0.8</v>
      </c>
      <c r="K74" s="3" t="n">
        <v>-5.24</v>
      </c>
      <c r="L74" s="3" t="n">
        <v>-5.83</v>
      </c>
      <c r="M74" s="3" t="n">
        <v>-16.8</v>
      </c>
      <c r="N74" s="3" t="n">
        <v>-23.29</v>
      </c>
      <c r="O74" s="3" t="n">
        <v>390.8</v>
      </c>
      <c r="P74" s="3" t="n">
        <v>-35.37</v>
      </c>
      <c r="Q74" s="3"/>
    </row>
    <row r="75" customFormat="false" ht="15" hidden="false" customHeight="false" outlineLevel="0" collapsed="false">
      <c r="A75" s="3" t="s">
        <v>117</v>
      </c>
      <c r="B75" s="3" t="s">
        <v>118</v>
      </c>
      <c r="C75" s="3" t="n">
        <v>1</v>
      </c>
      <c r="D75" s="3" t="s">
        <v>252</v>
      </c>
      <c r="E75" s="3" t="n">
        <v>283.75</v>
      </c>
      <c r="F75" s="3" t="s">
        <v>252</v>
      </c>
      <c r="G75" s="3" t="n">
        <v>283.75</v>
      </c>
      <c r="H75" s="3" t="n">
        <v>1</v>
      </c>
      <c r="I75" s="3" t="s">
        <v>65</v>
      </c>
      <c r="J75" s="3" t="n">
        <v>-0.58</v>
      </c>
      <c r="K75" s="3" t="n">
        <v>-3.08</v>
      </c>
      <c r="L75" s="3" t="n">
        <v>-3.45</v>
      </c>
      <c r="M75" s="3" t="n">
        <v>-2.13</v>
      </c>
      <c r="N75" s="3" t="n">
        <v>-2.13</v>
      </c>
      <c r="O75" s="3" t="n">
        <v>289.85</v>
      </c>
      <c r="P75" s="3" t="n">
        <v>2.15</v>
      </c>
      <c r="Q75" s="3"/>
    </row>
    <row r="76" customFormat="false" ht="15" hidden="false" customHeight="false" outlineLevel="0" collapsed="false">
      <c r="A76" s="3" t="s">
        <v>279</v>
      </c>
      <c r="B76" s="3" t="s">
        <v>280</v>
      </c>
      <c r="C76" s="3" t="n">
        <v>0</v>
      </c>
      <c r="D76" s="3" t="s">
        <v>252</v>
      </c>
      <c r="E76" s="3" t="n">
        <v>720.05</v>
      </c>
      <c r="F76" s="3" t="s">
        <v>252</v>
      </c>
      <c r="G76" s="3" t="n">
        <v>720.05</v>
      </c>
      <c r="H76" s="3" t="n">
        <v>1</v>
      </c>
      <c r="I76" s="3" t="s">
        <v>65</v>
      </c>
      <c r="J76" s="3" t="n">
        <v>0.18</v>
      </c>
      <c r="K76" s="3" t="n">
        <v>1.85</v>
      </c>
      <c r="L76" s="3" t="n">
        <v>5.36</v>
      </c>
      <c r="M76" s="3" t="n">
        <v>-0.49</v>
      </c>
      <c r="N76" s="3" t="n">
        <v>-10.35</v>
      </c>
      <c r="O76" s="3" t="n">
        <v>549.5</v>
      </c>
      <c r="P76" s="3" t="n">
        <v>-23.69</v>
      </c>
      <c r="Q76" s="3"/>
    </row>
    <row r="77" customFormat="false" ht="15" hidden="false" customHeight="false" outlineLevel="0" collapsed="false">
      <c r="A77" s="3" t="s">
        <v>284</v>
      </c>
      <c r="B77" s="3" t="s">
        <v>285</v>
      </c>
      <c r="C77" s="3" t="n">
        <v>0</v>
      </c>
      <c r="D77" s="3" t="s">
        <v>282</v>
      </c>
      <c r="E77" s="3" t="n">
        <v>1882.8</v>
      </c>
      <c r="F77" s="3" t="s">
        <v>282</v>
      </c>
      <c r="G77" s="3" t="n">
        <v>1882.8</v>
      </c>
      <c r="H77" s="3" t="n">
        <v>1</v>
      </c>
      <c r="I77" s="3" t="s">
        <v>65</v>
      </c>
      <c r="J77" s="3" t="n">
        <v>0.45</v>
      </c>
      <c r="K77" s="3" t="n">
        <v>-3.79</v>
      </c>
      <c r="L77" s="3" t="n">
        <v>3.37</v>
      </c>
      <c r="M77" s="3" t="n">
        <v>5.88</v>
      </c>
      <c r="N77" s="3" t="n">
        <v>28.21</v>
      </c>
      <c r="O77" s="3" t="n">
        <v>2325.7</v>
      </c>
      <c r="P77" s="3" t="n">
        <v>23.52</v>
      </c>
      <c r="Q77" s="3"/>
    </row>
    <row r="78" customFormat="false" ht="15" hidden="false" customHeight="false" outlineLevel="0" collapsed="false">
      <c r="A78" s="3" t="s">
        <v>289</v>
      </c>
      <c r="B78" s="3" t="s">
        <v>290</v>
      </c>
      <c r="C78" s="3" t="n">
        <v>0</v>
      </c>
      <c r="D78" s="3" t="s">
        <v>288</v>
      </c>
      <c r="E78" s="3" t="n">
        <v>141.53</v>
      </c>
      <c r="F78" s="3" t="s">
        <v>288</v>
      </c>
      <c r="G78" s="3" t="n">
        <v>141.53</v>
      </c>
      <c r="H78" s="3" t="n">
        <v>1</v>
      </c>
      <c r="I78" s="3" t="s">
        <v>65</v>
      </c>
      <c r="J78" s="3" t="n">
        <v>-1.2</v>
      </c>
      <c r="K78" s="3" t="n">
        <v>0.53</v>
      </c>
      <c r="L78" s="3" t="n">
        <v>13.26</v>
      </c>
      <c r="M78" s="3" t="n">
        <v>37.12</v>
      </c>
      <c r="N78" s="3" t="n">
        <v>14.53</v>
      </c>
      <c r="O78" s="3" t="n">
        <v>155.22</v>
      </c>
      <c r="P78" s="3" t="n">
        <v>9.67</v>
      </c>
      <c r="Q78" s="3"/>
    </row>
    <row r="79" customFormat="false" ht="15" hidden="false" customHeight="false" outlineLevel="0" collapsed="false">
      <c r="A79" s="3" t="s">
        <v>104</v>
      </c>
      <c r="B79" s="3" t="s">
        <v>105</v>
      </c>
      <c r="C79" s="3" t="n">
        <v>2</v>
      </c>
      <c r="D79" s="3" t="s">
        <v>288</v>
      </c>
      <c r="E79" s="3" t="n">
        <v>476</v>
      </c>
      <c r="F79" s="3" t="s">
        <v>288</v>
      </c>
      <c r="G79" s="3" t="n">
        <v>476</v>
      </c>
      <c r="H79" s="3" t="n">
        <v>1</v>
      </c>
      <c r="I79" s="3" t="s">
        <v>65</v>
      </c>
      <c r="J79" s="3" t="n">
        <v>1.7</v>
      </c>
      <c r="K79" s="3" t="n">
        <v>1.26</v>
      </c>
      <c r="L79" s="3" t="n">
        <v>-5.05</v>
      </c>
      <c r="M79" s="3" t="n">
        <v>-9.12</v>
      </c>
      <c r="N79" s="3" t="n">
        <v>-21.31</v>
      </c>
      <c r="O79" s="3" t="n">
        <v>342.45</v>
      </c>
      <c r="P79" s="3" t="n">
        <v>-28.06</v>
      </c>
      <c r="Q79" s="3"/>
    </row>
    <row r="80" customFormat="false" ht="15" hidden="false" customHeight="false" outlineLevel="0" collapsed="false">
      <c r="A80" s="3" t="s">
        <v>293</v>
      </c>
      <c r="B80" s="3" t="s">
        <v>294</v>
      </c>
      <c r="C80" s="3" t="n">
        <v>0</v>
      </c>
      <c r="D80" s="3" t="s">
        <v>288</v>
      </c>
      <c r="E80" s="3" t="n">
        <v>858.7</v>
      </c>
      <c r="F80" s="3" t="s">
        <v>288</v>
      </c>
      <c r="G80" s="3" t="n">
        <v>858.7</v>
      </c>
      <c r="H80" s="3" t="n">
        <v>1</v>
      </c>
      <c r="I80" s="3" t="s">
        <v>65</v>
      </c>
      <c r="J80" s="3" t="n">
        <v>2.52</v>
      </c>
      <c r="K80" s="3" t="n">
        <v>2.06</v>
      </c>
      <c r="L80" s="3" t="n">
        <v>3.34</v>
      </c>
      <c r="M80" s="3" t="n">
        <v>5.92</v>
      </c>
      <c r="N80" s="3" t="n">
        <v>-0.8</v>
      </c>
      <c r="O80" s="3" t="n">
        <v>802.45</v>
      </c>
      <c r="P80" s="3" t="n">
        <v>-6.55</v>
      </c>
      <c r="Q80" s="3"/>
    </row>
    <row r="81" customFormat="false" ht="15" hidden="false" customHeight="false" outlineLevel="0" collapsed="false">
      <c r="A81" s="3" t="s">
        <v>296</v>
      </c>
      <c r="B81" s="3" t="s">
        <v>297</v>
      </c>
      <c r="C81" s="3" t="n">
        <v>0</v>
      </c>
      <c r="D81" s="3" t="s">
        <v>288</v>
      </c>
      <c r="E81" s="3" t="n">
        <v>1963.5</v>
      </c>
      <c r="F81" s="3" t="s">
        <v>318</v>
      </c>
      <c r="G81" s="3" t="n">
        <v>1997</v>
      </c>
      <c r="H81" s="3" t="n">
        <v>3</v>
      </c>
      <c r="I81" s="3" t="s">
        <v>70</v>
      </c>
      <c r="J81" s="3" t="n">
        <v>1.03</v>
      </c>
      <c r="K81" s="3" t="n">
        <v>1.36</v>
      </c>
      <c r="L81" s="3" t="n">
        <v>6.03</v>
      </c>
      <c r="M81" s="3" t="n">
        <v>8.59</v>
      </c>
      <c r="N81" s="3" t="n">
        <v>17.4</v>
      </c>
      <c r="O81" s="3" t="n">
        <v>2062</v>
      </c>
      <c r="P81" s="3" t="n">
        <v>5.02</v>
      </c>
      <c r="Q81" s="3"/>
    </row>
    <row r="82" customFormat="false" ht="15" hidden="false" customHeight="false" outlineLevel="0" collapsed="false">
      <c r="A82" s="3" t="s">
        <v>300</v>
      </c>
      <c r="B82" s="3" t="s">
        <v>301</v>
      </c>
      <c r="C82" s="3" t="n">
        <v>0</v>
      </c>
      <c r="D82" s="3" t="s">
        <v>288</v>
      </c>
      <c r="E82" s="3" t="n">
        <v>937</v>
      </c>
      <c r="F82" s="3" t="s">
        <v>288</v>
      </c>
      <c r="G82" s="3" t="n">
        <v>937</v>
      </c>
      <c r="H82" s="3" t="n">
        <v>1</v>
      </c>
      <c r="I82" s="3" t="s">
        <v>65</v>
      </c>
      <c r="J82" s="3" t="n">
        <v>1.36</v>
      </c>
      <c r="K82" s="3" t="n">
        <v>1.51</v>
      </c>
      <c r="L82" s="3" t="n">
        <v>3.85</v>
      </c>
      <c r="M82" s="3" t="n">
        <v>13.79</v>
      </c>
      <c r="N82" s="3" t="n">
        <v>14.03</v>
      </c>
      <c r="O82" s="3" t="n">
        <v>962</v>
      </c>
      <c r="P82" s="3" t="n">
        <v>2.67</v>
      </c>
      <c r="Q82" s="3"/>
    </row>
    <row r="83" customFormat="false" ht="15" hidden="false" customHeight="false" outlineLevel="0" collapsed="false">
      <c r="A83" s="3" t="s">
        <v>303</v>
      </c>
      <c r="B83" s="3" t="s">
        <v>304</v>
      </c>
      <c r="C83" s="3" t="n">
        <v>0</v>
      </c>
      <c r="D83" s="3" t="s">
        <v>288</v>
      </c>
      <c r="E83" s="3" t="n">
        <v>748.9</v>
      </c>
      <c r="F83" s="3" t="s">
        <v>288</v>
      </c>
      <c r="G83" s="3" t="n">
        <v>748.9</v>
      </c>
      <c r="H83" s="3" t="n">
        <v>1</v>
      </c>
      <c r="I83" s="3" t="s">
        <v>65</v>
      </c>
      <c r="J83" s="3" t="n">
        <v>6.35</v>
      </c>
      <c r="K83" s="3" t="n">
        <v>9.64</v>
      </c>
      <c r="L83" s="3" t="n">
        <v>13.71</v>
      </c>
      <c r="M83" s="3" t="n">
        <v>36.57</v>
      </c>
      <c r="N83" s="3" t="n">
        <v>25.16</v>
      </c>
      <c r="O83" s="3" t="n">
        <v>976.3</v>
      </c>
      <c r="P83" s="3" t="n">
        <v>30.36</v>
      </c>
      <c r="Q83" s="3"/>
    </row>
    <row r="84" customFormat="false" ht="15" hidden="false" customHeight="false" outlineLevel="0" collapsed="false">
      <c r="A84" s="3" t="s">
        <v>182</v>
      </c>
      <c r="B84" s="3" t="s">
        <v>183</v>
      </c>
      <c r="C84" s="3" t="n">
        <v>1</v>
      </c>
      <c r="D84" s="3" t="s">
        <v>306</v>
      </c>
      <c r="E84" s="3" t="n">
        <v>1480.7</v>
      </c>
      <c r="F84" s="3" t="s">
        <v>306</v>
      </c>
      <c r="G84" s="3" t="n">
        <v>1480.7</v>
      </c>
      <c r="H84" s="3" t="n">
        <v>1</v>
      </c>
      <c r="I84" s="3" t="s">
        <v>65</v>
      </c>
      <c r="J84" s="3" t="n">
        <v>-0.91</v>
      </c>
      <c r="K84" s="3" t="n">
        <v>5.07</v>
      </c>
      <c r="L84" s="3" t="n">
        <v>-4.12</v>
      </c>
      <c r="M84" s="3" t="n">
        <v>-0.28</v>
      </c>
      <c r="N84" s="3" t="n">
        <v>5.33</v>
      </c>
      <c r="O84" s="3" t="n">
        <v>1370.5</v>
      </c>
      <c r="P84" s="3" t="n">
        <v>-7.44</v>
      </c>
      <c r="Q84" s="3"/>
    </row>
    <row r="85" customFormat="false" ht="15" hidden="false" customHeight="false" outlineLevel="0" collapsed="false">
      <c r="A85" s="3" t="s">
        <v>199</v>
      </c>
      <c r="B85" s="3" t="s">
        <v>200</v>
      </c>
      <c r="C85" s="3" t="n">
        <v>2</v>
      </c>
      <c r="D85" s="3" t="s">
        <v>306</v>
      </c>
      <c r="E85" s="3" t="n">
        <v>377.15</v>
      </c>
      <c r="F85" s="3" t="s">
        <v>306</v>
      </c>
      <c r="G85" s="3" t="n">
        <v>377.15</v>
      </c>
      <c r="H85" s="3" t="n">
        <v>1</v>
      </c>
      <c r="I85" s="3" t="s">
        <v>65</v>
      </c>
      <c r="J85" s="3" t="n">
        <v>0.89</v>
      </c>
      <c r="K85" s="3" t="n">
        <v>2.11</v>
      </c>
      <c r="L85" s="3" t="n">
        <v>5.79</v>
      </c>
      <c r="M85" s="3" t="n">
        <v>-2.74</v>
      </c>
      <c r="N85" s="3" t="n">
        <v>-4.39</v>
      </c>
      <c r="O85" s="3" t="n">
        <v>374.9</v>
      </c>
      <c r="P85" s="3" t="n">
        <v>-0.6</v>
      </c>
      <c r="Q85" s="3"/>
    </row>
    <row r="86" customFormat="false" ht="15" hidden="false" customHeight="false" outlineLevel="0" collapsed="false">
      <c r="A86" s="3" t="s">
        <v>309</v>
      </c>
      <c r="B86" s="3" t="s">
        <v>310</v>
      </c>
      <c r="C86" s="3" t="n">
        <v>0</v>
      </c>
      <c r="D86" s="3" t="s">
        <v>306</v>
      </c>
      <c r="E86" s="3" t="n">
        <v>4379.7</v>
      </c>
      <c r="F86" s="3" t="s">
        <v>306</v>
      </c>
      <c r="G86" s="3" t="n">
        <v>4379.7</v>
      </c>
      <c r="H86" s="3" t="n">
        <v>1</v>
      </c>
      <c r="I86" s="3" t="s">
        <v>65</v>
      </c>
      <c r="J86" s="3" t="n">
        <v>-1.44</v>
      </c>
      <c r="K86" s="3" t="n">
        <v>0.79</v>
      </c>
      <c r="L86" s="3" t="n">
        <v>3.08</v>
      </c>
      <c r="M86" s="3" t="n">
        <v>-6.1</v>
      </c>
      <c r="N86" s="3" t="n">
        <v>20.76</v>
      </c>
      <c r="O86" s="3" t="n">
        <v>4855</v>
      </c>
      <c r="P86" s="3" t="n">
        <v>10.85</v>
      </c>
      <c r="Q86" s="3"/>
    </row>
    <row r="87" customFormat="false" ht="15" hidden="false" customHeight="false" outlineLevel="0" collapsed="false">
      <c r="A87" s="3" t="s">
        <v>312</v>
      </c>
      <c r="B87" s="3" t="s">
        <v>313</v>
      </c>
      <c r="C87" s="3" t="n">
        <v>0</v>
      </c>
      <c r="D87" s="3" t="s">
        <v>306</v>
      </c>
      <c r="E87" s="3" t="n">
        <v>919.9</v>
      </c>
      <c r="F87" s="3" t="s">
        <v>306</v>
      </c>
      <c r="G87" s="3" t="n">
        <v>919.9</v>
      </c>
      <c r="H87" s="3" t="n">
        <v>1</v>
      </c>
      <c r="I87" s="3" t="s">
        <v>65</v>
      </c>
      <c r="J87" s="3" t="n">
        <v>-1.54</v>
      </c>
      <c r="K87" s="3" t="n">
        <v>-2.1</v>
      </c>
      <c r="L87" s="3" t="n">
        <v>-3.91</v>
      </c>
      <c r="M87" s="3" t="n">
        <v>-10.37</v>
      </c>
      <c r="N87" s="3" t="n">
        <v>-12.82</v>
      </c>
      <c r="O87" s="3" t="n">
        <v>400.65</v>
      </c>
      <c r="P87" s="3" t="n">
        <v>-56.45</v>
      </c>
      <c r="Q87" s="3"/>
    </row>
    <row r="88" customFormat="false" ht="15" hidden="false" customHeight="false" outlineLevel="0" collapsed="false">
      <c r="A88" s="3" t="s">
        <v>319</v>
      </c>
      <c r="B88" s="3" t="s">
        <v>320</v>
      </c>
      <c r="C88" s="3" t="n">
        <v>0</v>
      </c>
      <c r="D88" s="3" t="s">
        <v>318</v>
      </c>
      <c r="E88" s="3" t="n">
        <v>1745.9</v>
      </c>
      <c r="F88" s="3" t="s">
        <v>318</v>
      </c>
      <c r="G88" s="3" t="n">
        <v>1745.9</v>
      </c>
      <c r="H88" s="3" t="n">
        <v>1</v>
      </c>
      <c r="I88" s="3" t="s">
        <v>65</v>
      </c>
      <c r="J88" s="3" t="n">
        <v>-3.58</v>
      </c>
      <c r="K88" s="3" t="n">
        <v>-1.55</v>
      </c>
      <c r="L88" s="3" t="n">
        <v>-4.41</v>
      </c>
      <c r="M88" s="3" t="n">
        <v>-8.68</v>
      </c>
      <c r="N88" s="3" t="n">
        <v>-5.07</v>
      </c>
      <c r="O88" s="3" t="n">
        <v>1634.2</v>
      </c>
      <c r="P88" s="3" t="n">
        <v>-6.4</v>
      </c>
      <c r="Q88" s="3"/>
    </row>
    <row r="89" customFormat="false" ht="15" hidden="false" customHeight="false" outlineLevel="0" collapsed="false">
      <c r="A89" s="3" t="s">
        <v>96</v>
      </c>
      <c r="B89" s="3" t="s">
        <v>97</v>
      </c>
      <c r="C89" s="3" t="n">
        <v>1</v>
      </c>
      <c r="D89" s="3" t="s">
        <v>318</v>
      </c>
      <c r="E89" s="3" t="n">
        <v>484.85</v>
      </c>
      <c r="F89" s="3" t="s">
        <v>318</v>
      </c>
      <c r="G89" s="3" t="n">
        <v>484.85</v>
      </c>
      <c r="H89" s="3" t="n">
        <v>1</v>
      </c>
      <c r="I89" s="3" t="s">
        <v>65</v>
      </c>
      <c r="J89" s="3" t="n">
        <v>-8.71</v>
      </c>
      <c r="K89" s="3" t="n">
        <v>-11.02</v>
      </c>
      <c r="L89" s="3" t="n">
        <v>-17.1</v>
      </c>
      <c r="M89" s="3" t="n">
        <v>-9.27</v>
      </c>
      <c r="N89" s="3" t="n">
        <v>-5.23</v>
      </c>
      <c r="O89" s="3" t="n">
        <v>407.5</v>
      </c>
      <c r="P89" s="3" t="n">
        <v>-15.95</v>
      </c>
      <c r="Q89" s="3"/>
    </row>
    <row r="90" customFormat="false" ht="15" hidden="false" customHeight="false" outlineLevel="0" collapsed="false">
      <c r="A90" s="3" t="s">
        <v>80</v>
      </c>
      <c r="B90" s="3" t="s">
        <v>81</v>
      </c>
      <c r="C90" s="3" t="n">
        <v>1</v>
      </c>
      <c r="D90" s="3" t="s">
        <v>318</v>
      </c>
      <c r="E90" s="3" t="n">
        <v>1592.4</v>
      </c>
      <c r="F90" s="3" t="s">
        <v>318</v>
      </c>
      <c r="G90" s="3" t="n">
        <v>1592.4</v>
      </c>
      <c r="H90" s="3" t="n">
        <v>1</v>
      </c>
      <c r="I90" s="3" t="s">
        <v>65</v>
      </c>
      <c r="J90" s="3" t="n">
        <v>-0.51</v>
      </c>
      <c r="K90" s="3" t="n">
        <v>7.94</v>
      </c>
      <c r="L90" s="3" t="n">
        <v>4.55</v>
      </c>
      <c r="M90" s="3" t="n">
        <v>3.09</v>
      </c>
      <c r="N90" s="3" t="n">
        <v>0.24</v>
      </c>
      <c r="O90" s="3" t="n">
        <v>1444</v>
      </c>
      <c r="P90" s="3" t="n">
        <v>-9.32</v>
      </c>
      <c r="Q90" s="3"/>
    </row>
    <row r="91" customFormat="false" ht="15" hidden="false" customHeight="false" outlineLevel="0" collapsed="false">
      <c r="A91" s="3" t="s">
        <v>199</v>
      </c>
      <c r="B91" s="3" t="s">
        <v>200</v>
      </c>
      <c r="C91" s="3" t="n">
        <v>3</v>
      </c>
      <c r="D91" s="3" t="s">
        <v>326</v>
      </c>
      <c r="E91" s="3" t="n">
        <v>385.2</v>
      </c>
      <c r="F91" s="3" t="s">
        <v>326</v>
      </c>
      <c r="G91" s="3" t="n">
        <v>385.2</v>
      </c>
      <c r="H91" s="3" t="n">
        <v>1</v>
      </c>
      <c r="I91" s="3" t="s">
        <v>65</v>
      </c>
      <c r="J91" s="3" t="n">
        <v>-1.25</v>
      </c>
      <c r="K91" s="3" t="n">
        <v>8.26</v>
      </c>
      <c r="L91" s="3" t="n">
        <v>0.82</v>
      </c>
      <c r="M91" s="3" t="n">
        <v>-3.35</v>
      </c>
      <c r="N91" s="3" t="n">
        <v>-1.19</v>
      </c>
      <c r="O91" s="3" t="n">
        <v>374.9</v>
      </c>
      <c r="P91" s="3" t="n">
        <v>-2.67</v>
      </c>
      <c r="Q91" s="3"/>
    </row>
    <row r="92" customFormat="false" ht="15" hidden="false" customHeight="false" outlineLevel="0" collapsed="false">
      <c r="A92" s="3" t="s">
        <v>328</v>
      </c>
      <c r="B92" s="3" t="s">
        <v>329</v>
      </c>
      <c r="C92" s="3" t="n">
        <v>0</v>
      </c>
      <c r="D92" s="3" t="s">
        <v>326</v>
      </c>
      <c r="E92" s="3" t="n">
        <v>6013.5</v>
      </c>
      <c r="F92" s="3" t="s">
        <v>332</v>
      </c>
      <c r="G92" s="3" t="n">
        <v>6157.5</v>
      </c>
      <c r="H92" s="3" t="n">
        <v>2</v>
      </c>
      <c r="I92" s="3" t="s">
        <v>70</v>
      </c>
      <c r="J92" s="3" t="n">
        <v>2.39</v>
      </c>
      <c r="K92" s="3" t="n">
        <v>-2.69</v>
      </c>
      <c r="L92" s="3" t="n">
        <v>-2.28</v>
      </c>
      <c r="M92" s="3" t="n">
        <v>-2.19</v>
      </c>
      <c r="N92" s="3" t="n">
        <v>-3.83</v>
      </c>
      <c r="O92" s="3" t="n">
        <v>4915</v>
      </c>
      <c r="P92" s="3" t="n">
        <v>-18.27</v>
      </c>
      <c r="Q92" s="3"/>
    </row>
    <row r="93" customFormat="false" ht="15" hidden="false" customHeight="false" outlineLevel="0" collapsed="false">
      <c r="A93" s="3" t="s">
        <v>66</v>
      </c>
      <c r="B93" s="3" t="s">
        <v>67</v>
      </c>
      <c r="C93" s="3" t="n">
        <v>2</v>
      </c>
      <c r="D93" s="3" t="s">
        <v>326</v>
      </c>
      <c r="E93" s="3" t="n">
        <v>6883.5</v>
      </c>
      <c r="F93" s="3" t="s">
        <v>326</v>
      </c>
      <c r="G93" s="3" t="n">
        <v>6883.5</v>
      </c>
      <c r="H93" s="3" t="n">
        <v>1</v>
      </c>
      <c r="I93" s="3" t="s">
        <v>65</v>
      </c>
      <c r="J93" s="3" t="n">
        <v>-3.3</v>
      </c>
      <c r="K93" s="3" t="n">
        <v>-4.21</v>
      </c>
      <c r="L93" s="3" t="n">
        <v>-6.02</v>
      </c>
      <c r="M93" s="3" t="n">
        <v>-9.8</v>
      </c>
      <c r="N93" s="3" t="n">
        <v>-2.64</v>
      </c>
      <c r="O93" s="3" t="n">
        <v>9550</v>
      </c>
      <c r="P93" s="3" t="n">
        <v>38.74</v>
      </c>
      <c r="Q93" s="3"/>
    </row>
    <row r="94" customFormat="false" ht="15" hidden="false" customHeight="false" outlineLevel="0" collapsed="false">
      <c r="A94" s="3" t="s">
        <v>333</v>
      </c>
      <c r="B94" s="3" t="s">
        <v>334</v>
      </c>
      <c r="C94" s="3" t="n">
        <v>0</v>
      </c>
      <c r="D94" s="3" t="s">
        <v>332</v>
      </c>
      <c r="E94" s="3" t="n">
        <v>5668.5</v>
      </c>
      <c r="F94" s="3" t="s">
        <v>332</v>
      </c>
      <c r="G94" s="3" t="n">
        <v>5668.5</v>
      </c>
      <c r="H94" s="3" t="n">
        <v>1</v>
      </c>
      <c r="I94" s="3" t="s">
        <v>65</v>
      </c>
      <c r="J94" s="3" t="n">
        <v>0.19</v>
      </c>
      <c r="K94" s="3" t="n">
        <v>0.95</v>
      </c>
      <c r="L94" s="3" t="n">
        <v>0.12</v>
      </c>
      <c r="M94" s="3" t="n">
        <v>-0.26</v>
      </c>
      <c r="N94" s="3" t="n">
        <v>-1.38</v>
      </c>
      <c r="O94" s="3" t="n">
        <v>5175</v>
      </c>
      <c r="P94" s="3" t="n">
        <v>-8.71</v>
      </c>
      <c r="Q94" s="3"/>
    </row>
    <row r="95" customFormat="false" ht="15" hidden="false" customHeight="false" outlineLevel="0" collapsed="false">
      <c r="A95" s="3" t="s">
        <v>337</v>
      </c>
      <c r="B95" s="3" t="s">
        <v>338</v>
      </c>
      <c r="C95" s="3" t="n">
        <v>0</v>
      </c>
      <c r="D95" s="3" t="s">
        <v>332</v>
      </c>
      <c r="E95" s="3" t="n">
        <v>6886</v>
      </c>
      <c r="F95" s="3" t="s">
        <v>332</v>
      </c>
      <c r="G95" s="3" t="n">
        <v>6886</v>
      </c>
      <c r="H95" s="3" t="n">
        <v>1</v>
      </c>
      <c r="I95" s="3" t="s">
        <v>65</v>
      </c>
      <c r="J95" s="3" t="n">
        <v>-0.28</v>
      </c>
      <c r="K95" s="3" t="n">
        <v>-2.77</v>
      </c>
      <c r="L95" s="3" t="n">
        <v>4.68</v>
      </c>
      <c r="M95" s="3" t="n">
        <v>5.69</v>
      </c>
      <c r="N95" s="3" t="n">
        <v>6.41</v>
      </c>
      <c r="O95" s="3" t="n">
        <v>7213.5</v>
      </c>
      <c r="P95" s="3" t="n">
        <v>4.76</v>
      </c>
      <c r="Q95" s="3"/>
    </row>
    <row r="96" customFormat="false" ht="15" hidden="false" customHeight="false" outlineLevel="0" collapsed="false">
      <c r="A96" s="3" t="s">
        <v>303</v>
      </c>
      <c r="B96" s="3" t="s">
        <v>304</v>
      </c>
      <c r="C96" s="3" t="n">
        <v>1</v>
      </c>
      <c r="D96" s="3" t="s">
        <v>332</v>
      </c>
      <c r="E96" s="3" t="n">
        <v>816.35</v>
      </c>
      <c r="F96" s="3" t="s">
        <v>332</v>
      </c>
      <c r="G96" s="3" t="n">
        <v>816.35</v>
      </c>
      <c r="H96" s="3" t="n">
        <v>1</v>
      </c>
      <c r="I96" s="3" t="s">
        <v>65</v>
      </c>
      <c r="J96" s="3" t="n">
        <v>0.58</v>
      </c>
      <c r="K96" s="3" t="n">
        <v>-0.86</v>
      </c>
      <c r="L96" s="3" t="n">
        <v>4.72</v>
      </c>
      <c r="M96" s="3" t="n">
        <v>22.35</v>
      </c>
      <c r="N96" s="3" t="n">
        <v>24.41</v>
      </c>
      <c r="O96" s="3" t="n">
        <v>976.3</v>
      </c>
      <c r="P96" s="3" t="n">
        <v>19.59</v>
      </c>
      <c r="Q96" s="3"/>
    </row>
    <row r="97" customFormat="false" ht="15" hidden="false" customHeight="false" outlineLevel="0" collapsed="false">
      <c r="A97" s="3" t="s">
        <v>342</v>
      </c>
      <c r="B97" s="3" t="s">
        <v>343</v>
      </c>
      <c r="C97" s="3" t="n">
        <v>0</v>
      </c>
      <c r="D97" s="3" t="s">
        <v>341</v>
      </c>
      <c r="E97" s="3" t="n">
        <v>2650.4</v>
      </c>
      <c r="F97" s="3" t="s">
        <v>341</v>
      </c>
      <c r="G97" s="3" t="n">
        <v>2650.4</v>
      </c>
      <c r="H97" s="3" t="n">
        <v>1</v>
      </c>
      <c r="I97" s="3" t="s">
        <v>65</v>
      </c>
      <c r="J97" s="3" t="n">
        <v>0.26</v>
      </c>
      <c r="K97" s="3" t="n">
        <v>8.96</v>
      </c>
      <c r="L97" s="3" t="n">
        <v>10.49</v>
      </c>
      <c r="M97" s="3" t="n">
        <v>-8.24</v>
      </c>
      <c r="N97" s="3" t="n">
        <v>-1.91</v>
      </c>
      <c r="O97" s="3" t="n">
        <v>2420</v>
      </c>
      <c r="P97" s="3" t="n">
        <v>-8.69</v>
      </c>
      <c r="Q97" s="3"/>
    </row>
    <row r="98" customFormat="false" ht="15" hidden="false" customHeight="false" outlineLevel="0" collapsed="false">
      <c r="A98" s="3" t="s">
        <v>90</v>
      </c>
      <c r="B98" s="3" t="s">
        <v>91</v>
      </c>
      <c r="C98" s="3" t="n">
        <v>1</v>
      </c>
      <c r="D98" s="3" t="s">
        <v>341</v>
      </c>
      <c r="E98" s="3" t="n">
        <v>8772</v>
      </c>
      <c r="F98" s="3" t="s">
        <v>341</v>
      </c>
      <c r="G98" s="3" t="n">
        <v>8772</v>
      </c>
      <c r="H98" s="3" t="n">
        <v>1</v>
      </c>
      <c r="I98" s="3" t="s">
        <v>65</v>
      </c>
      <c r="J98" s="3" t="n">
        <v>1.4</v>
      </c>
      <c r="K98" s="3" t="n">
        <v>1.98</v>
      </c>
      <c r="L98" s="3" t="n">
        <v>2.9</v>
      </c>
      <c r="M98" s="3" t="n">
        <v>9.97</v>
      </c>
      <c r="N98" s="3" t="n">
        <v>22.11</v>
      </c>
      <c r="O98" s="3" t="n">
        <v>11024</v>
      </c>
      <c r="P98" s="3" t="n">
        <v>25.67</v>
      </c>
      <c r="Q98" s="3"/>
    </row>
    <row r="99" customFormat="false" ht="15" hidden="false" customHeight="false" outlineLevel="0" collapsed="false">
      <c r="A99" s="3" t="s">
        <v>346</v>
      </c>
      <c r="B99" s="3" t="s">
        <v>347</v>
      </c>
      <c r="C99" s="3" t="n">
        <v>0</v>
      </c>
      <c r="D99" s="3" t="s">
        <v>341</v>
      </c>
      <c r="E99" s="3" t="n">
        <v>277.95</v>
      </c>
      <c r="F99" s="3" t="s">
        <v>341</v>
      </c>
      <c r="G99" s="3" t="n">
        <v>277.95</v>
      </c>
      <c r="H99" s="3" t="n">
        <v>1</v>
      </c>
      <c r="I99" s="3" t="s">
        <v>65</v>
      </c>
      <c r="J99" s="3" t="n">
        <v>-1.1</v>
      </c>
      <c r="K99" s="3" t="n">
        <v>1.69</v>
      </c>
      <c r="L99" s="3" t="n">
        <v>-2.23</v>
      </c>
      <c r="M99" s="3" t="n">
        <v>6.04</v>
      </c>
      <c r="N99" s="3" t="n">
        <v>13.69</v>
      </c>
      <c r="O99" s="3" t="n">
        <v>313</v>
      </c>
      <c r="P99" s="3" t="n">
        <v>12.61</v>
      </c>
      <c r="Q99" s="3"/>
    </row>
    <row r="100" customFormat="false" ht="15" hidden="false" customHeight="false" outlineLevel="0" collapsed="false">
      <c r="A100" s="3" t="s">
        <v>145</v>
      </c>
      <c r="B100" s="3" t="s">
        <v>146</v>
      </c>
      <c r="C100" s="3" t="n">
        <v>1</v>
      </c>
      <c r="D100" s="3" t="s">
        <v>341</v>
      </c>
      <c r="E100" s="3" t="n">
        <v>1397.8</v>
      </c>
      <c r="F100" s="3" t="s">
        <v>350</v>
      </c>
      <c r="G100" s="3" t="n">
        <v>1408</v>
      </c>
      <c r="H100" s="3" t="n">
        <v>2</v>
      </c>
      <c r="I100" s="3" t="s">
        <v>70</v>
      </c>
      <c r="J100" s="3" t="n">
        <v>0.73</v>
      </c>
      <c r="K100" s="3" t="n">
        <v>3.93</v>
      </c>
      <c r="L100" s="3" t="n">
        <v>13.88</v>
      </c>
      <c r="M100" s="3" t="n">
        <v>17.77</v>
      </c>
      <c r="N100" s="3" t="n">
        <v>4.66</v>
      </c>
      <c r="O100" s="3" t="n">
        <v>1542.2</v>
      </c>
      <c r="P100" s="3" t="n">
        <v>10.33</v>
      </c>
      <c r="Q100" s="3"/>
    </row>
    <row r="101" customFormat="false" ht="15" hidden="false" customHeight="false" outlineLevel="0" collapsed="false">
      <c r="A101" s="3" t="s">
        <v>136</v>
      </c>
      <c r="B101" s="3" t="s">
        <v>137</v>
      </c>
      <c r="C101" s="3" t="n">
        <v>3</v>
      </c>
      <c r="D101" s="3" t="s">
        <v>350</v>
      </c>
      <c r="E101" s="3" t="n">
        <v>172.44</v>
      </c>
      <c r="F101" s="3" t="s">
        <v>350</v>
      </c>
      <c r="G101" s="3" t="n">
        <v>172.44</v>
      </c>
      <c r="H101" s="3" t="n">
        <v>1</v>
      </c>
      <c r="I101" s="3" t="s">
        <v>65</v>
      </c>
      <c r="J101" s="3" t="n">
        <v>-0.08</v>
      </c>
      <c r="K101" s="3" t="n">
        <v>-0.49</v>
      </c>
      <c r="L101" s="3" t="n">
        <v>-5.47</v>
      </c>
      <c r="M101" s="3" t="n">
        <v>1.6</v>
      </c>
      <c r="N101" s="3" t="n">
        <v>-18.6</v>
      </c>
      <c r="O101" s="3" t="n">
        <v>133.32</v>
      </c>
      <c r="P101" s="3" t="n">
        <v>-22.69</v>
      </c>
      <c r="Q101" s="3"/>
    </row>
    <row r="102" customFormat="false" ht="15" hidden="false" customHeight="false" outlineLevel="0" collapsed="false">
      <c r="A102" s="3" t="s">
        <v>352</v>
      </c>
      <c r="B102" s="3" t="s">
        <v>353</v>
      </c>
      <c r="C102" s="3" t="n">
        <v>0</v>
      </c>
      <c r="D102" s="3" t="s">
        <v>350</v>
      </c>
      <c r="E102" s="3" t="n">
        <v>6031</v>
      </c>
      <c r="F102" s="3" t="s">
        <v>350</v>
      </c>
      <c r="G102" s="3" t="n">
        <v>6031</v>
      </c>
      <c r="H102" s="3" t="n">
        <v>1</v>
      </c>
      <c r="I102" s="3" t="s">
        <v>65</v>
      </c>
      <c r="J102" s="3" t="n">
        <v>1.72</v>
      </c>
      <c r="K102" s="3" t="n">
        <v>0.8</v>
      </c>
      <c r="L102" s="3" t="n">
        <v>4.49</v>
      </c>
      <c r="M102" s="3" t="n">
        <v>-2.97</v>
      </c>
      <c r="N102" s="3" t="n">
        <v>-15.47</v>
      </c>
      <c r="O102" s="3" t="n">
        <v>5328.5</v>
      </c>
      <c r="P102" s="3" t="n">
        <v>-11.65</v>
      </c>
      <c r="Q102" s="3"/>
    </row>
    <row r="103" customFormat="false" ht="15" hidden="false" customHeight="false" outlineLevel="0" collapsed="false">
      <c r="A103" s="3" t="s">
        <v>357</v>
      </c>
      <c r="B103" s="3" t="s">
        <v>358</v>
      </c>
      <c r="C103" s="3" t="n">
        <v>0</v>
      </c>
      <c r="D103" s="3" t="s">
        <v>356</v>
      </c>
      <c r="E103" s="3" t="n">
        <v>530.45</v>
      </c>
      <c r="F103" s="3" t="s">
        <v>356</v>
      </c>
      <c r="G103" s="3" t="n">
        <v>530.45</v>
      </c>
      <c r="H103" s="3" t="n">
        <v>1</v>
      </c>
      <c r="I103" s="3" t="s">
        <v>65</v>
      </c>
      <c r="J103" s="3" t="n">
        <v>-1.23</v>
      </c>
      <c r="K103" s="3" t="n">
        <v>-2.43</v>
      </c>
      <c r="L103" s="3" t="n">
        <v>-5.13</v>
      </c>
      <c r="M103" s="3" t="n">
        <v>-3.18</v>
      </c>
      <c r="N103" s="3" t="n">
        <v>-2.72</v>
      </c>
      <c r="O103" s="3" t="n">
        <v>450</v>
      </c>
      <c r="P103" s="3" t="n">
        <v>-15.17</v>
      </c>
      <c r="Q103" s="3"/>
    </row>
    <row r="104" customFormat="false" ht="15" hidden="false" customHeight="false" outlineLevel="0" collapsed="false">
      <c r="A104" s="3" t="s">
        <v>360</v>
      </c>
      <c r="B104" s="3" t="s">
        <v>361</v>
      </c>
      <c r="C104" s="3" t="n">
        <v>0</v>
      </c>
      <c r="D104" s="3" t="s">
        <v>356</v>
      </c>
      <c r="E104" s="3" t="n">
        <v>308.8</v>
      </c>
      <c r="F104" s="3" t="s">
        <v>356</v>
      </c>
      <c r="G104" s="3" t="n">
        <v>308.8</v>
      </c>
      <c r="H104" s="3" t="n">
        <v>1</v>
      </c>
      <c r="I104" s="3" t="s">
        <v>65</v>
      </c>
      <c r="J104" s="3" t="n">
        <v>-3.58</v>
      </c>
      <c r="K104" s="3" t="n">
        <v>-0.71</v>
      </c>
      <c r="L104" s="3" t="n">
        <v>-8.27</v>
      </c>
      <c r="M104" s="3" t="n">
        <v>-6.46</v>
      </c>
      <c r="N104" s="3" t="n">
        <v>-22.29</v>
      </c>
      <c r="O104" s="3" t="n">
        <v>330.95</v>
      </c>
      <c r="P104" s="3" t="n">
        <v>7.17</v>
      </c>
      <c r="Q104" s="3"/>
    </row>
    <row r="105" customFormat="false" ht="15" hidden="false" customHeight="false" outlineLevel="0" collapsed="false">
      <c r="A105" s="3" t="s">
        <v>284</v>
      </c>
      <c r="B105" s="3" t="s">
        <v>285</v>
      </c>
      <c r="C105" s="3" t="n">
        <v>1</v>
      </c>
      <c r="D105" s="3" t="s">
        <v>356</v>
      </c>
      <c r="E105" s="3" t="n">
        <v>1847.8</v>
      </c>
      <c r="F105" s="3" t="s">
        <v>378</v>
      </c>
      <c r="G105" s="3" t="n">
        <v>1895.6</v>
      </c>
      <c r="H105" s="3" t="n">
        <v>3</v>
      </c>
      <c r="I105" s="3" t="s">
        <v>70</v>
      </c>
      <c r="J105" s="3" t="n">
        <v>1.78</v>
      </c>
      <c r="K105" s="3" t="n">
        <v>-0.38</v>
      </c>
      <c r="L105" s="3" t="n">
        <v>5.57</v>
      </c>
      <c r="M105" s="3" t="n">
        <v>6.85</v>
      </c>
      <c r="N105" s="3" t="n">
        <v>22.15</v>
      </c>
      <c r="O105" s="3" t="n">
        <v>2325.7</v>
      </c>
      <c r="P105" s="3" t="n">
        <v>25.86</v>
      </c>
      <c r="Q105" s="3"/>
    </row>
    <row r="106" customFormat="false" ht="15" hidden="false" customHeight="false" outlineLevel="0" collapsed="false">
      <c r="A106" s="3" t="s">
        <v>364</v>
      </c>
      <c r="B106" s="3" t="s">
        <v>365</v>
      </c>
      <c r="C106" s="3" t="n">
        <v>0</v>
      </c>
      <c r="D106" s="3" t="s">
        <v>356</v>
      </c>
      <c r="E106" s="3" t="n">
        <v>632.95</v>
      </c>
      <c r="F106" s="3" t="s">
        <v>356</v>
      </c>
      <c r="G106" s="3" t="n">
        <v>632.95</v>
      </c>
      <c r="H106" s="3" t="n">
        <v>1</v>
      </c>
      <c r="I106" s="3" t="s">
        <v>65</v>
      </c>
      <c r="J106" s="3" t="n">
        <v>-0.45</v>
      </c>
      <c r="K106" s="3" t="n">
        <v>-3</v>
      </c>
      <c r="L106" s="3" t="n">
        <v>1.56</v>
      </c>
      <c r="M106" s="3" t="n">
        <v>2.43</v>
      </c>
      <c r="N106" s="3" t="n">
        <v>-14.45</v>
      </c>
      <c r="O106" s="3" t="n">
        <v>458.7</v>
      </c>
      <c r="P106" s="3" t="n">
        <v>-27.53</v>
      </c>
      <c r="Q106" s="3"/>
    </row>
    <row r="107" customFormat="false" ht="15" hidden="false" customHeight="false" outlineLevel="0" collapsed="false">
      <c r="A107" s="3" t="s">
        <v>190</v>
      </c>
      <c r="B107" s="3" t="s">
        <v>60</v>
      </c>
      <c r="C107" s="3" t="n">
        <v>1</v>
      </c>
      <c r="D107" s="3" t="s">
        <v>356</v>
      </c>
      <c r="E107" s="3" t="n">
        <v>5893.5</v>
      </c>
      <c r="F107" s="3" t="s">
        <v>356</v>
      </c>
      <c r="G107" s="3" t="n">
        <v>5893.5</v>
      </c>
      <c r="H107" s="3" t="n">
        <v>1</v>
      </c>
      <c r="I107" s="3" t="s">
        <v>65</v>
      </c>
      <c r="J107" s="3" t="n">
        <v>-0.79</v>
      </c>
      <c r="K107" s="3" t="n">
        <v>1.33</v>
      </c>
      <c r="L107" s="3" t="n">
        <v>5.55</v>
      </c>
      <c r="M107" s="3" t="n">
        <v>-4.53</v>
      </c>
      <c r="N107" s="3" t="s">
        <v>2391</v>
      </c>
      <c r="O107" s="3" t="s">
        <v>60</v>
      </c>
      <c r="P107" s="3" t="s">
        <v>60</v>
      </c>
      <c r="Q107" s="3"/>
    </row>
    <row r="108" customFormat="false" ht="15" hidden="false" customHeight="false" outlineLevel="0" collapsed="false">
      <c r="A108" s="3" t="s">
        <v>368</v>
      </c>
      <c r="B108" s="3" t="s">
        <v>369</v>
      </c>
      <c r="C108" s="3" t="n">
        <v>0</v>
      </c>
      <c r="D108" s="3" t="s">
        <v>356</v>
      </c>
      <c r="E108" s="3" t="n">
        <v>105.92</v>
      </c>
      <c r="F108" s="3" t="s">
        <v>356</v>
      </c>
      <c r="G108" s="3" t="n">
        <v>105.92</v>
      </c>
      <c r="H108" s="3" t="n">
        <v>1</v>
      </c>
      <c r="I108" s="3" t="s">
        <v>65</v>
      </c>
      <c r="J108" s="3" t="n">
        <v>3.03</v>
      </c>
      <c r="K108" s="3" t="n">
        <v>5.89</v>
      </c>
      <c r="L108" s="3" t="n">
        <v>9.78</v>
      </c>
      <c r="M108" s="3" t="n">
        <v>17.46</v>
      </c>
      <c r="N108" s="3" t="n">
        <v>17.31</v>
      </c>
      <c r="O108" s="3" t="n">
        <v>162.37</v>
      </c>
      <c r="P108" s="3" t="n">
        <v>53.29</v>
      </c>
      <c r="Q108" s="3"/>
    </row>
    <row r="109" customFormat="false" ht="15" hidden="false" customHeight="false" outlineLevel="0" collapsed="false">
      <c r="A109" s="3" t="s">
        <v>83</v>
      </c>
      <c r="B109" s="3" t="s">
        <v>84</v>
      </c>
      <c r="C109" s="3" t="n">
        <v>2</v>
      </c>
      <c r="D109" s="3" t="s">
        <v>356</v>
      </c>
      <c r="E109" s="3" t="n">
        <v>2941.4</v>
      </c>
      <c r="F109" s="3" t="s">
        <v>356</v>
      </c>
      <c r="G109" s="3" t="n">
        <v>2941.4</v>
      </c>
      <c r="H109" s="3" t="n">
        <v>1</v>
      </c>
      <c r="I109" s="3" t="s">
        <v>65</v>
      </c>
      <c r="J109" s="3" t="n">
        <v>-1</v>
      </c>
      <c r="K109" s="3" t="n">
        <v>-5.27</v>
      </c>
      <c r="L109" s="3" t="n">
        <v>-0.33</v>
      </c>
      <c r="M109" s="3" t="n">
        <v>1.54</v>
      </c>
      <c r="N109" s="3" t="n">
        <v>-7.49</v>
      </c>
      <c r="O109" s="3" t="n">
        <v>2491.5</v>
      </c>
      <c r="P109" s="3" t="n">
        <v>-15.3</v>
      </c>
      <c r="Q109" s="3"/>
    </row>
    <row r="110" customFormat="false" ht="15" hidden="false" customHeight="false" outlineLevel="0" collapsed="false">
      <c r="A110" s="3" t="s">
        <v>372</v>
      </c>
      <c r="B110" s="3" t="s">
        <v>373</v>
      </c>
      <c r="C110" s="3" t="n">
        <v>0</v>
      </c>
      <c r="D110" s="3" t="s">
        <v>356</v>
      </c>
      <c r="E110" s="3" t="n">
        <v>663.85</v>
      </c>
      <c r="F110" s="3" t="s">
        <v>356</v>
      </c>
      <c r="G110" s="3" t="n">
        <v>663.85</v>
      </c>
      <c r="H110" s="3" t="n">
        <v>1</v>
      </c>
      <c r="I110" s="3" t="s">
        <v>65</v>
      </c>
      <c r="J110" s="3" t="n">
        <v>-0.26</v>
      </c>
      <c r="K110" s="3" t="n">
        <v>-4.37</v>
      </c>
      <c r="L110" s="3" t="n">
        <v>-5.2</v>
      </c>
      <c r="M110" s="3" t="n">
        <v>-31.39</v>
      </c>
      <c r="N110" s="3" t="n">
        <v>-27.88</v>
      </c>
      <c r="O110" s="3" t="n">
        <v>376</v>
      </c>
      <c r="P110" s="3" t="n">
        <v>-43.36</v>
      </c>
      <c r="Q110" s="3"/>
    </row>
    <row r="111" customFormat="false" ht="15" hidden="false" customHeight="false" outlineLevel="0" collapsed="false">
      <c r="A111" s="3" t="s">
        <v>114</v>
      </c>
      <c r="B111" s="3" t="s">
        <v>115</v>
      </c>
      <c r="C111" s="3" t="n">
        <v>1</v>
      </c>
      <c r="D111" s="3" t="s">
        <v>375</v>
      </c>
      <c r="E111" s="3" t="n">
        <v>77.39</v>
      </c>
      <c r="F111" s="3" t="s">
        <v>375</v>
      </c>
      <c r="G111" s="3" t="n">
        <v>77.39</v>
      </c>
      <c r="H111" s="3" t="n">
        <v>1</v>
      </c>
      <c r="I111" s="3" t="s">
        <v>65</v>
      </c>
      <c r="J111" s="3" t="n">
        <v>-1.09</v>
      </c>
      <c r="K111" s="3" t="n">
        <v>-3.79</v>
      </c>
      <c r="L111" s="3" t="n">
        <v>-2.69</v>
      </c>
      <c r="M111" s="3" t="n">
        <v>9.92</v>
      </c>
      <c r="N111" s="3" t="n">
        <v>17.73</v>
      </c>
      <c r="O111" s="3" t="n">
        <v>77.43</v>
      </c>
      <c r="P111" s="3" t="n">
        <v>0.05</v>
      </c>
      <c r="Q111" s="3"/>
    </row>
    <row r="112" customFormat="false" ht="15" hidden="false" customHeight="false" outlineLevel="0" collapsed="false">
      <c r="A112" s="3" t="s">
        <v>342</v>
      </c>
      <c r="B112" s="3" t="s">
        <v>343</v>
      </c>
      <c r="C112" s="3" t="n">
        <v>1</v>
      </c>
      <c r="D112" s="3" t="s">
        <v>378</v>
      </c>
      <c r="E112" s="3" t="n">
        <v>2906.4</v>
      </c>
      <c r="F112" s="3" t="s">
        <v>378</v>
      </c>
      <c r="G112" s="3" t="n">
        <v>2906.4</v>
      </c>
      <c r="H112" s="3" t="n">
        <v>1</v>
      </c>
      <c r="I112" s="3" t="s">
        <v>65</v>
      </c>
      <c r="J112" s="3" t="n">
        <v>-0.64</v>
      </c>
      <c r="K112" s="3" t="n">
        <v>-1.03</v>
      </c>
      <c r="L112" s="3" t="n">
        <v>-4.87</v>
      </c>
      <c r="M112" s="3" t="n">
        <v>-17.68</v>
      </c>
      <c r="N112" s="3" t="n">
        <v>-9.78</v>
      </c>
      <c r="O112" s="3" t="n">
        <v>2420</v>
      </c>
      <c r="P112" s="3" t="n">
        <v>-16.74</v>
      </c>
      <c r="Q112" s="3"/>
    </row>
    <row r="113" customFormat="false" ht="15" hidden="false" customHeight="false" outlineLevel="0" collapsed="false">
      <c r="A113" s="3" t="s">
        <v>380</v>
      </c>
      <c r="B113" s="3" t="s">
        <v>381</v>
      </c>
      <c r="C113" s="3" t="n">
        <v>0</v>
      </c>
      <c r="D113" s="3" t="s">
        <v>378</v>
      </c>
      <c r="E113" s="3" t="n">
        <v>1222.5</v>
      </c>
      <c r="F113" s="3" t="s">
        <v>378</v>
      </c>
      <c r="G113" s="3" t="n">
        <v>1222.5</v>
      </c>
      <c r="H113" s="3" t="n">
        <v>1</v>
      </c>
      <c r="I113" s="3" t="s">
        <v>65</v>
      </c>
      <c r="J113" s="3" t="n">
        <v>1.18</v>
      </c>
      <c r="K113" s="3" t="n">
        <v>-1.36</v>
      </c>
      <c r="L113" s="3" t="n">
        <v>-2.24</v>
      </c>
      <c r="M113" s="3" t="n">
        <v>-6.21</v>
      </c>
      <c r="N113" s="3" t="n">
        <v>23.59</v>
      </c>
      <c r="O113" s="3" t="n">
        <v>1697.5</v>
      </c>
      <c r="P113" s="3" t="n">
        <v>38.85</v>
      </c>
      <c r="Q113" s="3"/>
    </row>
    <row r="114" customFormat="false" ht="15" hidden="false" customHeight="false" outlineLevel="0" collapsed="false">
      <c r="A114" s="3" t="s">
        <v>384</v>
      </c>
      <c r="B114" s="3" t="s">
        <v>385</v>
      </c>
      <c r="C114" s="3" t="n">
        <v>0</v>
      </c>
      <c r="D114" s="3" t="s">
        <v>378</v>
      </c>
      <c r="E114" s="3" t="n">
        <v>3084.2</v>
      </c>
      <c r="F114" s="3" t="s">
        <v>378</v>
      </c>
      <c r="G114" s="3" t="n">
        <v>3084.2</v>
      </c>
      <c r="H114" s="3" t="n">
        <v>1</v>
      </c>
      <c r="I114" s="3" t="s">
        <v>65</v>
      </c>
      <c r="J114" s="3" t="n">
        <v>4.81</v>
      </c>
      <c r="K114" s="3" t="n">
        <v>2.9</v>
      </c>
      <c r="L114" s="3" t="n">
        <v>1.96</v>
      </c>
      <c r="M114" s="3" t="n">
        <v>2.19</v>
      </c>
      <c r="N114" s="3" t="n">
        <v>19.77</v>
      </c>
      <c r="O114" s="3" t="n">
        <v>3785.5</v>
      </c>
      <c r="P114" s="3" t="n">
        <v>22.74</v>
      </c>
      <c r="Q114" s="3"/>
    </row>
    <row r="115" customFormat="false" ht="15" hidden="false" customHeight="false" outlineLevel="0" collapsed="false">
      <c r="A115" s="3" t="s">
        <v>388</v>
      </c>
      <c r="B115" s="3" t="s">
        <v>389</v>
      </c>
      <c r="C115" s="3" t="n">
        <v>0</v>
      </c>
      <c r="D115" s="3" t="s">
        <v>387</v>
      </c>
      <c r="E115" s="3" t="n">
        <v>1815.7</v>
      </c>
      <c r="F115" s="3" t="s">
        <v>387</v>
      </c>
      <c r="G115" s="3" t="n">
        <v>1815.7</v>
      </c>
      <c r="H115" s="3" t="n">
        <v>1</v>
      </c>
      <c r="I115" s="3" t="s">
        <v>65</v>
      </c>
      <c r="J115" s="3" t="n">
        <v>-0.85</v>
      </c>
      <c r="K115" s="3" t="n">
        <v>-1.89</v>
      </c>
      <c r="L115" s="3" t="n">
        <v>6.1</v>
      </c>
      <c r="M115" s="3" t="n">
        <v>-14.44</v>
      </c>
      <c r="N115" s="3" t="n">
        <v>-7.02</v>
      </c>
      <c r="O115" s="3" t="n">
        <v>1151.3</v>
      </c>
      <c r="P115" s="3" t="n">
        <v>-36.59</v>
      </c>
      <c r="Q115" s="3"/>
    </row>
    <row r="116" customFormat="false" ht="15" hidden="false" customHeight="false" outlineLevel="0" collapsed="false">
      <c r="A116" s="3" t="s">
        <v>357</v>
      </c>
      <c r="B116" s="3" t="s">
        <v>358</v>
      </c>
      <c r="C116" s="3" t="n">
        <v>1</v>
      </c>
      <c r="D116" s="3" t="s">
        <v>391</v>
      </c>
      <c r="E116" s="3" t="n">
        <v>522.6</v>
      </c>
      <c r="F116" s="3" t="s">
        <v>391</v>
      </c>
      <c r="G116" s="3" t="n">
        <v>522.6</v>
      </c>
      <c r="H116" s="3" t="n">
        <v>1</v>
      </c>
      <c r="I116" s="3" t="s">
        <v>65</v>
      </c>
      <c r="J116" s="3" t="n">
        <v>-0.97</v>
      </c>
      <c r="K116" s="3" t="n">
        <v>-1.93</v>
      </c>
      <c r="L116" s="3" t="n">
        <v>-4.4</v>
      </c>
      <c r="M116" s="3" t="n">
        <v>-4.65</v>
      </c>
      <c r="N116" s="3" t="n">
        <v>-3.95</v>
      </c>
      <c r="O116" s="3" t="n">
        <v>450</v>
      </c>
      <c r="P116" s="3" t="n">
        <v>-13.89</v>
      </c>
      <c r="Q116" s="3"/>
    </row>
    <row r="117" customFormat="false" ht="15" hidden="false" customHeight="false" outlineLevel="0" collapsed="false">
      <c r="A117" s="3" t="s">
        <v>145</v>
      </c>
      <c r="B117" s="3" t="s">
        <v>146</v>
      </c>
      <c r="C117" s="3" t="n">
        <v>2</v>
      </c>
      <c r="D117" s="3" t="s">
        <v>393</v>
      </c>
      <c r="E117" s="3" t="n">
        <v>1433.9</v>
      </c>
      <c r="F117" s="3" t="s">
        <v>393</v>
      </c>
      <c r="G117" s="3" t="n">
        <v>1433.9</v>
      </c>
      <c r="H117" s="3" t="n">
        <v>1</v>
      </c>
      <c r="I117" s="3" t="s">
        <v>65</v>
      </c>
      <c r="J117" s="3" t="n">
        <v>1.54</v>
      </c>
      <c r="K117" s="3" t="n">
        <v>6.03</v>
      </c>
      <c r="L117" s="3" t="n">
        <v>10.15</v>
      </c>
      <c r="M117" s="3" t="n">
        <v>5.5</v>
      </c>
      <c r="N117" s="3" t="n">
        <v>2.32</v>
      </c>
      <c r="O117" s="3" t="n">
        <v>1542.2</v>
      </c>
      <c r="P117" s="3" t="n">
        <v>7.55</v>
      </c>
      <c r="Q117" s="3"/>
    </row>
    <row r="118" customFormat="false" ht="15" hidden="false" customHeight="false" outlineLevel="0" collapsed="false">
      <c r="A118" s="3" t="s">
        <v>396</v>
      </c>
      <c r="B118" s="3" t="s">
        <v>397</v>
      </c>
      <c r="C118" s="3" t="n">
        <v>0</v>
      </c>
      <c r="D118" s="3" t="s">
        <v>395</v>
      </c>
      <c r="E118" s="3" t="n">
        <v>953.75</v>
      </c>
      <c r="F118" s="3" t="s">
        <v>395</v>
      </c>
      <c r="G118" s="3" t="n">
        <v>953.75</v>
      </c>
      <c r="H118" s="3" t="n">
        <v>1</v>
      </c>
      <c r="I118" s="3" t="s">
        <v>65</v>
      </c>
      <c r="J118" s="3" t="n">
        <v>-0.69</v>
      </c>
      <c r="K118" s="3" t="n">
        <v>-0.53</v>
      </c>
      <c r="L118" s="3" t="n">
        <v>2.13</v>
      </c>
      <c r="M118" s="3" t="n">
        <v>2.13</v>
      </c>
      <c r="N118" s="3" t="n">
        <v>6.09</v>
      </c>
      <c r="O118" s="3" t="n">
        <v>995.3</v>
      </c>
      <c r="P118" s="3" t="n">
        <v>4.36</v>
      </c>
      <c r="Q118" s="3"/>
    </row>
    <row r="119" customFormat="false" ht="15" hidden="false" customHeight="false" outlineLevel="0" collapsed="false">
      <c r="A119" s="3" t="s">
        <v>399</v>
      </c>
      <c r="B119" s="3" t="s">
        <v>400</v>
      </c>
      <c r="C119" s="3" t="n">
        <v>0</v>
      </c>
      <c r="D119" s="3" t="s">
        <v>395</v>
      </c>
      <c r="E119" s="3" t="n">
        <v>787.55</v>
      </c>
      <c r="F119" s="3" t="s">
        <v>395</v>
      </c>
      <c r="G119" s="3" t="n">
        <v>787.55</v>
      </c>
      <c r="H119" s="3" t="n">
        <v>1</v>
      </c>
      <c r="I119" s="3" t="s">
        <v>65</v>
      </c>
      <c r="J119" s="3" t="n">
        <v>-1.24</v>
      </c>
      <c r="K119" s="3" t="n">
        <v>-4.52</v>
      </c>
      <c r="L119" s="3" t="n">
        <v>-4.09</v>
      </c>
      <c r="M119" s="3" t="n">
        <v>-5.73</v>
      </c>
      <c r="N119" s="3" t="n">
        <v>-21.42</v>
      </c>
      <c r="O119" s="3" t="n">
        <v>531.6</v>
      </c>
      <c r="P119" s="3" t="n">
        <v>-32.5</v>
      </c>
      <c r="Q119" s="3"/>
    </row>
    <row r="120" customFormat="false" ht="15" hidden="false" customHeight="false" outlineLevel="0" collapsed="false">
      <c r="A120" s="3" t="s">
        <v>203</v>
      </c>
      <c r="B120" s="3" t="s">
        <v>204</v>
      </c>
      <c r="C120" s="3" t="n">
        <v>1</v>
      </c>
      <c r="D120" s="3" t="s">
        <v>395</v>
      </c>
      <c r="E120" s="3" t="n">
        <v>986.6</v>
      </c>
      <c r="F120" s="3" t="s">
        <v>395</v>
      </c>
      <c r="G120" s="3" t="n">
        <v>986.6</v>
      </c>
      <c r="H120" s="3" t="n">
        <v>1</v>
      </c>
      <c r="I120" s="3" t="s">
        <v>65</v>
      </c>
      <c r="J120" s="3" t="n">
        <v>1.68</v>
      </c>
      <c r="K120" s="3" t="n">
        <v>3.03</v>
      </c>
      <c r="L120" s="3" t="n">
        <v>9.95</v>
      </c>
      <c r="M120" s="3" t="n">
        <v>3.09</v>
      </c>
      <c r="N120" s="3" t="n">
        <v>39.26</v>
      </c>
      <c r="O120" s="3" t="n">
        <v>2010.7</v>
      </c>
      <c r="P120" s="3" t="n">
        <v>103.8</v>
      </c>
      <c r="Q120" s="3"/>
    </row>
    <row r="121" customFormat="false" ht="15" hidden="false" customHeight="false" outlineLevel="0" collapsed="false">
      <c r="A121" s="3" t="s">
        <v>403</v>
      </c>
      <c r="B121" s="3" t="s">
        <v>404</v>
      </c>
      <c r="C121" s="3" t="n">
        <v>0</v>
      </c>
      <c r="D121" s="3" t="s">
        <v>395</v>
      </c>
      <c r="E121" s="3" t="n">
        <v>555.8</v>
      </c>
      <c r="F121" s="3" t="s">
        <v>395</v>
      </c>
      <c r="G121" s="3" t="n">
        <v>555.8</v>
      </c>
      <c r="H121" s="3" t="n">
        <v>1</v>
      </c>
      <c r="I121" s="3" t="s">
        <v>65</v>
      </c>
      <c r="J121" s="3" t="n">
        <v>-1</v>
      </c>
      <c r="K121" s="3" t="n">
        <v>-1.15</v>
      </c>
      <c r="L121" s="3" t="n">
        <v>-2.94</v>
      </c>
      <c r="M121" s="3" t="n">
        <v>-5.57</v>
      </c>
      <c r="N121" s="3" t="n">
        <v>-2.1</v>
      </c>
      <c r="O121" s="3" t="n">
        <v>564.15</v>
      </c>
      <c r="P121" s="3" t="n">
        <v>1.5</v>
      </c>
      <c r="Q121" s="3"/>
    </row>
    <row r="122" customFormat="false" ht="15" hidden="false" customHeight="false" outlineLevel="0" collapsed="false">
      <c r="A122" s="3" t="s">
        <v>406</v>
      </c>
      <c r="B122" s="3" t="s">
        <v>407</v>
      </c>
      <c r="C122" s="3" t="n">
        <v>0</v>
      </c>
      <c r="D122" s="3" t="s">
        <v>395</v>
      </c>
      <c r="E122" s="3" t="n">
        <v>136.92</v>
      </c>
      <c r="F122" s="3" t="s">
        <v>395</v>
      </c>
      <c r="G122" s="3" t="n">
        <v>136.92</v>
      </c>
      <c r="H122" s="3" t="n">
        <v>1</v>
      </c>
      <c r="I122" s="3" t="s">
        <v>65</v>
      </c>
      <c r="J122" s="3" t="n">
        <v>-0.52</v>
      </c>
      <c r="K122" s="3" t="n">
        <v>-3.65</v>
      </c>
      <c r="L122" s="3" t="n">
        <v>-3.7</v>
      </c>
      <c r="M122" s="3" t="n">
        <v>14.43</v>
      </c>
      <c r="N122" s="3" t="n">
        <v>48.88</v>
      </c>
      <c r="O122" s="3" t="n">
        <v>184.2</v>
      </c>
      <c r="P122" s="3" t="n">
        <v>34.53</v>
      </c>
      <c r="Q122" s="3"/>
    </row>
    <row r="123" customFormat="false" ht="15" hidden="false" customHeight="false" outlineLevel="0" collapsed="false">
      <c r="A123" s="3" t="s">
        <v>156</v>
      </c>
      <c r="B123" s="3" t="s">
        <v>157</v>
      </c>
      <c r="C123" s="3" t="n">
        <v>1</v>
      </c>
      <c r="D123" s="3" t="s">
        <v>395</v>
      </c>
      <c r="E123" s="3" t="n">
        <v>1320.1</v>
      </c>
      <c r="F123" s="3" t="s">
        <v>395</v>
      </c>
      <c r="G123" s="3" t="n">
        <v>1320.1</v>
      </c>
      <c r="H123" s="3" t="n">
        <v>1</v>
      </c>
      <c r="I123" s="3" t="s">
        <v>65</v>
      </c>
      <c r="J123" s="3" t="n">
        <v>-0.58</v>
      </c>
      <c r="K123" s="3" t="n">
        <v>-4.03</v>
      </c>
      <c r="L123" s="3" t="n">
        <v>-2.11</v>
      </c>
      <c r="M123" s="3" t="n">
        <v>-9.4</v>
      </c>
      <c r="N123" s="3" t="n">
        <v>-15.54</v>
      </c>
      <c r="O123" s="3" t="n">
        <v>1173</v>
      </c>
      <c r="P123" s="3" t="n">
        <v>-11.14</v>
      </c>
      <c r="Q123" s="3"/>
    </row>
    <row r="124" customFormat="false" ht="15" hidden="false" customHeight="false" outlineLevel="0" collapsed="false">
      <c r="A124" s="3" t="s">
        <v>175</v>
      </c>
      <c r="B124" s="3" t="s">
        <v>176</v>
      </c>
      <c r="C124" s="3" t="n">
        <v>1</v>
      </c>
      <c r="D124" s="3" t="s">
        <v>410</v>
      </c>
      <c r="E124" s="3" t="n">
        <v>1160.6</v>
      </c>
      <c r="F124" s="3" t="s">
        <v>410</v>
      </c>
      <c r="G124" s="3" t="n">
        <v>1160.6</v>
      </c>
      <c r="H124" s="3" t="n">
        <v>1</v>
      </c>
      <c r="I124" s="3" t="s">
        <v>65</v>
      </c>
      <c r="J124" s="3" t="n">
        <v>-0.03</v>
      </c>
      <c r="K124" s="3" t="n">
        <v>-0.86</v>
      </c>
      <c r="L124" s="3" t="n">
        <v>-5.7</v>
      </c>
      <c r="M124" s="3" t="n">
        <v>8.09</v>
      </c>
      <c r="N124" s="3" t="n">
        <v>12.81</v>
      </c>
      <c r="O124" s="3" t="n">
        <v>1264.1</v>
      </c>
      <c r="P124" s="3" t="n">
        <v>8.92</v>
      </c>
      <c r="Q124" s="3"/>
    </row>
    <row r="125" customFormat="false" ht="15" hidden="false" customHeight="false" outlineLevel="0" collapsed="false">
      <c r="A125" s="3" t="s">
        <v>309</v>
      </c>
      <c r="B125" s="3" t="s">
        <v>310</v>
      </c>
      <c r="C125" s="3" t="n">
        <v>1</v>
      </c>
      <c r="D125" s="3" t="s">
        <v>412</v>
      </c>
      <c r="E125" s="3" t="n">
        <v>4479.3</v>
      </c>
      <c r="F125" s="3" t="s">
        <v>412</v>
      </c>
      <c r="G125" s="3" t="n">
        <v>4479.3</v>
      </c>
      <c r="H125" s="3" t="n">
        <v>1</v>
      </c>
      <c r="I125" s="3" t="s">
        <v>65</v>
      </c>
      <c r="J125" s="3" t="n">
        <v>1.45</v>
      </c>
      <c r="K125" s="3" t="n">
        <v>-0.23</v>
      </c>
      <c r="L125" s="3" t="n">
        <v>-1.72</v>
      </c>
      <c r="M125" s="3" t="n">
        <v>9.81</v>
      </c>
      <c r="N125" s="3" t="n">
        <v>31.29</v>
      </c>
      <c r="O125" s="3" t="n">
        <v>4855</v>
      </c>
      <c r="P125" s="3" t="n">
        <v>8.39</v>
      </c>
      <c r="Q125" s="3"/>
    </row>
    <row r="126" customFormat="false" ht="15" hidden="false" customHeight="false" outlineLevel="0" collapsed="false">
      <c r="A126" s="3" t="s">
        <v>414</v>
      </c>
      <c r="B126" s="3" t="s">
        <v>415</v>
      </c>
      <c r="C126" s="3" t="n">
        <v>0</v>
      </c>
      <c r="D126" s="3" t="s">
        <v>412</v>
      </c>
      <c r="E126" s="3" t="n">
        <v>7462.5</v>
      </c>
      <c r="F126" s="3" t="s">
        <v>412</v>
      </c>
      <c r="G126" s="3" t="n">
        <v>7462.5</v>
      </c>
      <c r="H126" s="3" t="n">
        <v>1</v>
      </c>
      <c r="I126" s="3" t="s">
        <v>65</v>
      </c>
      <c r="J126" s="3" t="n">
        <v>-0.13</v>
      </c>
      <c r="K126" s="3" t="n">
        <v>-3.89</v>
      </c>
      <c r="L126" s="3" t="n">
        <v>-80.42</v>
      </c>
      <c r="M126" s="3" t="n">
        <v>-82.92</v>
      </c>
      <c r="N126" s="3" t="n">
        <v>-79.17</v>
      </c>
      <c r="O126" s="3" t="n">
        <v>1640.6</v>
      </c>
      <c r="P126" s="3" t="n">
        <v>-78.02</v>
      </c>
      <c r="Q126" s="3" t="s">
        <v>2390</v>
      </c>
    </row>
    <row r="127" customFormat="false" ht="15" hidden="false" customHeight="false" outlineLevel="0" collapsed="false">
      <c r="A127" s="3" t="s">
        <v>175</v>
      </c>
      <c r="B127" s="3" t="s">
        <v>176</v>
      </c>
      <c r="C127" s="3" t="n">
        <v>2</v>
      </c>
      <c r="D127" s="3" t="s">
        <v>417</v>
      </c>
      <c r="E127" s="3" t="n">
        <v>1168.4</v>
      </c>
      <c r="F127" s="3" t="s">
        <v>417</v>
      </c>
      <c r="G127" s="3" t="n">
        <v>1168.4</v>
      </c>
      <c r="H127" s="3" t="n">
        <v>1</v>
      </c>
      <c r="I127" s="3" t="s">
        <v>65</v>
      </c>
      <c r="J127" s="3" t="n">
        <v>-0.55</v>
      </c>
      <c r="K127" s="3" t="n">
        <v>-4.22</v>
      </c>
      <c r="L127" s="3" t="n">
        <v>-4.86</v>
      </c>
      <c r="M127" s="3" t="n">
        <v>9.6</v>
      </c>
      <c r="N127" s="3" t="n">
        <v>11.21</v>
      </c>
      <c r="O127" s="3" t="n">
        <v>1264.1</v>
      </c>
      <c r="P127" s="3" t="n">
        <v>8.19</v>
      </c>
      <c r="Q127" s="3"/>
    </row>
    <row r="128" customFormat="false" ht="15" hidden="false" customHeight="false" outlineLevel="0" collapsed="false">
      <c r="A128" s="3" t="s">
        <v>114</v>
      </c>
      <c r="B128" s="3" t="s">
        <v>115</v>
      </c>
      <c r="C128" s="3" t="n">
        <v>2</v>
      </c>
      <c r="D128" s="3" t="s">
        <v>417</v>
      </c>
      <c r="E128" s="3" t="n">
        <v>75.39</v>
      </c>
      <c r="F128" s="3" t="s">
        <v>417</v>
      </c>
      <c r="G128" s="3" t="n">
        <v>75.39</v>
      </c>
      <c r="H128" s="3" t="n">
        <v>1</v>
      </c>
      <c r="I128" s="3" t="s">
        <v>65</v>
      </c>
      <c r="J128" s="3" t="n">
        <v>0.93</v>
      </c>
      <c r="K128" s="3" t="n">
        <v>-0.97</v>
      </c>
      <c r="L128" s="3" t="n">
        <v>10.64</v>
      </c>
      <c r="M128" s="3" t="n">
        <v>9.51</v>
      </c>
      <c r="N128" s="3" t="n">
        <v>22.52</v>
      </c>
      <c r="O128" s="3" t="n">
        <v>77.43</v>
      </c>
      <c r="P128" s="3" t="n">
        <v>2.71</v>
      </c>
      <c r="Q128" s="3"/>
    </row>
    <row r="129" customFormat="false" ht="15" hidden="false" customHeight="false" outlineLevel="0" collapsed="false">
      <c r="A129" s="3" t="s">
        <v>368</v>
      </c>
      <c r="B129" s="3" t="s">
        <v>369</v>
      </c>
      <c r="C129" s="3" t="n">
        <v>1</v>
      </c>
      <c r="D129" s="3" t="s">
        <v>420</v>
      </c>
      <c r="E129" s="3" t="n">
        <v>119.26</v>
      </c>
      <c r="F129" s="3" t="s">
        <v>420</v>
      </c>
      <c r="G129" s="3" t="n">
        <v>119.26</v>
      </c>
      <c r="H129" s="3" t="n">
        <v>1</v>
      </c>
      <c r="I129" s="3" t="s">
        <v>65</v>
      </c>
      <c r="J129" s="3" t="n">
        <v>-2.26</v>
      </c>
      <c r="K129" s="3" t="n">
        <v>-2.1</v>
      </c>
      <c r="L129" s="3" t="n">
        <v>0.57</v>
      </c>
      <c r="M129" s="3" t="n">
        <v>11.81</v>
      </c>
      <c r="N129" s="3" t="n">
        <v>21.49</v>
      </c>
      <c r="O129" s="3" t="n">
        <v>162.37</v>
      </c>
      <c r="P129" s="3" t="n">
        <v>36.15</v>
      </c>
      <c r="Q129" s="3"/>
    </row>
    <row r="130" customFormat="false" ht="15" hidden="false" customHeight="false" outlineLevel="0" collapsed="false">
      <c r="A130" s="3" t="s">
        <v>422</v>
      </c>
      <c r="B130" s="3" t="s">
        <v>423</v>
      </c>
      <c r="C130" s="3" t="n">
        <v>0</v>
      </c>
      <c r="D130" s="3" t="s">
        <v>420</v>
      </c>
      <c r="E130" s="3" t="n">
        <v>26545</v>
      </c>
      <c r="F130" s="3" t="s">
        <v>420</v>
      </c>
      <c r="G130" s="3" t="n">
        <v>26545</v>
      </c>
      <c r="H130" s="3" t="n">
        <v>1</v>
      </c>
      <c r="I130" s="3" t="s">
        <v>65</v>
      </c>
      <c r="J130" s="3" t="n">
        <v>-0.92</v>
      </c>
      <c r="K130" s="3" t="n">
        <v>-1.68</v>
      </c>
      <c r="L130" s="3" t="n">
        <v>0.11</v>
      </c>
      <c r="M130" s="3" t="n">
        <v>-1.77</v>
      </c>
      <c r="N130" s="3" t="n">
        <v>-5.84</v>
      </c>
      <c r="O130" s="3" t="n">
        <v>22170</v>
      </c>
      <c r="P130" s="3" t="n">
        <v>-16.48</v>
      </c>
      <c r="Q130" s="3"/>
    </row>
    <row r="131" customFormat="false" ht="15" hidden="false" customHeight="false" outlineLevel="0" collapsed="false">
      <c r="A131" s="3" t="s">
        <v>426</v>
      </c>
      <c r="B131" s="3" t="s">
        <v>427</v>
      </c>
      <c r="C131" s="3" t="n">
        <v>0</v>
      </c>
      <c r="D131" s="3" t="s">
        <v>425</v>
      </c>
      <c r="E131" s="3" t="n">
        <v>2217.9</v>
      </c>
      <c r="F131" s="3" t="s">
        <v>425</v>
      </c>
      <c r="G131" s="3" t="n">
        <v>2217.9</v>
      </c>
      <c r="H131" s="3" t="n">
        <v>1</v>
      </c>
      <c r="I131" s="3" t="s">
        <v>65</v>
      </c>
      <c r="J131" s="3" t="n">
        <v>2.14</v>
      </c>
      <c r="K131" s="3" t="n">
        <v>2.7</v>
      </c>
      <c r="L131" s="3" t="n">
        <v>2.79</v>
      </c>
      <c r="M131" s="3" t="n">
        <v>-6.38</v>
      </c>
      <c r="N131" s="3" t="n">
        <v>34.04</v>
      </c>
      <c r="O131" s="3" t="n">
        <v>2831.1</v>
      </c>
      <c r="P131" s="3" t="n">
        <v>27.65</v>
      </c>
      <c r="Q131" s="3"/>
    </row>
    <row r="132" customFormat="false" ht="15" hidden="false" customHeight="false" outlineLevel="0" collapsed="false">
      <c r="A132" s="3" t="s">
        <v>352</v>
      </c>
      <c r="B132" s="3" t="s">
        <v>353</v>
      </c>
      <c r="C132" s="3" t="n">
        <v>1</v>
      </c>
      <c r="D132" s="3" t="s">
        <v>425</v>
      </c>
      <c r="E132" s="3" t="n">
        <v>6452</v>
      </c>
      <c r="F132" s="3" t="s">
        <v>425</v>
      </c>
      <c r="G132" s="3" t="n">
        <v>6452</v>
      </c>
      <c r="H132" s="3" t="n">
        <v>1</v>
      </c>
      <c r="I132" s="3" t="s">
        <v>65</v>
      </c>
      <c r="J132" s="3" t="n">
        <v>1.06</v>
      </c>
      <c r="K132" s="3" t="n">
        <v>-3.84</v>
      </c>
      <c r="L132" s="3" t="n">
        <v>-2.52</v>
      </c>
      <c r="M132" s="3" t="n">
        <v>-27.01</v>
      </c>
      <c r="N132" s="3" t="n">
        <v>-20.62</v>
      </c>
      <c r="O132" s="3" t="n">
        <v>5328.5</v>
      </c>
      <c r="P132" s="3" t="n">
        <v>-17.41</v>
      </c>
      <c r="Q132" s="3"/>
    </row>
    <row r="133" customFormat="false" ht="15" hidden="false" customHeight="false" outlineLevel="0" collapsed="false">
      <c r="A133" s="3" t="s">
        <v>195</v>
      </c>
      <c r="B133" s="3" t="s">
        <v>196</v>
      </c>
      <c r="C133" s="3" t="n">
        <v>1</v>
      </c>
      <c r="D133" s="3" t="s">
        <v>430</v>
      </c>
      <c r="E133" s="3" t="n">
        <v>260.85</v>
      </c>
      <c r="F133" s="3" t="s">
        <v>430</v>
      </c>
      <c r="G133" s="3" t="n">
        <v>260.85</v>
      </c>
      <c r="H133" s="3" t="n">
        <v>1</v>
      </c>
      <c r="I133" s="3" t="s">
        <v>65</v>
      </c>
      <c r="J133" s="3" t="n">
        <v>-0.48</v>
      </c>
      <c r="K133" s="3" t="n">
        <v>0.52</v>
      </c>
      <c r="L133" s="3" t="n">
        <v>-0.88</v>
      </c>
      <c r="M133" s="3" t="n">
        <v>4.77</v>
      </c>
      <c r="N133" s="3" t="n">
        <v>20.8</v>
      </c>
      <c r="O133" s="3" t="n">
        <v>325</v>
      </c>
      <c r="P133" s="3" t="n">
        <v>24.59</v>
      </c>
      <c r="Q133" s="3"/>
    </row>
    <row r="134" customFormat="false" ht="15" hidden="false" customHeight="false" outlineLevel="0" collapsed="false">
      <c r="A134" s="3" t="s">
        <v>396</v>
      </c>
      <c r="B134" s="3" t="s">
        <v>397</v>
      </c>
      <c r="C134" s="3" t="n">
        <v>1</v>
      </c>
      <c r="D134" s="3" t="s">
        <v>432</v>
      </c>
      <c r="E134" s="3" t="n">
        <v>993.7</v>
      </c>
      <c r="F134" s="3" t="s">
        <v>432</v>
      </c>
      <c r="G134" s="3" t="n">
        <v>993.7</v>
      </c>
      <c r="H134" s="3" t="n">
        <v>1</v>
      </c>
      <c r="I134" s="3" t="s">
        <v>65</v>
      </c>
      <c r="J134" s="3" t="n">
        <v>-2.08</v>
      </c>
      <c r="K134" s="3" t="n">
        <v>-0.34</v>
      </c>
      <c r="L134" s="3" t="n">
        <v>-0.16</v>
      </c>
      <c r="M134" s="3" t="n">
        <v>-5.55</v>
      </c>
      <c r="N134" s="3" t="n">
        <v>-3.47</v>
      </c>
      <c r="O134" s="3" t="n">
        <v>995.3</v>
      </c>
      <c r="P134" s="3" t="n">
        <v>0.16</v>
      </c>
      <c r="Q134" s="3"/>
    </row>
    <row r="135" customFormat="false" ht="15" hidden="false" customHeight="false" outlineLevel="0" collapsed="false">
      <c r="A135" s="3" t="s">
        <v>364</v>
      </c>
      <c r="B135" s="3" t="s">
        <v>365</v>
      </c>
      <c r="C135" s="3" t="n">
        <v>1</v>
      </c>
      <c r="D135" s="3" t="s">
        <v>432</v>
      </c>
      <c r="E135" s="3" t="n">
        <v>642.85</v>
      </c>
      <c r="F135" s="3" t="s">
        <v>432</v>
      </c>
      <c r="G135" s="3" t="n">
        <v>642.85</v>
      </c>
      <c r="H135" s="3" t="n">
        <v>1</v>
      </c>
      <c r="I135" s="3" t="s">
        <v>65</v>
      </c>
      <c r="J135" s="3" t="n">
        <v>-1.09</v>
      </c>
      <c r="K135" s="3" t="n">
        <v>-1.92</v>
      </c>
      <c r="L135" s="3" t="n">
        <v>5.99</v>
      </c>
      <c r="M135" s="3" t="n">
        <v>-6.41</v>
      </c>
      <c r="N135" s="3" t="n">
        <v>-27.54</v>
      </c>
      <c r="O135" s="3" t="n">
        <v>458.7</v>
      </c>
      <c r="P135" s="3" t="n">
        <v>-28.65</v>
      </c>
      <c r="Q135" s="3"/>
    </row>
    <row r="136" customFormat="false" ht="15" hidden="false" customHeight="false" outlineLevel="0" collapsed="false">
      <c r="A136" s="3" t="s">
        <v>120</v>
      </c>
      <c r="B136" s="3" t="s">
        <v>121</v>
      </c>
      <c r="C136" s="3" t="n">
        <v>1</v>
      </c>
      <c r="D136" s="3" t="s">
        <v>432</v>
      </c>
      <c r="E136" s="3" t="n">
        <v>343.85</v>
      </c>
      <c r="F136" s="3" t="s">
        <v>432</v>
      </c>
      <c r="G136" s="3" t="n">
        <v>343.85</v>
      </c>
      <c r="H136" s="3" t="n">
        <v>1</v>
      </c>
      <c r="I136" s="3" t="s">
        <v>65</v>
      </c>
      <c r="J136" s="3" t="n">
        <v>-0.38</v>
      </c>
      <c r="K136" s="3" t="n">
        <v>-2.38</v>
      </c>
      <c r="L136" s="3" t="n">
        <v>6.28</v>
      </c>
      <c r="M136" s="3" t="n">
        <v>19.86</v>
      </c>
      <c r="N136" s="3" t="n">
        <v>25.43</v>
      </c>
      <c r="O136" s="3" t="n">
        <v>330</v>
      </c>
      <c r="P136" s="3" t="n">
        <v>-4.03</v>
      </c>
      <c r="Q136" s="3"/>
    </row>
    <row r="137" customFormat="false" ht="15" hidden="false" customHeight="false" outlineLevel="0" collapsed="false">
      <c r="A137" s="3" t="s">
        <v>437</v>
      </c>
      <c r="B137" s="3" t="s">
        <v>438</v>
      </c>
      <c r="C137" s="3" t="n">
        <v>0</v>
      </c>
      <c r="D137" s="3" t="s">
        <v>436</v>
      </c>
      <c r="E137" s="3" t="n">
        <v>536.1</v>
      </c>
      <c r="F137" s="3" t="s">
        <v>436</v>
      </c>
      <c r="G137" s="3" t="n">
        <v>536.1</v>
      </c>
      <c r="H137" s="3" t="n">
        <v>1</v>
      </c>
      <c r="I137" s="3" t="s">
        <v>65</v>
      </c>
      <c r="J137" s="3" t="n">
        <v>2.25</v>
      </c>
      <c r="K137" s="3" t="n">
        <v>-0.06</v>
      </c>
      <c r="L137" s="3" t="n">
        <v>0.16</v>
      </c>
      <c r="M137" s="3" t="n">
        <v>-14.61</v>
      </c>
      <c r="N137" s="3" t="n">
        <v>-24.26</v>
      </c>
      <c r="O137" s="3" t="n">
        <v>374.35</v>
      </c>
      <c r="P137" s="3" t="n">
        <v>-30.17</v>
      </c>
      <c r="Q137" s="3"/>
    </row>
    <row r="138" customFormat="false" ht="15" hidden="false" customHeight="false" outlineLevel="0" collapsed="false">
      <c r="A138" s="3" t="s">
        <v>368</v>
      </c>
      <c r="B138" s="3" t="s">
        <v>369</v>
      </c>
      <c r="C138" s="3" t="n">
        <v>2</v>
      </c>
      <c r="D138" s="3" t="s">
        <v>436</v>
      </c>
      <c r="E138" s="3" t="n">
        <v>119.8</v>
      </c>
      <c r="F138" s="3" t="s">
        <v>436</v>
      </c>
      <c r="G138" s="3" t="n">
        <v>119.8</v>
      </c>
      <c r="H138" s="3" t="n">
        <v>1</v>
      </c>
      <c r="I138" s="3" t="s">
        <v>65</v>
      </c>
      <c r="J138" s="3" t="n">
        <v>1.25</v>
      </c>
      <c r="K138" s="3" t="n">
        <v>-2.21</v>
      </c>
      <c r="L138" s="3" t="n">
        <v>-3.47</v>
      </c>
      <c r="M138" s="3" t="n">
        <v>1.33</v>
      </c>
      <c r="N138" s="3" t="n">
        <v>17.48</v>
      </c>
      <c r="O138" s="3" t="n">
        <v>162.37</v>
      </c>
      <c r="P138" s="3" t="n">
        <v>35.53</v>
      </c>
      <c r="Q138" s="3"/>
    </row>
    <row r="139" customFormat="false" ht="15" hidden="false" customHeight="false" outlineLevel="0" collapsed="false">
      <c r="A139" s="3" t="s">
        <v>441</v>
      </c>
      <c r="B139" s="3" t="s">
        <v>442</v>
      </c>
      <c r="C139" s="3" t="n">
        <v>0</v>
      </c>
      <c r="D139" s="3" t="s">
        <v>436</v>
      </c>
      <c r="E139" s="3" t="n">
        <v>900.15</v>
      </c>
      <c r="F139" s="3" t="s">
        <v>436</v>
      </c>
      <c r="G139" s="3" t="n">
        <v>900.15</v>
      </c>
      <c r="H139" s="3" t="n">
        <v>1</v>
      </c>
      <c r="I139" s="3" t="s">
        <v>65</v>
      </c>
      <c r="J139" s="3" t="n">
        <v>4.1</v>
      </c>
      <c r="K139" s="3" t="n">
        <v>-0.44</v>
      </c>
      <c r="L139" s="3" t="n">
        <v>8.12</v>
      </c>
      <c r="M139" s="3" t="n">
        <v>-13.74</v>
      </c>
      <c r="N139" s="3" t="n">
        <v>5.97</v>
      </c>
      <c r="O139" s="3" t="n">
        <v>1085</v>
      </c>
      <c r="P139" s="3" t="n">
        <v>20.54</v>
      </c>
      <c r="Q139" s="3"/>
    </row>
    <row r="140" customFormat="false" ht="15" hidden="false" customHeight="false" outlineLevel="0" collapsed="false">
      <c r="A140" s="3" t="s">
        <v>319</v>
      </c>
      <c r="B140" s="3" t="s">
        <v>320</v>
      </c>
      <c r="C140" s="3" t="n">
        <v>1</v>
      </c>
      <c r="D140" s="3" t="s">
        <v>444</v>
      </c>
      <c r="E140" s="3" t="n">
        <v>1735.6</v>
      </c>
      <c r="F140" s="3" t="s">
        <v>444</v>
      </c>
      <c r="G140" s="3" t="n">
        <v>1735.6</v>
      </c>
      <c r="H140" s="3" t="n">
        <v>1</v>
      </c>
      <c r="I140" s="3" t="s">
        <v>65</v>
      </c>
      <c r="J140" s="3" t="n">
        <v>-0.11</v>
      </c>
      <c r="K140" s="3" t="n">
        <v>-5.04</v>
      </c>
      <c r="L140" s="3" t="n">
        <v>-1.43</v>
      </c>
      <c r="M140" s="3" t="n">
        <v>-12.07</v>
      </c>
      <c r="N140" s="3" t="n">
        <v>-9.65</v>
      </c>
      <c r="O140" s="3" t="n">
        <v>1634.2</v>
      </c>
      <c r="P140" s="3" t="n">
        <v>-5.84</v>
      </c>
      <c r="Q140" s="3"/>
    </row>
    <row r="141" customFormat="false" ht="15" hidden="false" customHeight="false" outlineLevel="0" collapsed="false">
      <c r="A141" s="3" t="s">
        <v>257</v>
      </c>
      <c r="B141" s="3" t="s">
        <v>258</v>
      </c>
      <c r="C141" s="3" t="n">
        <v>1</v>
      </c>
      <c r="D141" s="3" t="s">
        <v>444</v>
      </c>
      <c r="E141" s="3" t="n">
        <v>170.71</v>
      </c>
      <c r="F141" s="3" t="s">
        <v>444</v>
      </c>
      <c r="G141" s="3" t="n">
        <v>170.71</v>
      </c>
      <c r="H141" s="3" t="n">
        <v>1</v>
      </c>
      <c r="I141" s="3" t="s">
        <v>65</v>
      </c>
      <c r="J141" s="3" t="n">
        <v>-0.5</v>
      </c>
      <c r="K141" s="3" t="n">
        <v>-0.56</v>
      </c>
      <c r="L141" s="3" t="n">
        <v>-2.44</v>
      </c>
      <c r="M141" s="3" t="n">
        <v>-10.76</v>
      </c>
      <c r="N141" s="3" t="n">
        <v>-0.12</v>
      </c>
      <c r="O141" s="3" t="n">
        <v>172.45</v>
      </c>
      <c r="P141" s="3" t="n">
        <v>1.02</v>
      </c>
      <c r="Q141" s="3"/>
    </row>
    <row r="142" customFormat="false" ht="15" hidden="false" customHeight="false" outlineLevel="0" collapsed="false">
      <c r="A142" s="3" t="s">
        <v>260</v>
      </c>
      <c r="B142" s="3" t="s">
        <v>261</v>
      </c>
      <c r="C142" s="3" t="n">
        <v>1</v>
      </c>
      <c r="D142" s="3" t="s">
        <v>444</v>
      </c>
      <c r="E142" s="3" t="n">
        <v>104.34</v>
      </c>
      <c r="F142" s="3" t="s">
        <v>444</v>
      </c>
      <c r="G142" s="3" t="n">
        <v>104.34</v>
      </c>
      <c r="H142" s="3" t="n">
        <v>1</v>
      </c>
      <c r="I142" s="3" t="s">
        <v>65</v>
      </c>
      <c r="J142" s="3" t="n">
        <v>0.52</v>
      </c>
      <c r="K142" s="3" t="n">
        <v>-2.69</v>
      </c>
      <c r="L142" s="3" t="n">
        <v>-4.27</v>
      </c>
      <c r="M142" s="3" t="n">
        <v>-10.59</v>
      </c>
      <c r="N142" s="3" t="n">
        <v>-0.66</v>
      </c>
      <c r="O142" s="3" t="n">
        <v>94.75</v>
      </c>
      <c r="P142" s="3" t="n">
        <v>-9.19</v>
      </c>
      <c r="Q142" s="3"/>
    </row>
    <row r="143" customFormat="false" ht="15" hidden="false" customHeight="false" outlineLevel="0" collapsed="false">
      <c r="A143" s="3" t="s">
        <v>171</v>
      </c>
      <c r="B143" s="3" t="s">
        <v>172</v>
      </c>
      <c r="C143" s="3" t="n">
        <v>2</v>
      </c>
      <c r="D143" s="3" t="s">
        <v>444</v>
      </c>
      <c r="E143" s="3" t="n">
        <v>852.1</v>
      </c>
      <c r="F143" s="3" t="s">
        <v>444</v>
      </c>
      <c r="G143" s="3" t="n">
        <v>852.1</v>
      </c>
      <c r="H143" s="3" t="n">
        <v>1</v>
      </c>
      <c r="I143" s="3" t="s">
        <v>65</v>
      </c>
      <c r="J143" s="3" t="n">
        <v>-0.5</v>
      </c>
      <c r="K143" s="3" t="n">
        <v>-0.01</v>
      </c>
      <c r="L143" s="3" t="n">
        <v>7.99</v>
      </c>
      <c r="M143" s="3" t="n">
        <v>13.81</v>
      </c>
      <c r="N143" s="3" t="n">
        <v>19.89</v>
      </c>
      <c r="O143" s="3" t="n">
        <v>955.9</v>
      </c>
      <c r="P143" s="3" t="n">
        <v>12.18</v>
      </c>
      <c r="Q143" s="3"/>
    </row>
    <row r="144" customFormat="false" ht="15" hidden="false" customHeight="false" outlineLevel="0" collapsed="false">
      <c r="A144" s="3" t="s">
        <v>136</v>
      </c>
      <c r="B144" s="3" t="s">
        <v>137</v>
      </c>
      <c r="C144" s="3" t="n">
        <v>4</v>
      </c>
      <c r="D144" s="3" t="s">
        <v>444</v>
      </c>
      <c r="E144" s="3" t="n">
        <v>163.67</v>
      </c>
      <c r="F144" s="3" t="s">
        <v>444</v>
      </c>
      <c r="G144" s="3" t="n">
        <v>163.67</v>
      </c>
      <c r="H144" s="3" t="n">
        <v>1</v>
      </c>
      <c r="I144" s="3" t="s">
        <v>65</v>
      </c>
      <c r="J144" s="3" t="n">
        <v>2.98</v>
      </c>
      <c r="K144" s="3" t="n">
        <v>-0.65</v>
      </c>
      <c r="L144" s="3" t="n">
        <v>-3.32</v>
      </c>
      <c r="M144" s="3" t="n">
        <v>-2.14</v>
      </c>
      <c r="N144" s="3" t="n">
        <v>-13.89</v>
      </c>
      <c r="O144" s="3" t="n">
        <v>133.32</v>
      </c>
      <c r="P144" s="3" t="n">
        <v>-18.54</v>
      </c>
      <c r="Q144" s="3"/>
    </row>
    <row r="145" customFormat="false" ht="15" hidden="false" customHeight="false" outlineLevel="0" collapsed="false">
      <c r="A145" s="3" t="s">
        <v>152</v>
      </c>
      <c r="B145" s="3" t="s">
        <v>153</v>
      </c>
      <c r="C145" s="3" t="n">
        <v>1</v>
      </c>
      <c r="D145" s="3" t="s">
        <v>444</v>
      </c>
      <c r="E145" s="3" t="n">
        <v>1091.1</v>
      </c>
      <c r="F145" s="3" t="s">
        <v>444</v>
      </c>
      <c r="G145" s="3" t="n">
        <v>1091.1</v>
      </c>
      <c r="H145" s="3" t="n">
        <v>1</v>
      </c>
      <c r="I145" s="3" t="s">
        <v>65</v>
      </c>
      <c r="J145" s="3" t="n">
        <v>-0.01</v>
      </c>
      <c r="K145" s="3" t="n">
        <v>-0.08</v>
      </c>
      <c r="L145" s="3" t="n">
        <v>-1.22</v>
      </c>
      <c r="M145" s="3" t="n">
        <v>-20.35</v>
      </c>
      <c r="N145" s="3" t="n">
        <v>-17.58</v>
      </c>
      <c r="O145" s="3" t="n">
        <v>1117.1</v>
      </c>
      <c r="P145" s="3" t="n">
        <v>2.38</v>
      </c>
      <c r="Q145" s="3"/>
    </row>
    <row r="146" customFormat="false" ht="15" hidden="false" customHeight="false" outlineLevel="0" collapsed="false">
      <c r="A146" s="3" t="s">
        <v>139</v>
      </c>
      <c r="B146" s="3" t="s">
        <v>140</v>
      </c>
      <c r="C146" s="3" t="n">
        <v>2</v>
      </c>
      <c r="D146" s="3" t="s">
        <v>444</v>
      </c>
      <c r="E146" s="3" t="n">
        <v>2178.8</v>
      </c>
      <c r="F146" s="3" t="s">
        <v>444</v>
      </c>
      <c r="G146" s="3" t="n">
        <v>2178.8</v>
      </c>
      <c r="H146" s="3" t="n">
        <v>1</v>
      </c>
      <c r="I146" s="3" t="s">
        <v>65</v>
      </c>
      <c r="J146" s="3" t="n">
        <v>-1.73</v>
      </c>
      <c r="K146" s="3" t="n">
        <v>-0.31</v>
      </c>
      <c r="L146" s="3" t="n">
        <v>2.09</v>
      </c>
      <c r="M146" s="3" t="n">
        <v>1.34</v>
      </c>
      <c r="N146" s="3" t="n">
        <v>9.28</v>
      </c>
      <c r="O146" s="3" t="n">
        <v>2435.6</v>
      </c>
      <c r="P146" s="3" t="n">
        <v>11.79</v>
      </c>
      <c r="Q146" s="3"/>
    </row>
    <row r="147" customFormat="false" ht="15" hidden="false" customHeight="false" outlineLevel="0" collapsed="false">
      <c r="A147" s="3" t="s">
        <v>114</v>
      </c>
      <c r="B147" s="3" t="s">
        <v>115</v>
      </c>
      <c r="C147" s="3" t="n">
        <v>3</v>
      </c>
      <c r="D147" s="3" t="s">
        <v>444</v>
      </c>
      <c r="E147" s="3" t="n">
        <v>77.94</v>
      </c>
      <c r="F147" s="3" t="s">
        <v>459</v>
      </c>
      <c r="G147" s="3" t="n">
        <v>78.55</v>
      </c>
      <c r="H147" s="3" t="n">
        <v>2</v>
      </c>
      <c r="I147" s="3" t="s">
        <v>70</v>
      </c>
      <c r="J147" s="3" t="n">
        <v>0.78</v>
      </c>
      <c r="K147" s="3" t="n">
        <v>-2.1</v>
      </c>
      <c r="L147" s="3" t="n">
        <v>4.9</v>
      </c>
      <c r="M147" s="3" t="n">
        <v>3.76</v>
      </c>
      <c r="N147" s="3" t="n">
        <v>16.67</v>
      </c>
      <c r="O147" s="3" t="n">
        <v>77.43</v>
      </c>
      <c r="P147" s="3" t="n">
        <v>-0.65</v>
      </c>
      <c r="Q147" s="3"/>
    </row>
    <row r="148" customFormat="false" ht="15" hidden="false" customHeight="false" outlineLevel="0" collapsed="false">
      <c r="A148" s="3" t="s">
        <v>453</v>
      </c>
      <c r="B148" s="3" t="s">
        <v>454</v>
      </c>
      <c r="C148" s="3" t="n">
        <v>0</v>
      </c>
      <c r="D148" s="3" t="s">
        <v>444</v>
      </c>
      <c r="E148" s="3" t="n">
        <v>492.5</v>
      </c>
      <c r="F148" s="3" t="s">
        <v>444</v>
      </c>
      <c r="G148" s="3" t="n">
        <v>492.5</v>
      </c>
      <c r="H148" s="3" t="n">
        <v>1</v>
      </c>
      <c r="I148" s="3" t="s">
        <v>65</v>
      </c>
      <c r="J148" s="3" t="n">
        <v>-1.14</v>
      </c>
      <c r="K148" s="3" t="n">
        <v>0.87</v>
      </c>
      <c r="L148" s="3" t="n">
        <v>-7.24</v>
      </c>
      <c r="M148" s="3" t="n">
        <v>3.61</v>
      </c>
      <c r="N148" s="3" t="n">
        <v>20.42</v>
      </c>
      <c r="O148" s="3" t="n">
        <v>807.9</v>
      </c>
      <c r="P148" s="3" t="n">
        <v>64.04</v>
      </c>
      <c r="Q148" s="3"/>
    </row>
    <row r="149" customFormat="false" ht="15" hidden="false" customHeight="false" outlineLevel="0" collapsed="false">
      <c r="A149" s="3" t="s">
        <v>372</v>
      </c>
      <c r="B149" s="3" t="s">
        <v>373</v>
      </c>
      <c r="C149" s="3" t="n">
        <v>1</v>
      </c>
      <c r="D149" s="3" t="s">
        <v>444</v>
      </c>
      <c r="E149" s="3" t="n">
        <v>647</v>
      </c>
      <c r="F149" s="3" t="s">
        <v>444</v>
      </c>
      <c r="G149" s="3" t="n">
        <v>647</v>
      </c>
      <c r="H149" s="3" t="n">
        <v>1</v>
      </c>
      <c r="I149" s="3" t="s">
        <v>65</v>
      </c>
      <c r="J149" s="3" t="n">
        <v>2.06</v>
      </c>
      <c r="K149" s="3" t="n">
        <v>1.11</v>
      </c>
      <c r="L149" s="3" t="n">
        <v>-2.04</v>
      </c>
      <c r="M149" s="3" t="n">
        <v>-37.54</v>
      </c>
      <c r="N149" s="3" t="n">
        <v>-29.13</v>
      </c>
      <c r="O149" s="3" t="n">
        <v>376</v>
      </c>
      <c r="P149" s="3" t="n">
        <v>-41.89</v>
      </c>
      <c r="Q149" s="3"/>
    </row>
    <row r="150" customFormat="false" ht="15" hidden="false" customHeight="false" outlineLevel="0" collapsed="false">
      <c r="A150" s="3" t="s">
        <v>178</v>
      </c>
      <c r="B150" s="3" t="s">
        <v>179</v>
      </c>
      <c r="C150" s="3" t="n">
        <v>1</v>
      </c>
      <c r="D150" s="3" t="s">
        <v>444</v>
      </c>
      <c r="E150" s="3" t="n">
        <v>381.95</v>
      </c>
      <c r="F150" s="3" t="s">
        <v>444</v>
      </c>
      <c r="G150" s="3" t="n">
        <v>381.95</v>
      </c>
      <c r="H150" s="3" t="n">
        <v>1</v>
      </c>
      <c r="I150" s="3" t="s">
        <v>65</v>
      </c>
      <c r="J150" s="3" t="n">
        <v>-0.08</v>
      </c>
      <c r="K150" s="3" t="n">
        <v>-0.37</v>
      </c>
      <c r="L150" s="3" t="n">
        <v>-2.97</v>
      </c>
      <c r="M150" s="3" t="n">
        <v>5.29</v>
      </c>
      <c r="N150" s="3" t="n">
        <v>3.04</v>
      </c>
      <c r="O150" s="3" t="n">
        <v>361.9</v>
      </c>
      <c r="P150" s="3" t="n">
        <v>-5.25</v>
      </c>
      <c r="Q150" s="3"/>
    </row>
    <row r="151" customFormat="false" ht="15" hidden="false" customHeight="false" outlineLevel="0" collapsed="false">
      <c r="A151" s="3" t="s">
        <v>126</v>
      </c>
      <c r="B151" s="3" t="s">
        <v>127</v>
      </c>
      <c r="C151" s="3" t="n">
        <v>1</v>
      </c>
      <c r="D151" s="3" t="s">
        <v>444</v>
      </c>
      <c r="E151" s="3" t="n">
        <v>543.6</v>
      </c>
      <c r="F151" s="3" t="s">
        <v>444</v>
      </c>
      <c r="G151" s="3" t="n">
        <v>543.6</v>
      </c>
      <c r="H151" s="3" t="n">
        <v>1</v>
      </c>
      <c r="I151" s="3" t="s">
        <v>65</v>
      </c>
      <c r="J151" s="3" t="n">
        <v>1.07</v>
      </c>
      <c r="K151" s="3" t="n">
        <v>6.99</v>
      </c>
      <c r="L151" s="3" t="n">
        <v>15.41</v>
      </c>
      <c r="M151" s="3" t="n">
        <v>32.38</v>
      </c>
      <c r="N151" s="3" t="n">
        <v>-43.04</v>
      </c>
      <c r="O151" s="3" t="n">
        <v>259</v>
      </c>
      <c r="P151" s="3" t="n">
        <v>-52.35</v>
      </c>
      <c r="Q151" s="3" t="s">
        <v>2390</v>
      </c>
    </row>
    <row r="152" customFormat="false" ht="15" hidden="false" customHeight="false" outlineLevel="0" collapsed="false">
      <c r="A152" s="3" t="s">
        <v>237</v>
      </c>
      <c r="B152" s="3" t="s">
        <v>238</v>
      </c>
      <c r="C152" s="3" t="n">
        <v>1</v>
      </c>
      <c r="D152" s="3" t="s">
        <v>459</v>
      </c>
      <c r="E152" s="3" t="n">
        <v>1789.4</v>
      </c>
      <c r="F152" s="3" t="s">
        <v>459</v>
      </c>
      <c r="G152" s="3" t="n">
        <v>1789.4</v>
      </c>
      <c r="H152" s="3" t="n">
        <v>1</v>
      </c>
      <c r="I152" s="3" t="s">
        <v>65</v>
      </c>
      <c r="J152" s="3" t="n">
        <v>-0.47</v>
      </c>
      <c r="K152" s="3" t="n">
        <v>3.22</v>
      </c>
      <c r="L152" s="3" t="n">
        <v>5.88</v>
      </c>
      <c r="M152" s="3" t="n">
        <v>-12.51</v>
      </c>
      <c r="N152" s="3" t="n">
        <v>3.21</v>
      </c>
      <c r="O152" s="3" t="n">
        <v>1952.2</v>
      </c>
      <c r="P152" s="3" t="n">
        <v>9.1</v>
      </c>
      <c r="Q152" s="3"/>
    </row>
    <row r="153" customFormat="false" ht="15" hidden="false" customHeight="false" outlineLevel="0" collapsed="false">
      <c r="A153" s="3" t="s">
        <v>58</v>
      </c>
      <c r="B153" s="3" t="s">
        <v>59</v>
      </c>
      <c r="C153" s="3" t="n">
        <v>1</v>
      </c>
      <c r="D153" s="3" t="s">
        <v>462</v>
      </c>
      <c r="E153" s="3" t="n">
        <v>1764.5</v>
      </c>
      <c r="F153" s="3" t="s">
        <v>462</v>
      </c>
      <c r="G153" s="3" t="n">
        <v>1764.5</v>
      </c>
      <c r="H153" s="3" t="n">
        <v>1</v>
      </c>
      <c r="I153" s="3" t="s">
        <v>65</v>
      </c>
      <c r="J153" s="3" t="n">
        <v>1.77</v>
      </c>
      <c r="K153" s="3" t="n">
        <v>5.33</v>
      </c>
      <c r="L153" s="3" t="n">
        <v>9.99</v>
      </c>
      <c r="M153" s="3" t="n">
        <v>11.4</v>
      </c>
      <c r="N153" s="3" t="n">
        <v>5.11</v>
      </c>
      <c r="O153" s="3" t="n">
        <v>2197</v>
      </c>
      <c r="P153" s="3" t="n">
        <v>24.51</v>
      </c>
      <c r="Q153" s="3"/>
    </row>
    <row r="154" customFormat="false" ht="15" hidden="false" customHeight="false" outlineLevel="0" collapsed="false">
      <c r="A154" s="3" t="s">
        <v>396</v>
      </c>
      <c r="B154" s="3" t="s">
        <v>397</v>
      </c>
      <c r="C154" s="3" t="n">
        <v>2</v>
      </c>
      <c r="D154" s="3" t="s">
        <v>462</v>
      </c>
      <c r="E154" s="3" t="n">
        <v>990.3</v>
      </c>
      <c r="F154" s="3" t="s">
        <v>462</v>
      </c>
      <c r="G154" s="3" t="n">
        <v>990.3</v>
      </c>
      <c r="H154" s="3" t="n">
        <v>1</v>
      </c>
      <c r="I154" s="3" t="s">
        <v>65</v>
      </c>
      <c r="J154" s="3" t="n">
        <v>-0.27</v>
      </c>
      <c r="K154" s="3" t="n">
        <v>-1.64</v>
      </c>
      <c r="L154" s="3" t="n">
        <v>3.54</v>
      </c>
      <c r="M154" s="3" t="n">
        <v>-8.91</v>
      </c>
      <c r="N154" s="3" t="n">
        <v>3.08</v>
      </c>
      <c r="O154" s="3" t="n">
        <v>995.3</v>
      </c>
      <c r="P154" s="3" t="n">
        <v>0.5</v>
      </c>
      <c r="Q154" s="3"/>
    </row>
    <row r="155" customFormat="false" ht="15" hidden="false" customHeight="false" outlineLevel="0" collapsed="false">
      <c r="A155" s="3" t="s">
        <v>136</v>
      </c>
      <c r="B155" s="3" t="s">
        <v>137</v>
      </c>
      <c r="C155" s="3" t="n">
        <v>5</v>
      </c>
      <c r="D155" s="3" t="s">
        <v>462</v>
      </c>
      <c r="E155" s="3" t="n">
        <v>168.16</v>
      </c>
      <c r="F155" s="3" t="s">
        <v>462</v>
      </c>
      <c r="G155" s="3" t="n">
        <v>168.16</v>
      </c>
      <c r="H155" s="3" t="n">
        <v>1</v>
      </c>
      <c r="I155" s="3" t="s">
        <v>65</v>
      </c>
      <c r="J155" s="3" t="n">
        <v>-3.81</v>
      </c>
      <c r="K155" s="3" t="n">
        <v>-4.16</v>
      </c>
      <c r="L155" s="3" t="n">
        <v>-4.07</v>
      </c>
      <c r="M155" s="3" t="n">
        <v>-12.77</v>
      </c>
      <c r="N155" s="3" t="n">
        <v>-13.52</v>
      </c>
      <c r="O155" s="3" t="n">
        <v>133.32</v>
      </c>
      <c r="P155" s="3" t="n">
        <v>-20.72</v>
      </c>
      <c r="Q155" s="3"/>
    </row>
    <row r="156" customFormat="false" ht="15" hidden="false" customHeight="false" outlineLevel="0" collapsed="false">
      <c r="A156" s="3" t="s">
        <v>190</v>
      </c>
      <c r="B156" s="3" t="s">
        <v>60</v>
      </c>
      <c r="C156" s="3" t="n">
        <v>2</v>
      </c>
      <c r="D156" s="3" t="s">
        <v>462</v>
      </c>
      <c r="E156" s="3" t="n">
        <v>6252.5</v>
      </c>
      <c r="F156" s="3" t="s">
        <v>462</v>
      </c>
      <c r="G156" s="3" t="n">
        <v>6252.5</v>
      </c>
      <c r="H156" s="3" t="n">
        <v>1</v>
      </c>
      <c r="I156" s="3" t="s">
        <v>65</v>
      </c>
      <c r="J156" s="3" t="n">
        <v>-0.12</v>
      </c>
      <c r="K156" s="3" t="n">
        <v>-1.43</v>
      </c>
      <c r="L156" s="3" t="n">
        <v>0.89</v>
      </c>
      <c r="M156" s="3" t="s">
        <v>2391</v>
      </c>
      <c r="N156" s="3" t="s">
        <v>2391</v>
      </c>
      <c r="O156" s="3" t="s">
        <v>60</v>
      </c>
      <c r="P156" s="3" t="s">
        <v>60</v>
      </c>
      <c r="Q156" s="3"/>
    </row>
    <row r="157" customFormat="false" ht="15" hidden="false" customHeight="false" outlineLevel="0" collapsed="false">
      <c r="A157" s="3" t="s">
        <v>275</v>
      </c>
      <c r="B157" s="3" t="s">
        <v>276</v>
      </c>
      <c r="C157" s="3" t="n">
        <v>1</v>
      </c>
      <c r="D157" s="3" t="s">
        <v>462</v>
      </c>
      <c r="E157" s="3" t="n">
        <v>543.9</v>
      </c>
      <c r="F157" s="3" t="s">
        <v>462</v>
      </c>
      <c r="G157" s="3" t="n">
        <v>543.9</v>
      </c>
      <c r="H157" s="3" t="n">
        <v>1</v>
      </c>
      <c r="I157" s="3" t="s">
        <v>65</v>
      </c>
      <c r="J157" s="3" t="n">
        <v>1.18</v>
      </c>
      <c r="K157" s="3" t="n">
        <v>0.61</v>
      </c>
      <c r="L157" s="3" t="n">
        <v>-4.1</v>
      </c>
      <c r="M157" s="3" t="n">
        <v>-10.56</v>
      </c>
      <c r="N157" s="3" t="n">
        <v>-22.96</v>
      </c>
      <c r="O157" s="3" t="n">
        <v>390.8</v>
      </c>
      <c r="P157" s="3" t="n">
        <v>-28.15</v>
      </c>
      <c r="Q157" s="3"/>
    </row>
    <row r="158" customFormat="false" ht="15" hidden="false" customHeight="false" outlineLevel="0" collapsed="false">
      <c r="A158" s="3" t="s">
        <v>303</v>
      </c>
      <c r="B158" s="3" t="s">
        <v>304</v>
      </c>
      <c r="C158" s="3" t="n">
        <v>2</v>
      </c>
      <c r="D158" s="3" t="s">
        <v>462</v>
      </c>
      <c r="E158" s="3" t="n">
        <v>864.2</v>
      </c>
      <c r="F158" s="3" t="s">
        <v>462</v>
      </c>
      <c r="G158" s="3" t="n">
        <v>864.2</v>
      </c>
      <c r="H158" s="3" t="n">
        <v>1</v>
      </c>
      <c r="I158" s="3" t="s">
        <v>65</v>
      </c>
      <c r="J158" s="3" t="n">
        <v>0.61</v>
      </c>
      <c r="K158" s="3" t="n">
        <v>12.67</v>
      </c>
      <c r="L158" s="3" t="n">
        <v>15.19</v>
      </c>
      <c r="M158" s="3" t="n">
        <v>16.25</v>
      </c>
      <c r="N158" s="3" t="n">
        <v>16.58</v>
      </c>
      <c r="O158" s="3" t="n">
        <v>976.3</v>
      </c>
      <c r="P158" s="3" t="n">
        <v>12.97</v>
      </c>
      <c r="Q158" s="3"/>
    </row>
    <row r="159" customFormat="false" ht="15" hidden="false" customHeight="false" outlineLevel="0" collapsed="false">
      <c r="A159" s="3" t="s">
        <v>364</v>
      </c>
      <c r="B159" s="3" t="s">
        <v>365</v>
      </c>
      <c r="C159" s="3" t="n">
        <v>2</v>
      </c>
      <c r="D159" s="3" t="s">
        <v>469</v>
      </c>
      <c r="E159" s="3" t="n">
        <v>645.65</v>
      </c>
      <c r="F159" s="3" t="s">
        <v>469</v>
      </c>
      <c r="G159" s="3" t="n">
        <v>645.65</v>
      </c>
      <c r="H159" s="3" t="n">
        <v>1</v>
      </c>
      <c r="I159" s="3" t="s">
        <v>65</v>
      </c>
      <c r="J159" s="3" t="n">
        <v>0.74</v>
      </c>
      <c r="K159" s="3" t="n">
        <v>0.67</v>
      </c>
      <c r="L159" s="3" t="n">
        <v>2.37</v>
      </c>
      <c r="M159" s="3" t="n">
        <v>-8.82</v>
      </c>
      <c r="N159" s="3" t="n">
        <v>-19.14</v>
      </c>
      <c r="O159" s="3" t="n">
        <v>458.7</v>
      </c>
      <c r="P159" s="3" t="n">
        <v>-28.96</v>
      </c>
      <c r="Q159" s="3"/>
    </row>
    <row r="160" customFormat="false" ht="15" hidden="false" customHeight="false" outlineLevel="0" collapsed="false">
      <c r="A160" s="3" t="s">
        <v>312</v>
      </c>
      <c r="B160" s="3" t="s">
        <v>313</v>
      </c>
      <c r="C160" s="3" t="n">
        <v>1</v>
      </c>
      <c r="D160" s="3" t="s">
        <v>469</v>
      </c>
      <c r="E160" s="3" t="n">
        <v>847.4</v>
      </c>
      <c r="F160" s="3" t="s">
        <v>469</v>
      </c>
      <c r="G160" s="3" t="n">
        <v>847.4</v>
      </c>
      <c r="H160" s="3" t="n">
        <v>1</v>
      </c>
      <c r="I160" s="3" t="s">
        <v>65</v>
      </c>
      <c r="J160" s="3" t="n">
        <v>0.54</v>
      </c>
      <c r="K160" s="3" t="n">
        <v>0.28</v>
      </c>
      <c r="L160" s="3" t="n">
        <v>-4.44</v>
      </c>
      <c r="M160" s="3" t="n">
        <v>-7.26</v>
      </c>
      <c r="N160" s="3" t="n">
        <v>-49.26</v>
      </c>
      <c r="O160" s="3" t="n">
        <v>400.65</v>
      </c>
      <c r="P160" s="3" t="n">
        <v>-52.72</v>
      </c>
      <c r="Q160" s="3" t="s">
        <v>2390</v>
      </c>
    </row>
    <row r="161" customFormat="false" ht="15" hidden="false" customHeight="false" outlineLevel="0" collapsed="false">
      <c r="A161" s="3" t="s">
        <v>342</v>
      </c>
      <c r="B161" s="3" t="s">
        <v>343</v>
      </c>
      <c r="C161" s="3" t="n">
        <v>2</v>
      </c>
      <c r="D161" s="3" t="s">
        <v>472</v>
      </c>
      <c r="E161" s="3" t="n">
        <v>2799.9</v>
      </c>
      <c r="F161" s="3" t="s">
        <v>472</v>
      </c>
      <c r="G161" s="3" t="n">
        <v>2799.9</v>
      </c>
      <c r="H161" s="3" t="n">
        <v>1</v>
      </c>
      <c r="I161" s="3" t="s">
        <v>65</v>
      </c>
      <c r="J161" s="3" t="n">
        <v>0.28</v>
      </c>
      <c r="K161" s="3" t="n">
        <v>-0.88</v>
      </c>
      <c r="L161" s="3" t="n">
        <v>-4.44</v>
      </c>
      <c r="M161" s="3" t="n">
        <v>-21.93</v>
      </c>
      <c r="N161" s="3" t="n">
        <v>-2.39</v>
      </c>
      <c r="O161" s="3" t="n">
        <v>2420</v>
      </c>
      <c r="P161" s="3" t="n">
        <v>-13.57</v>
      </c>
      <c r="Q161" s="3"/>
    </row>
    <row r="162" customFormat="false" ht="15" hidden="false" customHeight="false" outlineLevel="0" collapsed="false">
      <c r="A162" s="3" t="s">
        <v>96</v>
      </c>
      <c r="B162" s="3" t="s">
        <v>97</v>
      </c>
      <c r="C162" s="3" t="n">
        <v>2</v>
      </c>
      <c r="D162" s="3" t="s">
        <v>472</v>
      </c>
      <c r="E162" s="3" t="n">
        <v>405.95</v>
      </c>
      <c r="F162" s="3" t="s">
        <v>472</v>
      </c>
      <c r="G162" s="3" t="n">
        <v>405.95</v>
      </c>
      <c r="H162" s="3" t="n">
        <v>1</v>
      </c>
      <c r="I162" s="3" t="s">
        <v>65</v>
      </c>
      <c r="J162" s="3" t="n">
        <v>0.84</v>
      </c>
      <c r="K162" s="3" t="n">
        <v>-0.18</v>
      </c>
      <c r="L162" s="3" t="n">
        <v>-5.2</v>
      </c>
      <c r="M162" s="3" t="n">
        <v>1.84</v>
      </c>
      <c r="N162" s="3" t="n">
        <v>13.59</v>
      </c>
      <c r="O162" s="3" t="n">
        <v>407.5</v>
      </c>
      <c r="P162" s="3" t="n">
        <v>0.38</v>
      </c>
      <c r="Q162" s="3"/>
    </row>
    <row r="163" customFormat="false" ht="15" hidden="false" customHeight="false" outlineLevel="0" collapsed="false">
      <c r="A163" s="3" t="s">
        <v>346</v>
      </c>
      <c r="B163" s="3" t="s">
        <v>347</v>
      </c>
      <c r="C163" s="3" t="n">
        <v>1</v>
      </c>
      <c r="D163" s="3" t="s">
        <v>472</v>
      </c>
      <c r="E163" s="3" t="n">
        <v>292.65</v>
      </c>
      <c r="F163" s="3" t="s">
        <v>472</v>
      </c>
      <c r="G163" s="3" t="n">
        <v>292.65</v>
      </c>
      <c r="H163" s="3" t="n">
        <v>1</v>
      </c>
      <c r="I163" s="3" t="s">
        <v>65</v>
      </c>
      <c r="J163" s="3" t="n">
        <v>0.5</v>
      </c>
      <c r="K163" s="3" t="n">
        <v>6.1</v>
      </c>
      <c r="L163" s="3" t="n">
        <v>3.14</v>
      </c>
      <c r="M163" s="3" t="n">
        <v>-9.74</v>
      </c>
      <c r="N163" s="3" t="n">
        <v>8.88</v>
      </c>
      <c r="O163" s="3" t="n">
        <v>313</v>
      </c>
      <c r="P163" s="3" t="n">
        <v>6.95</v>
      </c>
      <c r="Q163" s="3"/>
    </row>
    <row r="164" customFormat="false" ht="15" hidden="false" customHeight="false" outlineLevel="0" collapsed="false">
      <c r="A164" s="3" t="s">
        <v>453</v>
      </c>
      <c r="B164" s="3" t="s">
        <v>454</v>
      </c>
      <c r="C164" s="3" t="n">
        <v>1</v>
      </c>
      <c r="D164" s="3" t="s">
        <v>472</v>
      </c>
      <c r="E164" s="3" t="n">
        <v>496.8</v>
      </c>
      <c r="F164" s="3" t="s">
        <v>472</v>
      </c>
      <c r="G164" s="3" t="n">
        <v>496.8</v>
      </c>
      <c r="H164" s="3" t="n">
        <v>1</v>
      </c>
      <c r="I164" s="3" t="s">
        <v>65</v>
      </c>
      <c r="J164" s="3" t="n">
        <v>-0.67</v>
      </c>
      <c r="K164" s="3" t="n">
        <v>-3.9</v>
      </c>
      <c r="L164" s="3" t="n">
        <v>-10.24</v>
      </c>
      <c r="M164" s="3" t="n">
        <v>0.38</v>
      </c>
      <c r="N164" s="3" t="n">
        <v>23.55</v>
      </c>
      <c r="O164" s="3" t="n">
        <v>807.9</v>
      </c>
      <c r="P164" s="3" t="n">
        <v>62.62</v>
      </c>
      <c r="Q164" s="3"/>
    </row>
    <row r="165" customFormat="false" ht="15" hidden="false" customHeight="false" outlineLevel="0" collapsed="false">
      <c r="A165" s="3" t="s">
        <v>263</v>
      </c>
      <c r="B165" s="3" t="s">
        <v>264</v>
      </c>
      <c r="C165" s="3" t="n">
        <v>1</v>
      </c>
      <c r="D165" s="3" t="s">
        <v>477</v>
      </c>
      <c r="E165" s="3" t="n">
        <v>681.65</v>
      </c>
      <c r="F165" s="3" t="s">
        <v>477</v>
      </c>
      <c r="G165" s="3" t="n">
        <v>681.65</v>
      </c>
      <c r="H165" s="3" t="n">
        <v>1</v>
      </c>
      <c r="I165" s="3" t="s">
        <v>65</v>
      </c>
      <c r="J165" s="3" t="n">
        <v>-0.12</v>
      </c>
      <c r="K165" s="3" t="n">
        <v>0.12</v>
      </c>
      <c r="L165" s="3" t="n">
        <v>-9.97</v>
      </c>
      <c r="M165" s="3" t="n">
        <v>-23.3</v>
      </c>
      <c r="N165" s="3" t="n">
        <v>-23.46</v>
      </c>
      <c r="O165" s="3" t="n">
        <v>453.5</v>
      </c>
      <c r="P165" s="3" t="n">
        <v>-33.47</v>
      </c>
      <c r="Q165" s="3"/>
    </row>
    <row r="166" customFormat="false" ht="15" hidden="false" customHeight="false" outlineLevel="0" collapsed="false">
      <c r="A166" s="3" t="s">
        <v>480</v>
      </c>
      <c r="B166" s="3" t="s">
        <v>481</v>
      </c>
      <c r="C166" s="3" t="n">
        <v>0</v>
      </c>
      <c r="D166" s="3" t="s">
        <v>479</v>
      </c>
      <c r="E166" s="3" t="n">
        <v>16647</v>
      </c>
      <c r="F166" s="3" t="s">
        <v>479</v>
      </c>
      <c r="G166" s="3" t="n">
        <v>16647</v>
      </c>
      <c r="H166" s="3" t="n">
        <v>1</v>
      </c>
      <c r="I166" s="3" t="s">
        <v>65</v>
      </c>
      <c r="J166" s="3" t="n">
        <v>0.3</v>
      </c>
      <c r="K166" s="3" t="n">
        <v>3.87</v>
      </c>
      <c r="L166" s="3" t="n">
        <v>-12.89</v>
      </c>
      <c r="M166" s="3" t="n">
        <v>-26.08</v>
      </c>
      <c r="N166" s="3" t="n">
        <v>-15.21</v>
      </c>
      <c r="O166" s="3" t="n">
        <v>12008</v>
      </c>
      <c r="P166" s="3" t="n">
        <v>-27.87</v>
      </c>
      <c r="Q166" s="3"/>
    </row>
    <row r="167" customFormat="false" ht="15" hidden="false" customHeight="false" outlineLevel="0" collapsed="false">
      <c r="A167" s="3" t="s">
        <v>484</v>
      </c>
      <c r="B167" s="3" t="s">
        <v>485</v>
      </c>
      <c r="C167" s="3" t="n">
        <v>0</v>
      </c>
      <c r="D167" s="3" t="s">
        <v>483</v>
      </c>
      <c r="E167" s="3" t="n">
        <v>357.7</v>
      </c>
      <c r="F167" s="3" t="s">
        <v>483</v>
      </c>
      <c r="G167" s="3" t="n">
        <v>357.7</v>
      </c>
      <c r="H167" s="3" t="n">
        <v>1</v>
      </c>
      <c r="I167" s="3" t="s">
        <v>65</v>
      </c>
      <c r="J167" s="3" t="n">
        <v>1.19</v>
      </c>
      <c r="K167" s="3" t="n">
        <v>0.95</v>
      </c>
      <c r="L167" s="3" t="n">
        <v>-5</v>
      </c>
      <c r="M167" s="3" t="n">
        <v>-15.32</v>
      </c>
      <c r="N167" s="3" t="n">
        <v>9.91</v>
      </c>
      <c r="O167" s="3" t="n">
        <v>382.7</v>
      </c>
      <c r="P167" s="3" t="n">
        <v>6.99</v>
      </c>
      <c r="Q167" s="3"/>
    </row>
    <row r="168" customFormat="false" ht="15" hidden="false" customHeight="false" outlineLevel="0" collapsed="false">
      <c r="A168" s="3" t="s">
        <v>487</v>
      </c>
      <c r="B168" s="3" t="s">
        <v>488</v>
      </c>
      <c r="C168" s="3" t="n">
        <v>0</v>
      </c>
      <c r="D168" s="3" t="s">
        <v>483</v>
      </c>
      <c r="E168" s="3" t="n">
        <v>11328</v>
      </c>
      <c r="F168" s="3" t="s">
        <v>483</v>
      </c>
      <c r="G168" s="3" t="n">
        <v>11328</v>
      </c>
      <c r="H168" s="3" t="n">
        <v>1</v>
      </c>
      <c r="I168" s="3" t="s">
        <v>65</v>
      </c>
      <c r="J168" s="3" t="n">
        <v>0.12</v>
      </c>
      <c r="K168" s="3" t="n">
        <v>-1.15</v>
      </c>
      <c r="L168" s="3" t="n">
        <v>-4.66</v>
      </c>
      <c r="M168" s="3" t="n">
        <v>-21.37</v>
      </c>
      <c r="N168" s="3" t="n">
        <v>-5.38</v>
      </c>
      <c r="O168" s="3" t="n">
        <v>10800</v>
      </c>
      <c r="P168" s="3" t="n">
        <v>-4.66</v>
      </c>
      <c r="Q168" s="3"/>
    </row>
    <row r="169" customFormat="false" ht="15" hidden="false" customHeight="false" outlineLevel="0" collapsed="false">
      <c r="A169" s="3" t="s">
        <v>490</v>
      </c>
      <c r="B169" s="3" t="s">
        <v>491</v>
      </c>
      <c r="C169" s="3" t="n">
        <v>0</v>
      </c>
      <c r="D169" s="3" t="s">
        <v>483</v>
      </c>
      <c r="E169" s="3" t="n">
        <v>384</v>
      </c>
      <c r="F169" s="3" t="s">
        <v>483</v>
      </c>
      <c r="G169" s="3" t="n">
        <v>384</v>
      </c>
      <c r="H169" s="3" t="n">
        <v>1</v>
      </c>
      <c r="I169" s="3" t="s">
        <v>65</v>
      </c>
      <c r="J169" s="3" t="n">
        <v>-0.65</v>
      </c>
      <c r="K169" s="3" t="n">
        <v>-4.11</v>
      </c>
      <c r="L169" s="3" t="n">
        <v>-5.08</v>
      </c>
      <c r="M169" s="3" t="n">
        <v>-26.76</v>
      </c>
      <c r="N169" s="3" t="n">
        <v>-20.78</v>
      </c>
      <c r="O169" s="3" t="n">
        <v>302.25</v>
      </c>
      <c r="P169" s="3" t="n">
        <v>-21.29</v>
      </c>
      <c r="Q169" s="3"/>
    </row>
    <row r="170" customFormat="false" ht="15" hidden="false" customHeight="false" outlineLevel="0" collapsed="false">
      <c r="A170" s="3" t="s">
        <v>493</v>
      </c>
      <c r="B170" s="3" t="s">
        <v>494</v>
      </c>
      <c r="C170" s="3" t="n">
        <v>0</v>
      </c>
      <c r="D170" s="3" t="s">
        <v>483</v>
      </c>
      <c r="E170" s="3" t="n">
        <v>503.6</v>
      </c>
      <c r="F170" s="3" t="s">
        <v>483</v>
      </c>
      <c r="G170" s="3" t="n">
        <v>503.6</v>
      </c>
      <c r="H170" s="3" t="n">
        <v>1</v>
      </c>
      <c r="I170" s="3" t="s">
        <v>65</v>
      </c>
      <c r="J170" s="3" t="n">
        <v>-0.72</v>
      </c>
      <c r="K170" s="3" t="n">
        <v>3.44</v>
      </c>
      <c r="L170" s="3" t="n">
        <v>0.6</v>
      </c>
      <c r="M170" s="3" t="n">
        <v>-17.6</v>
      </c>
      <c r="N170" s="3" t="n">
        <v>-11.69</v>
      </c>
      <c r="O170" s="3" t="n">
        <v>385.75</v>
      </c>
      <c r="P170" s="3" t="n">
        <v>-23.4</v>
      </c>
      <c r="Q170" s="3"/>
    </row>
    <row r="171" customFormat="false" ht="15" hidden="false" customHeight="false" outlineLevel="0" collapsed="false">
      <c r="A171" s="3" t="s">
        <v>496</v>
      </c>
      <c r="B171" s="3" t="s">
        <v>497</v>
      </c>
      <c r="C171" s="3" t="n">
        <v>0</v>
      </c>
      <c r="D171" s="3" t="s">
        <v>483</v>
      </c>
      <c r="E171" s="3" t="n">
        <v>1222.2</v>
      </c>
      <c r="F171" s="3" t="s">
        <v>483</v>
      </c>
      <c r="G171" s="3" t="n">
        <v>1222.2</v>
      </c>
      <c r="H171" s="3" t="n">
        <v>1</v>
      </c>
      <c r="I171" s="3" t="s">
        <v>65</v>
      </c>
      <c r="J171" s="3" t="n">
        <v>1.73</v>
      </c>
      <c r="K171" s="3" t="n">
        <v>2.09</v>
      </c>
      <c r="L171" s="3" t="n">
        <v>-5.57</v>
      </c>
      <c r="M171" s="3" t="n">
        <v>-18.38</v>
      </c>
      <c r="N171" s="3" t="n">
        <v>-14.61</v>
      </c>
      <c r="O171" s="3" t="n">
        <v>868</v>
      </c>
      <c r="P171" s="3" t="n">
        <v>-28.98</v>
      </c>
      <c r="Q171" s="3"/>
    </row>
    <row r="172" customFormat="false" ht="15" hidden="false" customHeight="false" outlineLevel="0" collapsed="false">
      <c r="A172" s="3" t="s">
        <v>364</v>
      </c>
      <c r="B172" s="3" t="s">
        <v>365</v>
      </c>
      <c r="C172" s="3" t="n">
        <v>3</v>
      </c>
      <c r="D172" s="3" t="s">
        <v>483</v>
      </c>
      <c r="E172" s="3" t="n">
        <v>668.25</v>
      </c>
      <c r="F172" s="3" t="s">
        <v>483</v>
      </c>
      <c r="G172" s="3" t="n">
        <v>668.25</v>
      </c>
      <c r="H172" s="3" t="n">
        <v>1</v>
      </c>
      <c r="I172" s="3" t="s">
        <v>65</v>
      </c>
      <c r="J172" s="3" t="n">
        <v>0.91</v>
      </c>
      <c r="K172" s="3" t="n">
        <v>2.45</v>
      </c>
      <c r="L172" s="3" t="n">
        <v>-4.7</v>
      </c>
      <c r="M172" s="3" t="n">
        <v>-23.18</v>
      </c>
      <c r="N172" s="3" t="n">
        <v>-26.23</v>
      </c>
      <c r="O172" s="3" t="n">
        <v>458.7</v>
      </c>
      <c r="P172" s="3" t="n">
        <v>-31.36</v>
      </c>
      <c r="Q172" s="3"/>
    </row>
    <row r="173" customFormat="false" ht="15" hidden="false" customHeight="false" outlineLevel="0" collapsed="false">
      <c r="A173" s="3" t="s">
        <v>136</v>
      </c>
      <c r="B173" s="3" t="s">
        <v>137</v>
      </c>
      <c r="C173" s="3" t="n">
        <v>6</v>
      </c>
      <c r="D173" s="3" t="s">
        <v>483</v>
      </c>
      <c r="E173" s="3" t="n">
        <v>166.46</v>
      </c>
      <c r="F173" s="3" t="s">
        <v>483</v>
      </c>
      <c r="G173" s="3" t="n">
        <v>166.46</v>
      </c>
      <c r="H173" s="3" t="n">
        <v>1</v>
      </c>
      <c r="I173" s="3" t="s">
        <v>65</v>
      </c>
      <c r="J173" s="3" t="n">
        <v>-0.35</v>
      </c>
      <c r="K173" s="3" t="n">
        <v>-2.28</v>
      </c>
      <c r="L173" s="3" t="n">
        <v>-1.93</v>
      </c>
      <c r="M173" s="3" t="n">
        <v>-18.47</v>
      </c>
      <c r="N173" s="3" t="n">
        <v>-16</v>
      </c>
      <c r="O173" s="3" t="n">
        <v>133.32</v>
      </c>
      <c r="P173" s="3" t="n">
        <v>-19.91</v>
      </c>
      <c r="Q173" s="3"/>
    </row>
    <row r="174" customFormat="false" ht="15" hidden="false" customHeight="false" outlineLevel="0" collapsed="false">
      <c r="A174" s="3" t="s">
        <v>501</v>
      </c>
      <c r="B174" s="3" t="s">
        <v>502</v>
      </c>
      <c r="C174" s="3" t="n">
        <v>0</v>
      </c>
      <c r="D174" s="3" t="s">
        <v>483</v>
      </c>
      <c r="E174" s="3" t="n">
        <v>4460.2</v>
      </c>
      <c r="F174" s="3" t="s">
        <v>483</v>
      </c>
      <c r="G174" s="3" t="n">
        <v>4460.2</v>
      </c>
      <c r="H174" s="3" t="n">
        <v>1</v>
      </c>
      <c r="I174" s="3" t="s">
        <v>65</v>
      </c>
      <c r="J174" s="3" t="n">
        <v>1.22</v>
      </c>
      <c r="K174" s="3" t="n">
        <v>1.75</v>
      </c>
      <c r="L174" s="3" t="n">
        <v>-9.84</v>
      </c>
      <c r="M174" s="3" t="n">
        <v>-7.3</v>
      </c>
      <c r="N174" s="3" t="n">
        <v>17.65</v>
      </c>
      <c r="O174" s="3" t="n">
        <v>4516</v>
      </c>
      <c r="P174" s="3" t="n">
        <v>1.25</v>
      </c>
      <c r="Q174" s="3"/>
    </row>
    <row r="175" customFormat="false" ht="15" hidden="false" customHeight="false" outlineLevel="0" collapsed="false">
      <c r="A175" s="3" t="s">
        <v>504</v>
      </c>
      <c r="B175" s="3" t="s">
        <v>505</v>
      </c>
      <c r="C175" s="3" t="n">
        <v>0</v>
      </c>
      <c r="D175" s="3" t="s">
        <v>483</v>
      </c>
      <c r="E175" s="3" t="n">
        <v>145.64</v>
      </c>
      <c r="F175" s="3" t="s">
        <v>483</v>
      </c>
      <c r="G175" s="3" t="n">
        <v>145.64</v>
      </c>
      <c r="H175" s="3" t="n">
        <v>1</v>
      </c>
      <c r="I175" s="3" t="s">
        <v>65</v>
      </c>
      <c r="J175" s="3" t="n">
        <v>-0.98</v>
      </c>
      <c r="K175" s="3" t="n">
        <v>2.96</v>
      </c>
      <c r="L175" s="3" t="n">
        <v>3.48</v>
      </c>
      <c r="M175" s="3" t="n">
        <v>0.7</v>
      </c>
      <c r="N175" s="3" t="n">
        <v>21.05</v>
      </c>
      <c r="O175" s="3" t="n">
        <v>138.82</v>
      </c>
      <c r="P175" s="3" t="n">
        <v>-4.68</v>
      </c>
      <c r="Q175" s="3"/>
    </row>
    <row r="176" customFormat="false" ht="15" hidden="false" customHeight="false" outlineLevel="0" collapsed="false">
      <c r="A176" s="3" t="s">
        <v>58</v>
      </c>
      <c r="B176" s="3" t="s">
        <v>59</v>
      </c>
      <c r="C176" s="3" t="n">
        <v>2</v>
      </c>
      <c r="D176" s="3" t="s">
        <v>507</v>
      </c>
      <c r="E176" s="3" t="n">
        <v>1970</v>
      </c>
      <c r="F176" s="3" t="s">
        <v>507</v>
      </c>
      <c r="G176" s="3" t="n">
        <v>1970</v>
      </c>
      <c r="H176" s="3" t="n">
        <v>1</v>
      </c>
      <c r="I176" s="3" t="s">
        <v>65</v>
      </c>
      <c r="J176" s="3" t="n">
        <v>-1.93</v>
      </c>
      <c r="K176" s="3" t="n">
        <v>-2.85</v>
      </c>
      <c r="L176" s="3" t="n">
        <v>5.55</v>
      </c>
      <c r="M176" s="3" t="n">
        <v>-3.59</v>
      </c>
      <c r="N176" s="3" t="n">
        <v>-9.22</v>
      </c>
      <c r="O176" s="3" t="n">
        <v>2197</v>
      </c>
      <c r="P176" s="3" t="n">
        <v>11.52</v>
      </c>
      <c r="Q176" s="3"/>
    </row>
    <row r="177" customFormat="false" ht="15" hidden="false" customHeight="false" outlineLevel="0" collapsed="false">
      <c r="A177" s="3" t="s">
        <v>509</v>
      </c>
      <c r="B177" s="3" t="s">
        <v>510</v>
      </c>
      <c r="C177" s="3" t="n">
        <v>0</v>
      </c>
      <c r="D177" s="3" t="s">
        <v>507</v>
      </c>
      <c r="E177" s="3" t="n">
        <v>890.2</v>
      </c>
      <c r="F177" s="3" t="s">
        <v>507</v>
      </c>
      <c r="G177" s="3" t="n">
        <v>890.2</v>
      </c>
      <c r="H177" s="3" t="n">
        <v>1</v>
      </c>
      <c r="I177" s="3" t="s">
        <v>65</v>
      </c>
      <c r="J177" s="3" t="n">
        <v>1.38</v>
      </c>
      <c r="K177" s="3" t="n">
        <v>-0.76</v>
      </c>
      <c r="L177" s="3" t="n">
        <v>2.25</v>
      </c>
      <c r="M177" s="3" t="n">
        <v>-12.53</v>
      </c>
      <c r="N177" s="3" t="n">
        <v>5.99</v>
      </c>
      <c r="O177" s="3" t="n">
        <v>909.7</v>
      </c>
      <c r="P177" s="3" t="n">
        <v>2.19</v>
      </c>
      <c r="Q177" s="3"/>
    </row>
    <row r="178" customFormat="false" ht="15" hidden="false" customHeight="false" outlineLevel="0" collapsed="false">
      <c r="A178" s="3" t="s">
        <v>513</v>
      </c>
      <c r="B178" s="3" t="s">
        <v>514</v>
      </c>
      <c r="C178" s="3" t="n">
        <v>0</v>
      </c>
      <c r="D178" s="3" t="s">
        <v>512</v>
      </c>
      <c r="E178" s="3" t="n">
        <v>305.05</v>
      </c>
      <c r="F178" s="3" t="s">
        <v>512</v>
      </c>
      <c r="G178" s="3" t="n">
        <v>305.05</v>
      </c>
      <c r="H178" s="3" t="n">
        <v>1</v>
      </c>
      <c r="I178" s="3" t="s">
        <v>65</v>
      </c>
      <c r="J178" s="3" t="n">
        <v>0.59</v>
      </c>
      <c r="K178" s="3" t="n">
        <v>-1.44</v>
      </c>
      <c r="L178" s="3" t="n">
        <v>-6.44</v>
      </c>
      <c r="M178" s="3" t="n">
        <v>-14.85</v>
      </c>
      <c r="N178" s="3" t="n">
        <v>-17.33</v>
      </c>
      <c r="O178" s="3" t="n">
        <v>227.5</v>
      </c>
      <c r="P178" s="3" t="n">
        <v>-25.42</v>
      </c>
      <c r="Q178" s="3"/>
    </row>
    <row r="179" customFormat="false" ht="15" hidden="false" customHeight="false" outlineLevel="0" collapsed="false">
      <c r="A179" s="3" t="s">
        <v>516</v>
      </c>
      <c r="B179" s="3" t="s">
        <v>517</v>
      </c>
      <c r="C179" s="3" t="n">
        <v>0</v>
      </c>
      <c r="D179" s="3" t="s">
        <v>512</v>
      </c>
      <c r="E179" s="3" t="n">
        <v>1816.1</v>
      </c>
      <c r="F179" s="3" t="s">
        <v>512</v>
      </c>
      <c r="G179" s="3" t="n">
        <v>1816.1</v>
      </c>
      <c r="H179" s="3" t="n">
        <v>1</v>
      </c>
      <c r="I179" s="3" t="s">
        <v>65</v>
      </c>
      <c r="J179" s="3" t="n">
        <v>1.81</v>
      </c>
      <c r="K179" s="3" t="n">
        <v>-0.81</v>
      </c>
      <c r="L179" s="3" t="n">
        <v>0.09</v>
      </c>
      <c r="M179" s="3" t="n">
        <v>-13.8</v>
      </c>
      <c r="N179" s="3" t="n">
        <v>-12.82</v>
      </c>
      <c r="O179" s="3" t="n">
        <v>1575.4</v>
      </c>
      <c r="P179" s="3" t="n">
        <v>-13.25</v>
      </c>
      <c r="Q179" s="3"/>
    </row>
    <row r="180" customFormat="false" ht="15" hidden="false" customHeight="false" outlineLevel="0" collapsed="false">
      <c r="A180" s="3" t="s">
        <v>519</v>
      </c>
      <c r="B180" s="3" t="s">
        <v>520</v>
      </c>
      <c r="C180" s="3" t="n">
        <v>0</v>
      </c>
      <c r="D180" s="3" t="s">
        <v>512</v>
      </c>
      <c r="E180" s="3" t="n">
        <v>154.87</v>
      </c>
      <c r="F180" s="3" t="s">
        <v>512</v>
      </c>
      <c r="G180" s="3" t="n">
        <v>154.87</v>
      </c>
      <c r="H180" s="3" t="n">
        <v>1</v>
      </c>
      <c r="I180" s="3" t="s">
        <v>65</v>
      </c>
      <c r="J180" s="3" t="n">
        <v>-0.41</v>
      </c>
      <c r="K180" s="3" t="n">
        <v>-2.8</v>
      </c>
      <c r="L180" s="3" t="n">
        <v>-4.86</v>
      </c>
      <c r="M180" s="3" t="n">
        <v>-15.73</v>
      </c>
      <c r="N180" s="3" t="n">
        <v>-17.87</v>
      </c>
      <c r="O180" s="3" t="n">
        <v>120.65</v>
      </c>
      <c r="P180" s="3" t="n">
        <v>-22.1</v>
      </c>
      <c r="Q180" s="3"/>
    </row>
    <row r="181" customFormat="false" ht="15" hidden="false" customHeight="false" outlineLevel="0" collapsed="false">
      <c r="A181" s="3" t="s">
        <v>522</v>
      </c>
      <c r="B181" s="3" t="s">
        <v>523</v>
      </c>
      <c r="C181" s="3" t="n">
        <v>0</v>
      </c>
      <c r="D181" s="3" t="s">
        <v>512</v>
      </c>
      <c r="E181" s="3" t="n">
        <v>252.1</v>
      </c>
      <c r="F181" s="3" t="s">
        <v>533</v>
      </c>
      <c r="G181" s="3" t="n">
        <v>259.75</v>
      </c>
      <c r="H181" s="3" t="n">
        <v>2</v>
      </c>
      <c r="I181" s="3" t="s">
        <v>70</v>
      </c>
      <c r="J181" s="3" t="n">
        <v>3.03</v>
      </c>
      <c r="K181" s="3" t="n">
        <v>0.1</v>
      </c>
      <c r="L181" s="3" t="n">
        <v>-7.7</v>
      </c>
      <c r="M181" s="3" t="n">
        <v>-6.71</v>
      </c>
      <c r="N181" s="3" t="n">
        <v>7.42</v>
      </c>
      <c r="O181" s="3" t="n">
        <v>218.8</v>
      </c>
      <c r="P181" s="3" t="n">
        <v>-13.21</v>
      </c>
      <c r="Q181" s="3"/>
    </row>
    <row r="182" customFormat="false" ht="15" hidden="false" customHeight="false" outlineLevel="0" collapsed="false">
      <c r="A182" s="3" t="s">
        <v>525</v>
      </c>
      <c r="B182" s="3" t="s">
        <v>526</v>
      </c>
      <c r="C182" s="3" t="n">
        <v>0</v>
      </c>
      <c r="D182" s="3" t="s">
        <v>512</v>
      </c>
      <c r="E182" s="3" t="n">
        <v>301.7</v>
      </c>
      <c r="F182" s="3" t="s">
        <v>512</v>
      </c>
      <c r="G182" s="3" t="n">
        <v>301.7</v>
      </c>
      <c r="H182" s="3" t="n">
        <v>1</v>
      </c>
      <c r="I182" s="3" t="s">
        <v>65</v>
      </c>
      <c r="J182" s="3" t="n">
        <v>-0.43</v>
      </c>
      <c r="K182" s="3" t="n">
        <v>-4.79</v>
      </c>
      <c r="L182" s="3" t="n">
        <v>-12.53</v>
      </c>
      <c r="M182" s="3" t="n">
        <v>-22.01</v>
      </c>
      <c r="N182" s="3" t="n">
        <v>-20.67</v>
      </c>
      <c r="O182" s="3" t="n">
        <v>220.5</v>
      </c>
      <c r="P182" s="3" t="n">
        <v>-26.91</v>
      </c>
      <c r="Q182" s="3"/>
    </row>
    <row r="183" customFormat="false" ht="15" hidden="false" customHeight="false" outlineLevel="0" collapsed="false">
      <c r="A183" s="3" t="s">
        <v>152</v>
      </c>
      <c r="B183" s="3" t="s">
        <v>153</v>
      </c>
      <c r="C183" s="3" t="n">
        <v>2</v>
      </c>
      <c r="D183" s="3" t="s">
        <v>512</v>
      </c>
      <c r="E183" s="3" t="n">
        <v>1085.7</v>
      </c>
      <c r="F183" s="3" t="s">
        <v>512</v>
      </c>
      <c r="G183" s="3" t="n">
        <v>1085.7</v>
      </c>
      <c r="H183" s="3" t="n">
        <v>1</v>
      </c>
      <c r="I183" s="3" t="s">
        <v>65</v>
      </c>
      <c r="J183" s="3" t="n">
        <v>3.16</v>
      </c>
      <c r="K183" s="3" t="n">
        <v>-2.24</v>
      </c>
      <c r="L183" s="3" t="n">
        <v>-4.96</v>
      </c>
      <c r="M183" s="3" t="n">
        <v>-34.58</v>
      </c>
      <c r="N183" s="3" t="n">
        <v>-2.64</v>
      </c>
      <c r="O183" s="3" t="n">
        <v>1117.1</v>
      </c>
      <c r="P183" s="3" t="n">
        <v>2.89</v>
      </c>
      <c r="Q183" s="3"/>
    </row>
    <row r="184" customFormat="false" ht="15" hidden="false" customHeight="false" outlineLevel="0" collapsed="false">
      <c r="A184" s="3" t="s">
        <v>529</v>
      </c>
      <c r="B184" s="3" t="s">
        <v>530</v>
      </c>
      <c r="C184" s="3" t="n">
        <v>0</v>
      </c>
      <c r="D184" s="3" t="s">
        <v>512</v>
      </c>
      <c r="E184" s="3" t="n">
        <v>270.95</v>
      </c>
      <c r="F184" s="3" t="s">
        <v>533</v>
      </c>
      <c r="G184" s="3" t="n">
        <v>271.65</v>
      </c>
      <c r="H184" s="3" t="n">
        <v>2</v>
      </c>
      <c r="I184" s="3" t="s">
        <v>70</v>
      </c>
      <c r="J184" s="3" t="n">
        <v>0.26</v>
      </c>
      <c r="K184" s="3" t="n">
        <v>-4.78</v>
      </c>
      <c r="L184" s="3" t="n">
        <v>4.52</v>
      </c>
      <c r="M184" s="3" t="n">
        <v>8.93</v>
      </c>
      <c r="N184" s="3" t="n">
        <v>6.24</v>
      </c>
      <c r="O184" s="3" t="n">
        <v>261.85</v>
      </c>
      <c r="P184" s="3" t="n">
        <v>-3.36</v>
      </c>
      <c r="Q184" s="3"/>
    </row>
    <row r="185" customFormat="false" ht="15" hidden="false" customHeight="false" outlineLevel="0" collapsed="false">
      <c r="A185" s="3" t="s">
        <v>156</v>
      </c>
      <c r="B185" s="3" t="s">
        <v>157</v>
      </c>
      <c r="C185" s="3" t="n">
        <v>2</v>
      </c>
      <c r="D185" s="3" t="s">
        <v>512</v>
      </c>
      <c r="E185" s="3" t="n">
        <v>1321.2</v>
      </c>
      <c r="F185" s="3" t="s">
        <v>512</v>
      </c>
      <c r="G185" s="3" t="n">
        <v>1321.2</v>
      </c>
      <c r="H185" s="3" t="n">
        <v>1</v>
      </c>
      <c r="I185" s="3" t="s">
        <v>65</v>
      </c>
      <c r="J185" s="3" t="n">
        <v>1.17</v>
      </c>
      <c r="K185" s="3" t="n">
        <v>-5.4</v>
      </c>
      <c r="L185" s="3" t="n">
        <v>-8.11</v>
      </c>
      <c r="M185" s="3" t="n">
        <v>-20.65</v>
      </c>
      <c r="N185" s="3" t="n">
        <v>-14.77</v>
      </c>
      <c r="O185" s="3" t="n">
        <v>1173</v>
      </c>
      <c r="P185" s="3" t="n">
        <v>-11.22</v>
      </c>
      <c r="Q185" s="3"/>
    </row>
    <row r="186" customFormat="false" ht="15" hidden="false" customHeight="false" outlineLevel="0" collapsed="false">
      <c r="A186" s="3" t="s">
        <v>328</v>
      </c>
      <c r="B186" s="3" t="s">
        <v>329</v>
      </c>
      <c r="C186" s="3" t="n">
        <v>1</v>
      </c>
      <c r="D186" s="3" t="s">
        <v>533</v>
      </c>
      <c r="E186" s="3" t="n">
        <v>6026.5</v>
      </c>
      <c r="F186" s="3" t="s">
        <v>557</v>
      </c>
      <c r="G186" s="3" t="n">
        <v>6129.5</v>
      </c>
      <c r="H186" s="3" t="n">
        <v>2</v>
      </c>
      <c r="I186" s="3" t="s">
        <v>70</v>
      </c>
      <c r="J186" s="3" t="n">
        <v>1.71</v>
      </c>
      <c r="K186" s="3" t="n">
        <v>-1.38</v>
      </c>
      <c r="L186" s="3" t="n">
        <v>-2.45</v>
      </c>
      <c r="M186" s="3" t="n">
        <v>-8.04</v>
      </c>
      <c r="N186" s="3" t="n">
        <v>-9.49</v>
      </c>
      <c r="O186" s="3" t="n">
        <v>4915</v>
      </c>
      <c r="P186" s="3" t="n">
        <v>-18.44</v>
      </c>
      <c r="Q186" s="3"/>
    </row>
    <row r="187" customFormat="false" ht="15" hidden="false" customHeight="false" outlineLevel="0" collapsed="false">
      <c r="A187" s="3" t="s">
        <v>96</v>
      </c>
      <c r="B187" s="3" t="s">
        <v>97</v>
      </c>
      <c r="C187" s="3" t="n">
        <v>3</v>
      </c>
      <c r="D187" s="3" t="s">
        <v>533</v>
      </c>
      <c r="E187" s="3" t="n">
        <v>411.95</v>
      </c>
      <c r="F187" s="3" t="s">
        <v>583</v>
      </c>
      <c r="G187" s="3" t="n">
        <v>422.25</v>
      </c>
      <c r="H187" s="3" t="n">
        <v>3</v>
      </c>
      <c r="I187" s="3" t="s">
        <v>70</v>
      </c>
      <c r="J187" s="3" t="n">
        <v>0.56</v>
      </c>
      <c r="K187" s="3" t="n">
        <v>-4.02</v>
      </c>
      <c r="L187" s="3" t="n">
        <v>8.82</v>
      </c>
      <c r="M187" s="3" t="n">
        <v>7.29</v>
      </c>
      <c r="N187" s="3" t="n">
        <v>26.14</v>
      </c>
      <c r="O187" s="3" t="n">
        <v>407.5</v>
      </c>
      <c r="P187" s="3" t="n">
        <v>-1.08</v>
      </c>
      <c r="Q187" s="3"/>
    </row>
    <row r="188" customFormat="false" ht="15" hidden="false" customHeight="false" outlineLevel="0" collapsed="false">
      <c r="A188" s="3" t="s">
        <v>254</v>
      </c>
      <c r="B188" s="3" t="s">
        <v>255</v>
      </c>
      <c r="C188" s="3" t="n">
        <v>1</v>
      </c>
      <c r="D188" s="3" t="s">
        <v>533</v>
      </c>
      <c r="E188" s="3" t="n">
        <v>711.35</v>
      </c>
      <c r="F188" s="3" t="s">
        <v>533</v>
      </c>
      <c r="G188" s="3" t="n">
        <v>711.35</v>
      </c>
      <c r="H188" s="3" t="n">
        <v>1</v>
      </c>
      <c r="I188" s="3" t="s">
        <v>65</v>
      </c>
      <c r="J188" s="3" t="n">
        <v>-0.71</v>
      </c>
      <c r="K188" s="3" t="n">
        <v>-7.27</v>
      </c>
      <c r="L188" s="3" t="n">
        <v>-7.24</v>
      </c>
      <c r="M188" s="3" t="n">
        <v>-24.92</v>
      </c>
      <c r="N188" s="3" t="n">
        <v>-5.35</v>
      </c>
      <c r="O188" s="3" t="n">
        <v>663.55</v>
      </c>
      <c r="P188" s="3" t="n">
        <v>-6.72</v>
      </c>
      <c r="Q188" s="3"/>
    </row>
    <row r="189" customFormat="false" ht="15" hidden="false" customHeight="false" outlineLevel="0" collapsed="false">
      <c r="A189" s="3" t="s">
        <v>538</v>
      </c>
      <c r="B189" s="3" t="s">
        <v>539</v>
      </c>
      <c r="C189" s="3" t="n">
        <v>0</v>
      </c>
      <c r="D189" s="3" t="s">
        <v>533</v>
      </c>
      <c r="E189" s="3" t="n">
        <v>504.2</v>
      </c>
      <c r="F189" s="3" t="s">
        <v>533</v>
      </c>
      <c r="G189" s="3" t="n">
        <v>504.2</v>
      </c>
      <c r="H189" s="3" t="n">
        <v>1</v>
      </c>
      <c r="I189" s="3" t="s">
        <v>65</v>
      </c>
      <c r="J189" s="3" t="n">
        <v>-0.8</v>
      </c>
      <c r="K189" s="3" t="n">
        <v>-0.56</v>
      </c>
      <c r="L189" s="3" t="n">
        <v>-23.21</v>
      </c>
      <c r="M189" s="3" t="n">
        <v>-17.82</v>
      </c>
      <c r="N189" s="3" t="n">
        <v>-24.39</v>
      </c>
      <c r="O189" s="3" t="n">
        <v>564</v>
      </c>
      <c r="P189" s="3" t="n">
        <v>11.86</v>
      </c>
      <c r="Q189" s="3"/>
    </row>
    <row r="190" customFormat="false" ht="15" hidden="false" customHeight="false" outlineLevel="0" collapsed="false">
      <c r="A190" s="3" t="s">
        <v>541</v>
      </c>
      <c r="B190" s="3" t="s">
        <v>542</v>
      </c>
      <c r="C190" s="3" t="n">
        <v>0</v>
      </c>
      <c r="D190" s="3" t="s">
        <v>533</v>
      </c>
      <c r="E190" s="3" t="n">
        <v>3921</v>
      </c>
      <c r="F190" s="3" t="s">
        <v>557</v>
      </c>
      <c r="G190" s="3" t="n">
        <v>3940.7</v>
      </c>
      <c r="H190" s="3" t="n">
        <v>2</v>
      </c>
      <c r="I190" s="3" t="s">
        <v>70</v>
      </c>
      <c r="J190" s="3" t="n">
        <v>0.5</v>
      </c>
      <c r="K190" s="3" t="n">
        <v>-0.31</v>
      </c>
      <c r="L190" s="3" t="n">
        <v>-5.08</v>
      </c>
      <c r="M190" s="3" t="n">
        <v>-17.33</v>
      </c>
      <c r="N190" s="3" t="n">
        <v>-19.98</v>
      </c>
      <c r="O190" s="3" t="n">
        <v>2760</v>
      </c>
      <c r="P190" s="3" t="n">
        <v>-29.61</v>
      </c>
      <c r="Q190" s="3"/>
    </row>
    <row r="191" customFormat="false" ht="15" hidden="false" customHeight="false" outlineLevel="0" collapsed="false">
      <c r="A191" s="3" t="s">
        <v>544</v>
      </c>
      <c r="B191" s="3" t="s">
        <v>545</v>
      </c>
      <c r="C191" s="3" t="n">
        <v>0</v>
      </c>
      <c r="D191" s="3" t="s">
        <v>533</v>
      </c>
      <c r="E191" s="3" t="n">
        <v>1314.6</v>
      </c>
      <c r="F191" s="3" t="s">
        <v>533</v>
      </c>
      <c r="G191" s="3" t="n">
        <v>1314.6</v>
      </c>
      <c r="H191" s="3" t="n">
        <v>1</v>
      </c>
      <c r="I191" s="3" t="s">
        <v>65</v>
      </c>
      <c r="J191" s="3" t="n">
        <v>0.4</v>
      </c>
      <c r="K191" s="3" t="n">
        <v>-0.17</v>
      </c>
      <c r="L191" s="3" t="n">
        <v>-0.87</v>
      </c>
      <c r="M191" s="3" t="n">
        <v>-6.98</v>
      </c>
      <c r="N191" s="3" t="n">
        <v>12.1</v>
      </c>
      <c r="O191" s="3" t="n">
        <v>1346</v>
      </c>
      <c r="P191" s="3" t="n">
        <v>2.39</v>
      </c>
      <c r="Q191" s="3"/>
    </row>
    <row r="192" customFormat="false" ht="15" hidden="false" customHeight="false" outlineLevel="0" collapsed="false">
      <c r="A192" s="3" t="s">
        <v>237</v>
      </c>
      <c r="B192" s="3" t="s">
        <v>238</v>
      </c>
      <c r="C192" s="3" t="n">
        <v>2</v>
      </c>
      <c r="D192" s="3" t="s">
        <v>533</v>
      </c>
      <c r="E192" s="3" t="n">
        <v>1924.5</v>
      </c>
      <c r="F192" s="3" t="s">
        <v>557</v>
      </c>
      <c r="G192" s="3" t="n">
        <v>1950.8</v>
      </c>
      <c r="H192" s="3" t="n">
        <v>2</v>
      </c>
      <c r="I192" s="3" t="s">
        <v>70</v>
      </c>
      <c r="J192" s="3" t="n">
        <v>1.37</v>
      </c>
      <c r="K192" s="3" t="n">
        <v>-2.05</v>
      </c>
      <c r="L192" s="3" t="n">
        <v>-10.67</v>
      </c>
      <c r="M192" s="3" t="n">
        <v>-17.02</v>
      </c>
      <c r="N192" s="3" t="n">
        <v>9.42</v>
      </c>
      <c r="O192" s="3" t="n">
        <v>1952.2</v>
      </c>
      <c r="P192" s="3" t="n">
        <v>1.44</v>
      </c>
      <c r="Q192" s="3"/>
    </row>
    <row r="193" customFormat="false" ht="15" hidden="false" customHeight="false" outlineLevel="0" collapsed="false">
      <c r="A193" s="3" t="s">
        <v>164</v>
      </c>
      <c r="B193" s="3" t="s">
        <v>165</v>
      </c>
      <c r="C193" s="3" t="n">
        <v>2</v>
      </c>
      <c r="D193" s="3" t="s">
        <v>533</v>
      </c>
      <c r="E193" s="3" t="n">
        <v>1505</v>
      </c>
      <c r="F193" s="3" t="s">
        <v>533</v>
      </c>
      <c r="G193" s="3" t="n">
        <v>1505</v>
      </c>
      <c r="H193" s="3" t="n">
        <v>1</v>
      </c>
      <c r="I193" s="3" t="s">
        <v>65</v>
      </c>
      <c r="J193" s="3" t="n">
        <v>0</v>
      </c>
      <c r="K193" s="3" t="n">
        <v>-0.28</v>
      </c>
      <c r="L193" s="3" t="n">
        <v>-2.97</v>
      </c>
      <c r="M193" s="3" t="n">
        <v>-13.95</v>
      </c>
      <c r="N193" s="3" t="n">
        <v>7.44</v>
      </c>
      <c r="O193" s="3" t="n">
        <v>1503</v>
      </c>
      <c r="P193" s="3" t="n">
        <v>-0.13</v>
      </c>
      <c r="Q193" s="3"/>
    </row>
    <row r="194" customFormat="false" ht="15" hidden="false" customHeight="false" outlineLevel="0" collapsed="false">
      <c r="A194" s="3" t="s">
        <v>550</v>
      </c>
      <c r="B194" s="3" t="s">
        <v>551</v>
      </c>
      <c r="C194" s="3" t="n">
        <v>0</v>
      </c>
      <c r="D194" s="3" t="s">
        <v>533</v>
      </c>
      <c r="E194" s="3" t="n">
        <v>1667.1</v>
      </c>
      <c r="F194" s="3" t="s">
        <v>533</v>
      </c>
      <c r="G194" s="3" t="n">
        <v>1667.1</v>
      </c>
      <c r="H194" s="3" t="n">
        <v>1</v>
      </c>
      <c r="I194" s="3" t="s">
        <v>65</v>
      </c>
      <c r="J194" s="3" t="n">
        <v>-0.83</v>
      </c>
      <c r="K194" s="3" t="n">
        <v>-9.72</v>
      </c>
      <c r="L194" s="3" t="n">
        <v>-8.01</v>
      </c>
      <c r="M194" s="3" t="n">
        <v>-26.69</v>
      </c>
      <c r="N194" s="3" t="n">
        <v>2.18</v>
      </c>
      <c r="O194" s="3" t="n">
        <v>1470.8</v>
      </c>
      <c r="P194" s="3" t="n">
        <v>-11.77</v>
      </c>
      <c r="Q194" s="3"/>
    </row>
    <row r="195" customFormat="false" ht="15" hidden="false" customHeight="false" outlineLevel="0" collapsed="false">
      <c r="A195" s="3" t="s">
        <v>504</v>
      </c>
      <c r="B195" s="3" t="s">
        <v>505</v>
      </c>
      <c r="C195" s="3" t="n">
        <v>1</v>
      </c>
      <c r="D195" s="3" t="s">
        <v>533</v>
      </c>
      <c r="E195" s="3" t="n">
        <v>151.49</v>
      </c>
      <c r="F195" s="3" t="s">
        <v>533</v>
      </c>
      <c r="G195" s="3" t="n">
        <v>151.49</v>
      </c>
      <c r="H195" s="3" t="n">
        <v>1</v>
      </c>
      <c r="I195" s="3" t="s">
        <v>65</v>
      </c>
      <c r="J195" s="3" t="n">
        <v>-1.58</v>
      </c>
      <c r="K195" s="3" t="n">
        <v>-5.65</v>
      </c>
      <c r="L195" s="3" t="n">
        <v>-0.83</v>
      </c>
      <c r="M195" s="3" t="n">
        <v>-4.17</v>
      </c>
      <c r="N195" s="3" t="n">
        <v>16.6</v>
      </c>
      <c r="O195" s="3" t="n">
        <v>138.82</v>
      </c>
      <c r="P195" s="3" t="n">
        <v>-8.36</v>
      </c>
      <c r="Q195" s="3"/>
    </row>
    <row r="196" customFormat="false" ht="15" hidden="false" customHeight="false" outlineLevel="0" collapsed="false">
      <c r="A196" s="3" t="s">
        <v>554</v>
      </c>
      <c r="B196" s="3" t="s">
        <v>555</v>
      </c>
      <c r="C196" s="3" t="n">
        <v>0</v>
      </c>
      <c r="D196" s="3" t="s">
        <v>533</v>
      </c>
      <c r="E196" s="3" t="n">
        <v>1403.8</v>
      </c>
      <c r="F196" s="3" t="s">
        <v>533</v>
      </c>
      <c r="G196" s="3" t="n">
        <v>1403.8</v>
      </c>
      <c r="H196" s="3" t="n">
        <v>1</v>
      </c>
      <c r="I196" s="3" t="s">
        <v>65</v>
      </c>
      <c r="J196" s="3" t="n">
        <v>0.37</v>
      </c>
      <c r="K196" s="3" t="n">
        <v>-3.75</v>
      </c>
      <c r="L196" s="3" t="n">
        <v>0.26</v>
      </c>
      <c r="M196" s="3" t="n">
        <v>-0.31</v>
      </c>
      <c r="N196" s="3" t="n">
        <v>-3.31</v>
      </c>
      <c r="O196" s="3" t="n">
        <v>1237.2</v>
      </c>
      <c r="P196" s="3" t="n">
        <v>-11.87</v>
      </c>
      <c r="Q196" s="3"/>
    </row>
    <row r="197" customFormat="false" ht="15" hidden="false" customHeight="false" outlineLevel="0" collapsed="false">
      <c r="A197" s="3" t="s">
        <v>380</v>
      </c>
      <c r="B197" s="3" t="s">
        <v>381</v>
      </c>
      <c r="C197" s="3" t="n">
        <v>1</v>
      </c>
      <c r="D197" s="3" t="s">
        <v>557</v>
      </c>
      <c r="E197" s="3" t="n">
        <v>1231.3</v>
      </c>
      <c r="F197" s="3" t="s">
        <v>557</v>
      </c>
      <c r="G197" s="3" t="n">
        <v>1231.3</v>
      </c>
      <c r="H197" s="3" t="n">
        <v>1</v>
      </c>
      <c r="I197" s="3" t="s">
        <v>65</v>
      </c>
      <c r="J197" s="3" t="n">
        <v>0.33</v>
      </c>
      <c r="K197" s="3" t="n">
        <v>-5.17</v>
      </c>
      <c r="L197" s="3" t="n">
        <v>-4.04</v>
      </c>
      <c r="M197" s="3" t="n">
        <v>8.48</v>
      </c>
      <c r="N197" s="3" t="n">
        <v>28.57</v>
      </c>
      <c r="O197" s="3" t="n">
        <v>1697.5</v>
      </c>
      <c r="P197" s="3" t="n">
        <v>37.86</v>
      </c>
      <c r="Q197" s="3"/>
    </row>
    <row r="198" customFormat="false" ht="15" hidden="false" customHeight="false" outlineLevel="0" collapsed="false">
      <c r="A198" s="3" t="s">
        <v>216</v>
      </c>
      <c r="B198" s="3" t="s">
        <v>217</v>
      </c>
      <c r="C198" s="3" t="n">
        <v>2</v>
      </c>
      <c r="D198" s="3" t="s">
        <v>557</v>
      </c>
      <c r="E198" s="3" t="n">
        <v>1530.8</v>
      </c>
      <c r="F198" s="3" t="s">
        <v>557</v>
      </c>
      <c r="G198" s="3" t="n">
        <v>1530.8</v>
      </c>
      <c r="H198" s="3" t="n">
        <v>1</v>
      </c>
      <c r="I198" s="3" t="s">
        <v>65</v>
      </c>
      <c r="J198" s="3" t="n">
        <v>-4.11</v>
      </c>
      <c r="K198" s="3" t="n">
        <v>-5.39</v>
      </c>
      <c r="L198" s="3" t="n">
        <v>-12.9</v>
      </c>
      <c r="M198" s="3" t="n">
        <v>-20.57</v>
      </c>
      <c r="N198" s="3" t="n">
        <v>-5.16</v>
      </c>
      <c r="O198" s="3" t="n">
        <v>1383.7</v>
      </c>
      <c r="P198" s="3" t="n">
        <v>-9.61</v>
      </c>
      <c r="Q198" s="3"/>
    </row>
    <row r="199" customFormat="false" ht="15" hidden="false" customHeight="false" outlineLevel="0" collapsed="false">
      <c r="A199" s="3" t="s">
        <v>562</v>
      </c>
      <c r="B199" s="3" t="s">
        <v>563</v>
      </c>
      <c r="C199" s="3" t="n">
        <v>0</v>
      </c>
      <c r="D199" s="3" t="s">
        <v>557</v>
      </c>
      <c r="E199" s="3" t="n">
        <v>2865.3</v>
      </c>
      <c r="F199" s="3" t="s">
        <v>557</v>
      </c>
      <c r="G199" s="3" t="n">
        <v>2865.3</v>
      </c>
      <c r="H199" s="3" t="n">
        <v>1</v>
      </c>
      <c r="I199" s="3" t="s">
        <v>65</v>
      </c>
      <c r="J199" s="3" t="n">
        <v>-0.98</v>
      </c>
      <c r="K199" s="3" t="n">
        <v>-3.18</v>
      </c>
      <c r="L199" s="3" t="n">
        <v>-0.05</v>
      </c>
      <c r="M199" s="3" t="n">
        <v>-3.81</v>
      </c>
      <c r="N199" s="3" t="n">
        <v>11.36</v>
      </c>
      <c r="O199" s="3" t="n">
        <v>3150</v>
      </c>
      <c r="P199" s="3" t="n">
        <v>9.94</v>
      </c>
      <c r="Q199" s="3"/>
    </row>
    <row r="200" customFormat="false" ht="15" hidden="false" customHeight="false" outlineLevel="0" collapsed="false">
      <c r="A200" s="3" t="s">
        <v>565</v>
      </c>
      <c r="B200" s="3" t="s">
        <v>566</v>
      </c>
      <c r="C200" s="3" t="n">
        <v>0</v>
      </c>
      <c r="D200" s="3" t="s">
        <v>557</v>
      </c>
      <c r="E200" s="3" t="n">
        <v>1501.7</v>
      </c>
      <c r="F200" s="3" t="s">
        <v>557</v>
      </c>
      <c r="G200" s="3" t="n">
        <v>1501.7</v>
      </c>
      <c r="H200" s="3" t="n">
        <v>1</v>
      </c>
      <c r="I200" s="3" t="s">
        <v>65</v>
      </c>
      <c r="J200" s="3" t="n">
        <v>-0.37</v>
      </c>
      <c r="K200" s="3" t="n">
        <v>-4.66</v>
      </c>
      <c r="L200" s="3" t="n">
        <v>-10.09</v>
      </c>
      <c r="M200" s="3" t="n">
        <v>-17</v>
      </c>
      <c r="N200" s="3" t="n">
        <v>-18.43</v>
      </c>
      <c r="O200" s="3" t="n">
        <v>1085</v>
      </c>
      <c r="P200" s="3" t="n">
        <v>-27.75</v>
      </c>
      <c r="Q200" s="3"/>
    </row>
    <row r="201" customFormat="false" ht="15" hidden="false" customHeight="false" outlineLevel="0" collapsed="false">
      <c r="A201" s="3" t="s">
        <v>399</v>
      </c>
      <c r="B201" s="3" t="s">
        <v>400</v>
      </c>
      <c r="C201" s="3" t="n">
        <v>1</v>
      </c>
      <c r="D201" s="3" t="s">
        <v>557</v>
      </c>
      <c r="E201" s="3" t="n">
        <v>777.85</v>
      </c>
      <c r="F201" s="3" t="s">
        <v>557</v>
      </c>
      <c r="G201" s="3" t="n">
        <v>777.85</v>
      </c>
      <c r="H201" s="3" t="n">
        <v>1</v>
      </c>
      <c r="I201" s="3" t="s">
        <v>65</v>
      </c>
      <c r="J201" s="3" t="n">
        <v>-0.71</v>
      </c>
      <c r="K201" s="3" t="n">
        <v>-3.77</v>
      </c>
      <c r="L201" s="3" t="n">
        <v>-7.35</v>
      </c>
      <c r="M201" s="3" t="n">
        <v>-23.08</v>
      </c>
      <c r="N201" s="3" t="n">
        <v>-26.41</v>
      </c>
      <c r="O201" s="3" t="n">
        <v>531.6</v>
      </c>
      <c r="P201" s="3" t="n">
        <v>-31.66</v>
      </c>
      <c r="Q201" s="3"/>
    </row>
    <row r="202" customFormat="false" ht="15" hidden="false" customHeight="false" outlineLevel="0" collapsed="false">
      <c r="A202" s="3" t="s">
        <v>245</v>
      </c>
      <c r="B202" s="3" t="s">
        <v>246</v>
      </c>
      <c r="C202" s="3" t="n">
        <v>1</v>
      </c>
      <c r="D202" s="3" t="s">
        <v>557</v>
      </c>
      <c r="E202" s="3" t="n">
        <v>2424.7</v>
      </c>
      <c r="F202" s="3" t="s">
        <v>557</v>
      </c>
      <c r="G202" s="3" t="n">
        <v>2424.7</v>
      </c>
      <c r="H202" s="3" t="n">
        <v>1</v>
      </c>
      <c r="I202" s="3" t="s">
        <v>65</v>
      </c>
      <c r="J202" s="3" t="n">
        <v>-1.04</v>
      </c>
      <c r="K202" s="3" t="n">
        <v>-1.45</v>
      </c>
      <c r="L202" s="3" t="n">
        <v>-2.9</v>
      </c>
      <c r="M202" s="3" t="n">
        <v>-11.51</v>
      </c>
      <c r="N202" s="3" t="n">
        <v>-8.9</v>
      </c>
      <c r="O202" s="3" t="n">
        <v>1896</v>
      </c>
      <c r="P202" s="3" t="n">
        <v>-21.8</v>
      </c>
      <c r="Q202" s="3"/>
    </row>
    <row r="203" customFormat="false" ht="15" hidden="false" customHeight="false" outlineLevel="0" collapsed="false">
      <c r="A203" s="3" t="s">
        <v>296</v>
      </c>
      <c r="B203" s="3" t="s">
        <v>297</v>
      </c>
      <c r="C203" s="3" t="n">
        <v>1</v>
      </c>
      <c r="D203" s="3" t="s">
        <v>557</v>
      </c>
      <c r="E203" s="3" t="n">
        <v>2149.7</v>
      </c>
      <c r="F203" s="3" t="s">
        <v>557</v>
      </c>
      <c r="G203" s="3" t="n">
        <v>2149.7</v>
      </c>
      <c r="H203" s="3" t="n">
        <v>1</v>
      </c>
      <c r="I203" s="3" t="s">
        <v>65</v>
      </c>
      <c r="J203" s="3" t="n">
        <v>3.01</v>
      </c>
      <c r="K203" s="3" t="n">
        <v>1.36</v>
      </c>
      <c r="L203" s="3" t="n">
        <v>3.2</v>
      </c>
      <c r="M203" s="3" t="n">
        <v>6.72</v>
      </c>
      <c r="N203" s="3" t="n">
        <v>15.84</v>
      </c>
      <c r="O203" s="3" t="n">
        <v>2062</v>
      </c>
      <c r="P203" s="3" t="n">
        <v>-4.08</v>
      </c>
      <c r="Q203" s="3"/>
    </row>
    <row r="204" customFormat="false" ht="15" hidden="false" customHeight="false" outlineLevel="0" collapsed="false">
      <c r="A204" s="3" t="s">
        <v>80</v>
      </c>
      <c r="B204" s="3" t="s">
        <v>81</v>
      </c>
      <c r="C204" s="3" t="n">
        <v>2</v>
      </c>
      <c r="D204" s="3" t="s">
        <v>557</v>
      </c>
      <c r="E204" s="3" t="n">
        <v>1731.3</v>
      </c>
      <c r="F204" s="3" t="s">
        <v>557</v>
      </c>
      <c r="G204" s="3" t="n">
        <v>1731.3</v>
      </c>
      <c r="H204" s="3" t="n">
        <v>1</v>
      </c>
      <c r="I204" s="3" t="s">
        <v>65</v>
      </c>
      <c r="J204" s="3" t="n">
        <v>-0.24</v>
      </c>
      <c r="K204" s="3" t="n">
        <v>-4.92</v>
      </c>
      <c r="L204" s="3" t="n">
        <v>-1.72</v>
      </c>
      <c r="M204" s="3" t="n">
        <v>-8.35</v>
      </c>
      <c r="N204" s="3" t="n">
        <v>-7.07</v>
      </c>
      <c r="O204" s="3" t="n">
        <v>1444</v>
      </c>
      <c r="P204" s="3" t="n">
        <v>-16.59</v>
      </c>
      <c r="Q204" s="3"/>
    </row>
    <row r="205" customFormat="false" ht="15" hidden="false" customHeight="false" outlineLevel="0" collapsed="false">
      <c r="A205" s="3" t="s">
        <v>574</v>
      </c>
      <c r="B205" s="3" t="s">
        <v>575</v>
      </c>
      <c r="C205" s="3" t="n">
        <v>0</v>
      </c>
      <c r="D205" s="3" t="s">
        <v>557</v>
      </c>
      <c r="E205" s="3" t="n">
        <v>382.85</v>
      </c>
      <c r="F205" s="3" t="s">
        <v>557</v>
      </c>
      <c r="G205" s="3" t="n">
        <v>382.85</v>
      </c>
      <c r="H205" s="3" t="n">
        <v>1</v>
      </c>
      <c r="I205" s="3" t="s">
        <v>65</v>
      </c>
      <c r="J205" s="3" t="n">
        <v>0.63</v>
      </c>
      <c r="K205" s="3" t="n">
        <v>-4.17</v>
      </c>
      <c r="L205" s="3" t="n">
        <v>-0.2</v>
      </c>
      <c r="M205" s="3" t="n">
        <v>-10.5</v>
      </c>
      <c r="N205" s="3" t="n">
        <v>-6.95</v>
      </c>
      <c r="O205" s="3" t="n">
        <v>303.25</v>
      </c>
      <c r="P205" s="3" t="n">
        <v>-20.79</v>
      </c>
      <c r="Q205" s="3"/>
    </row>
    <row r="206" customFormat="false" ht="15" hidden="false" customHeight="false" outlineLevel="0" collapsed="false">
      <c r="A206" s="3" t="s">
        <v>300</v>
      </c>
      <c r="B206" s="3" t="s">
        <v>301</v>
      </c>
      <c r="C206" s="3" t="n">
        <v>1</v>
      </c>
      <c r="D206" s="3" t="s">
        <v>557</v>
      </c>
      <c r="E206" s="3" t="n">
        <v>1018.9</v>
      </c>
      <c r="F206" s="3" t="s">
        <v>557</v>
      </c>
      <c r="G206" s="3" t="n">
        <v>1018.9</v>
      </c>
      <c r="H206" s="3" t="n">
        <v>1</v>
      </c>
      <c r="I206" s="3" t="s">
        <v>65</v>
      </c>
      <c r="J206" s="3" t="n">
        <v>-1.15</v>
      </c>
      <c r="K206" s="3" t="n">
        <v>0.94</v>
      </c>
      <c r="L206" s="3" t="n">
        <v>5.36</v>
      </c>
      <c r="M206" s="3" t="n">
        <v>4.18</v>
      </c>
      <c r="N206" s="3" t="n">
        <v>1.88</v>
      </c>
      <c r="O206" s="3" t="n">
        <v>962</v>
      </c>
      <c r="P206" s="3" t="n">
        <v>-5.58</v>
      </c>
      <c r="Q206" s="3"/>
    </row>
    <row r="207" customFormat="false" ht="15" hidden="false" customHeight="false" outlineLevel="0" collapsed="false">
      <c r="A207" s="3" t="s">
        <v>142</v>
      </c>
      <c r="B207" s="3" t="s">
        <v>143</v>
      </c>
      <c r="C207" s="3" t="n">
        <v>2</v>
      </c>
      <c r="D207" s="3" t="s">
        <v>557</v>
      </c>
      <c r="E207" s="3" t="n">
        <v>1210.4</v>
      </c>
      <c r="F207" s="3" t="s">
        <v>557</v>
      </c>
      <c r="G207" s="3" t="n">
        <v>1210.4</v>
      </c>
      <c r="H207" s="3" t="n">
        <v>1</v>
      </c>
      <c r="I207" s="3" t="s">
        <v>65</v>
      </c>
      <c r="J207" s="3" t="n">
        <v>0.18</v>
      </c>
      <c r="K207" s="3" t="n">
        <v>-1.73</v>
      </c>
      <c r="L207" s="3" t="n">
        <v>-4.5</v>
      </c>
      <c r="M207" s="3" t="n">
        <v>-11.72</v>
      </c>
      <c r="N207" s="3" t="n">
        <v>-7.06</v>
      </c>
      <c r="O207" s="3" t="n">
        <v>960</v>
      </c>
      <c r="P207" s="3" t="n">
        <v>-20.69</v>
      </c>
      <c r="Q207" s="3"/>
    </row>
    <row r="208" customFormat="false" ht="15" hidden="false" customHeight="false" outlineLevel="0" collapsed="false">
      <c r="A208" s="3" t="s">
        <v>579</v>
      </c>
      <c r="B208" s="3" t="s">
        <v>580</v>
      </c>
      <c r="C208" s="3" t="n">
        <v>0</v>
      </c>
      <c r="D208" s="3" t="s">
        <v>557</v>
      </c>
      <c r="E208" s="3" t="n">
        <v>498.85</v>
      </c>
      <c r="F208" s="3" t="s">
        <v>583</v>
      </c>
      <c r="G208" s="3" t="n">
        <v>509.7</v>
      </c>
      <c r="H208" s="3" t="n">
        <v>2</v>
      </c>
      <c r="I208" s="3" t="s">
        <v>70</v>
      </c>
      <c r="J208" s="3" t="n">
        <v>2.18</v>
      </c>
      <c r="K208" s="3" t="n">
        <v>0.47</v>
      </c>
      <c r="L208" s="3" t="n">
        <v>-12.38</v>
      </c>
      <c r="M208" s="3" t="n">
        <v>-15.43</v>
      </c>
      <c r="N208" s="3" t="n">
        <v>-2.93</v>
      </c>
      <c r="O208" s="3" t="n">
        <v>430</v>
      </c>
      <c r="P208" s="3" t="n">
        <v>-13.8</v>
      </c>
      <c r="Q208" s="3"/>
    </row>
    <row r="209" customFormat="false" ht="15" hidden="false" customHeight="false" outlineLevel="0" collapsed="false">
      <c r="A209" s="3" t="s">
        <v>159</v>
      </c>
      <c r="B209" s="3" t="s">
        <v>160</v>
      </c>
      <c r="C209" s="3" t="n">
        <v>1</v>
      </c>
      <c r="D209" s="3" t="s">
        <v>557</v>
      </c>
      <c r="E209" s="3" t="n">
        <v>1486.2</v>
      </c>
      <c r="F209" s="3" t="s">
        <v>557</v>
      </c>
      <c r="G209" s="3" t="n">
        <v>1486.2</v>
      </c>
      <c r="H209" s="3" t="n">
        <v>1</v>
      </c>
      <c r="I209" s="3" t="s">
        <v>65</v>
      </c>
      <c r="J209" s="3" t="n">
        <v>1.44</v>
      </c>
      <c r="K209" s="3" t="n">
        <v>-1.72</v>
      </c>
      <c r="L209" s="3" t="n">
        <v>-4</v>
      </c>
      <c r="M209" s="3" t="n">
        <v>-14.9</v>
      </c>
      <c r="N209" s="3" t="n">
        <v>-13.34</v>
      </c>
      <c r="O209" s="3" t="n">
        <v>1135.5</v>
      </c>
      <c r="P209" s="3" t="n">
        <v>-23.6</v>
      </c>
      <c r="Q209" s="3"/>
    </row>
    <row r="210" customFormat="false" ht="15" hidden="false" customHeight="false" outlineLevel="0" collapsed="false">
      <c r="A210" s="3" t="s">
        <v>333</v>
      </c>
      <c r="B210" s="3" t="s">
        <v>334</v>
      </c>
      <c r="C210" s="3" t="n">
        <v>1</v>
      </c>
      <c r="D210" s="3" t="s">
        <v>583</v>
      </c>
      <c r="E210" s="3" t="n">
        <v>5806.5</v>
      </c>
      <c r="F210" s="3" t="s">
        <v>583</v>
      </c>
      <c r="G210" s="3" t="n">
        <v>5806.5</v>
      </c>
      <c r="H210" s="3" t="n">
        <v>1</v>
      </c>
      <c r="I210" s="3" t="s">
        <v>65</v>
      </c>
      <c r="J210" s="3" t="n">
        <v>-0.23</v>
      </c>
      <c r="K210" s="3" t="n">
        <v>0.41</v>
      </c>
      <c r="L210" s="3" t="n">
        <v>-2.11</v>
      </c>
      <c r="M210" s="3" t="n">
        <v>-7.51</v>
      </c>
      <c r="N210" s="3" t="n">
        <v>-3.45</v>
      </c>
      <c r="O210" s="3" t="n">
        <v>5175</v>
      </c>
      <c r="P210" s="3" t="n">
        <v>-10.88</v>
      </c>
      <c r="Q210" s="3"/>
    </row>
    <row r="211" customFormat="false" ht="15" hidden="false" customHeight="false" outlineLevel="0" collapsed="false">
      <c r="A211" s="3" t="s">
        <v>585</v>
      </c>
      <c r="B211" s="3" t="s">
        <v>586</v>
      </c>
      <c r="C211" s="3" t="n">
        <v>0</v>
      </c>
      <c r="D211" s="3" t="s">
        <v>583</v>
      </c>
      <c r="E211" s="3" t="n">
        <v>7447.5</v>
      </c>
      <c r="F211" s="3" t="s">
        <v>583</v>
      </c>
      <c r="G211" s="3" t="n">
        <v>7447.5</v>
      </c>
      <c r="H211" s="3" t="n">
        <v>1</v>
      </c>
      <c r="I211" s="3" t="s">
        <v>65</v>
      </c>
      <c r="J211" s="3" t="n">
        <v>-1.11</v>
      </c>
      <c r="K211" s="3" t="n">
        <v>-2.35</v>
      </c>
      <c r="L211" s="3" t="n">
        <v>-3.96</v>
      </c>
      <c r="M211" s="3" t="n">
        <v>0.46</v>
      </c>
      <c r="N211" s="3" t="n">
        <v>17.54</v>
      </c>
      <c r="O211" s="3" t="n">
        <v>8860</v>
      </c>
      <c r="P211" s="3" t="n">
        <v>18.97</v>
      </c>
      <c r="Q211" s="3"/>
    </row>
    <row r="212" customFormat="false" ht="15" hidden="false" customHeight="false" outlineLevel="0" collapsed="false">
      <c r="A212" s="3" t="s">
        <v>199</v>
      </c>
      <c r="B212" s="3" t="s">
        <v>200</v>
      </c>
      <c r="C212" s="3" t="n">
        <v>4</v>
      </c>
      <c r="D212" s="3" t="s">
        <v>583</v>
      </c>
      <c r="E212" s="3" t="n">
        <v>387.05</v>
      </c>
      <c r="F212" s="3" t="s">
        <v>583</v>
      </c>
      <c r="G212" s="3" t="n">
        <v>387.05</v>
      </c>
      <c r="H212" s="3" t="n">
        <v>1</v>
      </c>
      <c r="I212" s="3" t="s">
        <v>65</v>
      </c>
      <c r="J212" s="3" t="n">
        <v>-2.35</v>
      </c>
      <c r="K212" s="3" t="n">
        <v>-2.08</v>
      </c>
      <c r="L212" s="3" t="n">
        <v>-5.59</v>
      </c>
      <c r="M212" s="3" t="n">
        <v>-10.68</v>
      </c>
      <c r="N212" s="3" t="n">
        <v>2.58</v>
      </c>
      <c r="O212" s="3" t="n">
        <v>374.9</v>
      </c>
      <c r="P212" s="3" t="n">
        <v>-3.14</v>
      </c>
      <c r="Q212" s="3"/>
    </row>
    <row r="213" customFormat="false" ht="15" hidden="false" customHeight="false" outlineLevel="0" collapsed="false">
      <c r="A213" s="3" t="s">
        <v>360</v>
      </c>
      <c r="B213" s="3" t="s">
        <v>361</v>
      </c>
      <c r="C213" s="3" t="n">
        <v>1</v>
      </c>
      <c r="D213" s="3" t="s">
        <v>583</v>
      </c>
      <c r="E213" s="3" t="n">
        <v>280.95</v>
      </c>
      <c r="F213" s="3" t="s">
        <v>583</v>
      </c>
      <c r="G213" s="3" t="n">
        <v>280.95</v>
      </c>
      <c r="H213" s="3" t="n">
        <v>1</v>
      </c>
      <c r="I213" s="3" t="s">
        <v>65</v>
      </c>
      <c r="J213" s="3" t="n">
        <v>0.93</v>
      </c>
      <c r="K213" s="3" t="n">
        <v>6.51</v>
      </c>
      <c r="L213" s="3" t="n">
        <v>0.93</v>
      </c>
      <c r="M213" s="3" t="n">
        <v>-15.33</v>
      </c>
      <c r="N213" s="3" t="n">
        <v>2.05</v>
      </c>
      <c r="O213" s="3" t="n">
        <v>330.95</v>
      </c>
      <c r="P213" s="3" t="n">
        <v>17.8</v>
      </c>
      <c r="Q213" s="3"/>
    </row>
    <row r="214" customFormat="false" ht="15" hidden="false" customHeight="false" outlineLevel="0" collapsed="false">
      <c r="A214" s="3" t="s">
        <v>591</v>
      </c>
      <c r="B214" s="3" t="s">
        <v>592</v>
      </c>
      <c r="C214" s="3" t="n">
        <v>0</v>
      </c>
      <c r="D214" s="3" t="s">
        <v>583</v>
      </c>
      <c r="E214" s="3" t="n">
        <v>1647.7</v>
      </c>
      <c r="F214" s="3" t="s">
        <v>583</v>
      </c>
      <c r="G214" s="3" t="n">
        <v>1647.7</v>
      </c>
      <c r="H214" s="3" t="n">
        <v>1</v>
      </c>
      <c r="I214" s="3" t="s">
        <v>65</v>
      </c>
      <c r="J214" s="3" t="n">
        <v>-0.06</v>
      </c>
      <c r="K214" s="3" t="n">
        <v>1.26</v>
      </c>
      <c r="L214" s="3" t="n">
        <v>-3.28</v>
      </c>
      <c r="M214" s="3" t="n">
        <v>-11.09</v>
      </c>
      <c r="N214" s="3" t="n">
        <v>-30.47</v>
      </c>
      <c r="O214" s="3" t="n">
        <v>1252.6</v>
      </c>
      <c r="P214" s="3" t="n">
        <v>-23.98</v>
      </c>
      <c r="Q214" s="3"/>
    </row>
    <row r="215" customFormat="false" ht="15" hidden="false" customHeight="false" outlineLevel="0" collapsed="false">
      <c r="A215" s="3" t="s">
        <v>525</v>
      </c>
      <c r="B215" s="3" t="s">
        <v>526</v>
      </c>
      <c r="C215" s="3" t="n">
        <v>1</v>
      </c>
      <c r="D215" s="3" t="s">
        <v>583</v>
      </c>
      <c r="E215" s="3" t="n">
        <v>303.5</v>
      </c>
      <c r="F215" s="3" t="s">
        <v>583</v>
      </c>
      <c r="G215" s="3" t="n">
        <v>303.5</v>
      </c>
      <c r="H215" s="3" t="n">
        <v>1</v>
      </c>
      <c r="I215" s="3" t="s">
        <v>65</v>
      </c>
      <c r="J215" s="3" t="n">
        <v>-3.28</v>
      </c>
      <c r="K215" s="3" t="n">
        <v>-5.44</v>
      </c>
      <c r="L215" s="3" t="n">
        <v>-11.66</v>
      </c>
      <c r="M215" s="3" t="n">
        <v>-21.3</v>
      </c>
      <c r="N215" s="3" t="n">
        <v>-24.22</v>
      </c>
      <c r="O215" s="3" t="n">
        <v>220.5</v>
      </c>
      <c r="P215" s="3" t="n">
        <v>-27.35</v>
      </c>
      <c r="Q215" s="3"/>
    </row>
    <row r="216" customFormat="false" ht="15" hidden="false" customHeight="false" outlineLevel="0" collapsed="false">
      <c r="A216" s="3" t="s">
        <v>595</v>
      </c>
      <c r="B216" s="3" t="s">
        <v>596</v>
      </c>
      <c r="C216" s="3" t="n">
        <v>0</v>
      </c>
      <c r="D216" s="3" t="s">
        <v>583</v>
      </c>
      <c r="E216" s="3" t="n">
        <v>1359.4</v>
      </c>
      <c r="F216" s="3" t="s">
        <v>583</v>
      </c>
      <c r="G216" s="3" t="n">
        <v>1359.4</v>
      </c>
      <c r="H216" s="3" t="n">
        <v>1</v>
      </c>
      <c r="I216" s="3" t="s">
        <v>65</v>
      </c>
      <c r="J216" s="3" t="n">
        <v>-1.62</v>
      </c>
      <c r="K216" s="3" t="n">
        <v>-3.94</v>
      </c>
      <c r="L216" s="3" t="n">
        <v>-16.85</v>
      </c>
      <c r="M216" s="3" t="n">
        <v>-26.26</v>
      </c>
      <c r="N216" s="3" t="n">
        <v>-13.27</v>
      </c>
      <c r="O216" s="3" t="n">
        <v>1253.9</v>
      </c>
      <c r="P216" s="3" t="n">
        <v>-7.76</v>
      </c>
      <c r="Q216" s="3"/>
    </row>
    <row r="217" customFormat="false" ht="15" hidden="false" customHeight="false" outlineLevel="0" collapsed="false">
      <c r="A217" s="3" t="s">
        <v>145</v>
      </c>
      <c r="B217" s="3" t="s">
        <v>146</v>
      </c>
      <c r="C217" s="3" t="n">
        <v>3</v>
      </c>
      <c r="D217" s="3" t="s">
        <v>583</v>
      </c>
      <c r="E217" s="3" t="n">
        <v>1625.2</v>
      </c>
      <c r="F217" s="3" t="s">
        <v>583</v>
      </c>
      <c r="G217" s="3" t="n">
        <v>1625.2</v>
      </c>
      <c r="H217" s="3" t="n">
        <v>1</v>
      </c>
      <c r="I217" s="3" t="s">
        <v>65</v>
      </c>
      <c r="J217" s="3" t="n">
        <v>-2.91</v>
      </c>
      <c r="K217" s="3" t="n">
        <v>-2.26</v>
      </c>
      <c r="L217" s="3" t="n">
        <v>-0.33</v>
      </c>
      <c r="M217" s="3" t="n">
        <v>-10.07</v>
      </c>
      <c r="N217" s="3" t="n">
        <v>-12.08</v>
      </c>
      <c r="O217" s="3" t="n">
        <v>1542.2</v>
      </c>
      <c r="P217" s="3" t="n">
        <v>-5.11</v>
      </c>
      <c r="Q217" s="3"/>
    </row>
    <row r="218" customFormat="false" ht="15" hidden="false" customHeight="false" outlineLevel="0" collapsed="false">
      <c r="A218" s="3" t="s">
        <v>148</v>
      </c>
      <c r="B218" s="3" t="s">
        <v>149</v>
      </c>
      <c r="C218" s="3" t="n">
        <v>1</v>
      </c>
      <c r="D218" s="3" t="s">
        <v>583</v>
      </c>
      <c r="E218" s="3" t="n">
        <v>4092.2</v>
      </c>
      <c r="F218" s="3" t="s">
        <v>583</v>
      </c>
      <c r="G218" s="3" t="n">
        <v>4092.2</v>
      </c>
      <c r="H218" s="3" t="n">
        <v>1</v>
      </c>
      <c r="I218" s="3" t="s">
        <v>65</v>
      </c>
      <c r="J218" s="3" t="n">
        <v>-1.61</v>
      </c>
      <c r="K218" s="3" t="n">
        <v>-2.16</v>
      </c>
      <c r="L218" s="3" t="n">
        <v>-3.74</v>
      </c>
      <c r="M218" s="3" t="n">
        <v>0.06</v>
      </c>
      <c r="N218" s="3" t="n">
        <v>18.92</v>
      </c>
      <c r="O218" s="3" t="n">
        <v>4869</v>
      </c>
      <c r="P218" s="3" t="n">
        <v>18.98</v>
      </c>
      <c r="Q218" s="3"/>
    </row>
    <row r="219" customFormat="false" ht="15" hidden="false" customHeight="false" outlineLevel="0" collapsed="false">
      <c r="A219" s="3" t="s">
        <v>602</v>
      </c>
      <c r="B219" s="3" t="s">
        <v>603</v>
      </c>
      <c r="C219" s="3" t="n">
        <v>0</v>
      </c>
      <c r="D219" s="3" t="s">
        <v>601</v>
      </c>
      <c r="E219" s="3" t="n">
        <v>1435</v>
      </c>
      <c r="F219" s="3" t="s">
        <v>601</v>
      </c>
      <c r="G219" s="3" t="n">
        <v>1435</v>
      </c>
      <c r="H219" s="3" t="n">
        <v>1</v>
      </c>
      <c r="I219" s="3" t="s">
        <v>65</v>
      </c>
      <c r="J219" s="3" t="n">
        <v>-2.14</v>
      </c>
      <c r="K219" s="3" t="n">
        <v>-1.69</v>
      </c>
      <c r="L219" s="3" t="n">
        <v>-2.7</v>
      </c>
      <c r="M219" s="3" t="n">
        <v>-7.88</v>
      </c>
      <c r="N219" s="3" t="n">
        <v>-3.78</v>
      </c>
      <c r="O219" s="3" t="n">
        <v>1302</v>
      </c>
      <c r="P219" s="3" t="n">
        <v>-9.27</v>
      </c>
      <c r="Q219" s="3"/>
    </row>
    <row r="220" customFormat="false" ht="15" hidden="false" customHeight="false" outlineLevel="0" collapsed="false">
      <c r="A220" s="3" t="s">
        <v>605</v>
      </c>
      <c r="B220" s="3" t="s">
        <v>606</v>
      </c>
      <c r="C220" s="3" t="n">
        <v>0</v>
      </c>
      <c r="D220" s="3" t="s">
        <v>601</v>
      </c>
      <c r="E220" s="3" t="n">
        <v>430.85</v>
      </c>
      <c r="F220" s="3" t="s">
        <v>601</v>
      </c>
      <c r="G220" s="3" t="n">
        <v>430.85</v>
      </c>
      <c r="H220" s="3" t="n">
        <v>1</v>
      </c>
      <c r="I220" s="3" t="s">
        <v>65</v>
      </c>
      <c r="J220" s="3" t="n">
        <v>0.59</v>
      </c>
      <c r="K220" s="3" t="n">
        <v>0.7</v>
      </c>
      <c r="L220" s="3" t="n">
        <v>5.87</v>
      </c>
      <c r="M220" s="3" t="n">
        <v>1.62</v>
      </c>
      <c r="N220" s="3" t="n">
        <v>-7.59</v>
      </c>
      <c r="O220" s="3" t="n">
        <v>360</v>
      </c>
      <c r="P220" s="3" t="n">
        <v>-16.44</v>
      </c>
      <c r="Q220" s="3"/>
    </row>
    <row r="221" customFormat="false" ht="15" hidden="false" customHeight="false" outlineLevel="0" collapsed="false">
      <c r="A221" s="3" t="s">
        <v>608</v>
      </c>
      <c r="B221" s="3" t="s">
        <v>609</v>
      </c>
      <c r="C221" s="3" t="n">
        <v>0</v>
      </c>
      <c r="D221" s="3" t="s">
        <v>601</v>
      </c>
      <c r="E221" s="3" t="n">
        <v>2082.9</v>
      </c>
      <c r="F221" s="3" t="s">
        <v>601</v>
      </c>
      <c r="G221" s="3" t="n">
        <v>2082.9</v>
      </c>
      <c r="H221" s="3" t="n">
        <v>1</v>
      </c>
      <c r="I221" s="3" t="s">
        <v>65</v>
      </c>
      <c r="J221" s="3" t="n">
        <v>-0.62</v>
      </c>
      <c r="K221" s="3" t="n">
        <v>-0.09</v>
      </c>
      <c r="L221" s="3" t="n">
        <v>-2.83</v>
      </c>
      <c r="M221" s="3" t="n">
        <v>-7.67</v>
      </c>
      <c r="N221" s="3" t="n">
        <v>-12.54</v>
      </c>
      <c r="O221" s="3" t="n">
        <v>1728.1</v>
      </c>
      <c r="P221" s="3" t="n">
        <v>-17.03</v>
      </c>
      <c r="Q221" s="3"/>
    </row>
    <row r="222" customFormat="false" ht="15" hidden="false" customHeight="false" outlineLevel="0" collapsed="false">
      <c r="A222" s="3" t="s">
        <v>612</v>
      </c>
      <c r="B222" s="3" t="s">
        <v>613</v>
      </c>
      <c r="C222" s="3" t="n">
        <v>0</v>
      </c>
      <c r="D222" s="3" t="s">
        <v>611</v>
      </c>
      <c r="E222" s="3" t="n">
        <v>3801.3</v>
      </c>
      <c r="F222" s="3" t="s">
        <v>611</v>
      </c>
      <c r="G222" s="3" t="n">
        <v>3801.3</v>
      </c>
      <c r="H222" s="3" t="n">
        <v>1</v>
      </c>
      <c r="I222" s="3" t="s">
        <v>65</v>
      </c>
      <c r="J222" s="3" t="n">
        <v>0.82</v>
      </c>
      <c r="K222" s="3" t="n">
        <v>-0.91</v>
      </c>
      <c r="L222" s="3" t="n">
        <v>5.29</v>
      </c>
      <c r="M222" s="3" t="n">
        <v>17.01</v>
      </c>
      <c r="N222" s="3" t="n">
        <v>7.36</v>
      </c>
      <c r="O222" s="3" t="n">
        <v>3803.5</v>
      </c>
      <c r="P222" s="3" t="n">
        <v>0.06</v>
      </c>
      <c r="Q222" s="3"/>
    </row>
    <row r="223" customFormat="false" ht="15" hidden="false" customHeight="false" outlineLevel="0" collapsed="false">
      <c r="A223" s="3" t="s">
        <v>360</v>
      </c>
      <c r="B223" s="3" t="s">
        <v>361</v>
      </c>
      <c r="C223" s="3" t="n">
        <v>2</v>
      </c>
      <c r="D223" s="3" t="s">
        <v>611</v>
      </c>
      <c r="E223" s="3" t="n">
        <v>284.35</v>
      </c>
      <c r="F223" s="3" t="s">
        <v>611</v>
      </c>
      <c r="G223" s="3" t="n">
        <v>284.35</v>
      </c>
      <c r="H223" s="3" t="n">
        <v>1</v>
      </c>
      <c r="I223" s="3" t="s">
        <v>65</v>
      </c>
      <c r="J223" s="3" t="n">
        <v>0.32</v>
      </c>
      <c r="K223" s="3" t="n">
        <v>-1.06</v>
      </c>
      <c r="L223" s="3" t="n">
        <v>6.84</v>
      </c>
      <c r="M223" s="3" t="n">
        <v>-16.93</v>
      </c>
      <c r="N223" s="3" t="n">
        <v>1.86</v>
      </c>
      <c r="O223" s="3" t="n">
        <v>330.95</v>
      </c>
      <c r="P223" s="3" t="n">
        <v>16.39</v>
      </c>
      <c r="Q223" s="3"/>
    </row>
    <row r="224" customFormat="false" ht="15" hidden="false" customHeight="false" outlineLevel="0" collapsed="false">
      <c r="A224" s="3" t="s">
        <v>333</v>
      </c>
      <c r="B224" s="3" t="s">
        <v>334</v>
      </c>
      <c r="C224" s="3" t="n">
        <v>2</v>
      </c>
      <c r="D224" s="3" t="s">
        <v>616</v>
      </c>
      <c r="E224" s="3" t="n">
        <v>5867</v>
      </c>
      <c r="F224" s="3" t="s">
        <v>616</v>
      </c>
      <c r="G224" s="3" t="n">
        <v>5867</v>
      </c>
      <c r="H224" s="3" t="n">
        <v>1</v>
      </c>
      <c r="I224" s="3" t="s">
        <v>65</v>
      </c>
      <c r="J224" s="3" t="n">
        <v>-0.06</v>
      </c>
      <c r="K224" s="3" t="n">
        <v>-2.5</v>
      </c>
      <c r="L224" s="3" t="n">
        <v>0.39</v>
      </c>
      <c r="M224" s="3" t="n">
        <v>-4.97</v>
      </c>
      <c r="N224" s="3" t="n">
        <v>-5.11</v>
      </c>
      <c r="O224" s="3" t="n">
        <v>5175</v>
      </c>
      <c r="P224" s="3" t="n">
        <v>-11.79</v>
      </c>
      <c r="Q224" s="3"/>
    </row>
    <row r="225" customFormat="false" ht="15" hidden="false" customHeight="false" outlineLevel="0" collapsed="false">
      <c r="A225" s="3" t="s">
        <v>591</v>
      </c>
      <c r="B225" s="3" t="s">
        <v>592</v>
      </c>
      <c r="C225" s="3" t="n">
        <v>1</v>
      </c>
      <c r="D225" s="3" t="s">
        <v>616</v>
      </c>
      <c r="E225" s="3" t="n">
        <v>1667.6</v>
      </c>
      <c r="F225" s="3" t="s">
        <v>616</v>
      </c>
      <c r="G225" s="3" t="n">
        <v>1667.6</v>
      </c>
      <c r="H225" s="3" t="n">
        <v>1</v>
      </c>
      <c r="I225" s="3" t="s">
        <v>65</v>
      </c>
      <c r="J225" s="3" t="n">
        <v>-0.16</v>
      </c>
      <c r="K225" s="3" t="n">
        <v>1.18</v>
      </c>
      <c r="L225" s="3" t="n">
        <v>-6.96</v>
      </c>
      <c r="M225" s="3" t="n">
        <v>-12.97</v>
      </c>
      <c r="N225" s="3" t="n">
        <v>-26.77</v>
      </c>
      <c r="O225" s="3" t="n">
        <v>1252.6</v>
      </c>
      <c r="P225" s="3" t="n">
        <v>-24.89</v>
      </c>
      <c r="Q225" s="3"/>
    </row>
    <row r="226" customFormat="false" ht="15" hidden="false" customHeight="false" outlineLevel="0" collapsed="false">
      <c r="A226" s="3" t="s">
        <v>619</v>
      </c>
      <c r="B226" s="3" t="s">
        <v>620</v>
      </c>
      <c r="C226" s="3" t="n">
        <v>0</v>
      </c>
      <c r="D226" s="3" t="s">
        <v>616</v>
      </c>
      <c r="E226" s="3" t="n">
        <v>235.71</v>
      </c>
      <c r="F226" s="3" t="s">
        <v>626</v>
      </c>
      <c r="G226" s="3" t="n">
        <v>243.78</v>
      </c>
      <c r="H226" s="3" t="n">
        <v>2</v>
      </c>
      <c r="I226" s="3" t="s">
        <v>70</v>
      </c>
      <c r="J226" s="3" t="n">
        <v>3.42</v>
      </c>
      <c r="K226" s="3" t="n">
        <v>1.99</v>
      </c>
      <c r="L226" s="3" t="n">
        <v>16.5</v>
      </c>
      <c r="M226" s="3" t="n">
        <v>22.01</v>
      </c>
      <c r="N226" s="3" t="n">
        <v>5.4</v>
      </c>
      <c r="O226" s="3" t="n">
        <v>230</v>
      </c>
      <c r="P226" s="3" t="n">
        <v>-2.42</v>
      </c>
      <c r="Q226" s="3"/>
    </row>
    <row r="227" customFormat="false" ht="15" hidden="false" customHeight="false" outlineLevel="0" collapsed="false">
      <c r="A227" s="3" t="s">
        <v>608</v>
      </c>
      <c r="B227" s="3" t="s">
        <v>609</v>
      </c>
      <c r="C227" s="3" t="n">
        <v>1</v>
      </c>
      <c r="D227" s="3" t="s">
        <v>616</v>
      </c>
      <c r="E227" s="3" t="n">
        <v>2098</v>
      </c>
      <c r="F227" s="3" t="s">
        <v>616</v>
      </c>
      <c r="G227" s="3" t="n">
        <v>2098</v>
      </c>
      <c r="H227" s="3" t="n">
        <v>1</v>
      </c>
      <c r="I227" s="3" t="s">
        <v>65</v>
      </c>
      <c r="J227" s="3" t="n">
        <v>-0.74</v>
      </c>
      <c r="K227" s="3" t="n">
        <v>-2.33</v>
      </c>
      <c r="L227" s="3" t="n">
        <v>-3.42</v>
      </c>
      <c r="M227" s="3" t="n">
        <v>-6.05</v>
      </c>
      <c r="N227" s="3" t="n">
        <v>-11.54</v>
      </c>
      <c r="O227" s="3" t="n">
        <v>1728.1</v>
      </c>
      <c r="P227" s="3" t="n">
        <v>-17.63</v>
      </c>
      <c r="Q227" s="3"/>
    </row>
    <row r="228" customFormat="false" ht="15" hidden="false" customHeight="false" outlineLevel="0" collapsed="false">
      <c r="A228" s="3" t="s">
        <v>623</v>
      </c>
      <c r="B228" s="3" t="s">
        <v>624</v>
      </c>
      <c r="C228" s="3" t="n">
        <v>0</v>
      </c>
      <c r="D228" s="3" t="s">
        <v>616</v>
      </c>
      <c r="E228" s="3" t="n">
        <v>1736</v>
      </c>
      <c r="F228" s="3" t="s">
        <v>616</v>
      </c>
      <c r="G228" s="3" t="n">
        <v>1736</v>
      </c>
      <c r="H228" s="3" t="n">
        <v>1</v>
      </c>
      <c r="I228" s="3" t="s">
        <v>65</v>
      </c>
      <c r="J228" s="3" t="n">
        <v>-0.42</v>
      </c>
      <c r="K228" s="3" t="n">
        <v>-7.04</v>
      </c>
      <c r="L228" s="3" t="n">
        <v>-1.43</v>
      </c>
      <c r="M228" s="3" t="n">
        <v>-2.27</v>
      </c>
      <c r="N228" s="3" t="n">
        <v>10.68</v>
      </c>
      <c r="O228" s="3" t="n">
        <v>1838</v>
      </c>
      <c r="P228" s="3" t="n">
        <v>5.88</v>
      </c>
      <c r="Q228" s="3"/>
    </row>
    <row r="229" customFormat="false" ht="15" hidden="false" customHeight="false" outlineLevel="0" collapsed="false">
      <c r="A229" s="3" t="s">
        <v>93</v>
      </c>
      <c r="B229" s="3" t="s">
        <v>94</v>
      </c>
      <c r="C229" s="3" t="n">
        <v>1</v>
      </c>
      <c r="D229" s="3" t="s">
        <v>626</v>
      </c>
      <c r="E229" s="3" t="n">
        <v>2105.5</v>
      </c>
      <c r="F229" s="3" t="s">
        <v>636</v>
      </c>
      <c r="G229" s="3" t="n">
        <v>2177.3</v>
      </c>
      <c r="H229" s="3" t="n">
        <v>2</v>
      </c>
      <c r="I229" s="3" t="s">
        <v>70</v>
      </c>
      <c r="J229" s="3" t="n">
        <v>3.41</v>
      </c>
      <c r="K229" s="3" t="n">
        <v>6.03</v>
      </c>
      <c r="L229" s="3" t="n">
        <v>3.12</v>
      </c>
      <c r="M229" s="3" t="n">
        <v>-6.21</v>
      </c>
      <c r="N229" s="3" t="n">
        <v>-16.33</v>
      </c>
      <c r="O229" s="3" t="n">
        <v>1651.6</v>
      </c>
      <c r="P229" s="3" t="n">
        <v>-21.56</v>
      </c>
      <c r="Q229" s="3"/>
    </row>
    <row r="230" customFormat="false" ht="15" hidden="false" customHeight="false" outlineLevel="0" collapsed="false">
      <c r="A230" s="3" t="s">
        <v>602</v>
      </c>
      <c r="B230" s="3" t="s">
        <v>603</v>
      </c>
      <c r="C230" s="3" t="n">
        <v>1</v>
      </c>
      <c r="D230" s="3" t="s">
        <v>626</v>
      </c>
      <c r="E230" s="3" t="n">
        <v>1437</v>
      </c>
      <c r="F230" s="3" t="s">
        <v>626</v>
      </c>
      <c r="G230" s="3" t="n">
        <v>1437</v>
      </c>
      <c r="H230" s="3" t="n">
        <v>1</v>
      </c>
      <c r="I230" s="3" t="s">
        <v>65</v>
      </c>
      <c r="J230" s="3" t="n">
        <v>-1.29</v>
      </c>
      <c r="K230" s="3" t="n">
        <v>-6.12</v>
      </c>
      <c r="L230" s="3" t="n">
        <v>-0.49</v>
      </c>
      <c r="M230" s="3" t="n">
        <v>-6.37</v>
      </c>
      <c r="N230" s="3" t="n">
        <v>-2.04</v>
      </c>
      <c r="O230" s="3" t="n">
        <v>1302</v>
      </c>
      <c r="P230" s="3" t="n">
        <v>-9.39</v>
      </c>
      <c r="Q230" s="3"/>
    </row>
    <row r="231" customFormat="false" ht="15" hidden="false" customHeight="false" outlineLevel="0" collapsed="false">
      <c r="A231" s="3" t="s">
        <v>629</v>
      </c>
      <c r="B231" s="3" t="s">
        <v>630</v>
      </c>
      <c r="C231" s="3" t="n">
        <v>0</v>
      </c>
      <c r="D231" s="3" t="s">
        <v>626</v>
      </c>
      <c r="E231" s="3" t="n">
        <v>447.9</v>
      </c>
      <c r="F231" s="3" t="s">
        <v>626</v>
      </c>
      <c r="G231" s="3" t="n">
        <v>447.9</v>
      </c>
      <c r="H231" s="3" t="n">
        <v>1</v>
      </c>
      <c r="I231" s="3" t="s">
        <v>65</v>
      </c>
      <c r="J231" s="3" t="n">
        <v>2.25</v>
      </c>
      <c r="K231" s="3" t="n">
        <v>-3.2</v>
      </c>
      <c r="L231" s="3" t="n">
        <v>6.02</v>
      </c>
      <c r="M231" s="3" t="n">
        <v>3.24</v>
      </c>
      <c r="N231" s="3" t="n">
        <v>-1.52</v>
      </c>
      <c r="O231" s="3" t="n">
        <v>468</v>
      </c>
      <c r="P231" s="3" t="n">
        <v>4.49</v>
      </c>
      <c r="Q231" s="3"/>
    </row>
    <row r="232" customFormat="false" ht="15" hidden="false" customHeight="false" outlineLevel="0" collapsed="false">
      <c r="A232" s="3" t="s">
        <v>633</v>
      </c>
      <c r="B232" s="3" t="s">
        <v>634</v>
      </c>
      <c r="C232" s="3" t="n">
        <v>0</v>
      </c>
      <c r="D232" s="3" t="s">
        <v>626</v>
      </c>
      <c r="E232" s="3" t="n">
        <v>34645</v>
      </c>
      <c r="F232" s="3" t="s">
        <v>626</v>
      </c>
      <c r="G232" s="3" t="n">
        <v>34645</v>
      </c>
      <c r="H232" s="3" t="n">
        <v>1</v>
      </c>
      <c r="I232" s="3" t="s">
        <v>65</v>
      </c>
      <c r="J232" s="3" t="n">
        <v>-0.94</v>
      </c>
      <c r="K232" s="3" t="n">
        <v>-4.43</v>
      </c>
      <c r="L232" s="3" t="n">
        <v>-2.29</v>
      </c>
      <c r="M232" s="3" t="n">
        <v>6.74</v>
      </c>
      <c r="N232" s="3" t="n">
        <v>16.99</v>
      </c>
      <c r="O232" s="3" t="n">
        <v>37500</v>
      </c>
      <c r="P232" s="3" t="n">
        <v>8.24</v>
      </c>
      <c r="Q232" s="3"/>
    </row>
    <row r="233" customFormat="false" ht="15" hidden="false" customHeight="false" outlineLevel="0" collapsed="false">
      <c r="A233" s="3" t="s">
        <v>58</v>
      </c>
      <c r="B233" s="3" t="s">
        <v>59</v>
      </c>
      <c r="C233" s="3" t="n">
        <v>3</v>
      </c>
      <c r="D233" s="3" t="s">
        <v>636</v>
      </c>
      <c r="E233" s="3" t="n">
        <v>1934.7</v>
      </c>
      <c r="F233" s="3" t="s">
        <v>636</v>
      </c>
      <c r="G233" s="3" t="n">
        <v>1934.7</v>
      </c>
      <c r="H233" s="3" t="n">
        <v>1</v>
      </c>
      <c r="I233" s="3" t="s">
        <v>65</v>
      </c>
      <c r="J233" s="3" t="n">
        <v>0.31</v>
      </c>
      <c r="K233" s="3" t="n">
        <v>2.13</v>
      </c>
      <c r="L233" s="3" t="n">
        <v>16.09</v>
      </c>
      <c r="M233" s="3" t="n">
        <v>8.84</v>
      </c>
      <c r="N233" s="3" t="n">
        <v>-6.07</v>
      </c>
      <c r="O233" s="3" t="n">
        <v>2197</v>
      </c>
      <c r="P233" s="3" t="n">
        <v>13.56</v>
      </c>
      <c r="Q233" s="3"/>
    </row>
    <row r="234" customFormat="false" ht="15" hidden="false" customHeight="false" outlineLevel="0" collapsed="false">
      <c r="A234" s="3" t="s">
        <v>513</v>
      </c>
      <c r="B234" s="3" t="s">
        <v>514</v>
      </c>
      <c r="C234" s="3" t="n">
        <v>1</v>
      </c>
      <c r="D234" s="3" t="s">
        <v>636</v>
      </c>
      <c r="E234" s="3" t="n">
        <v>307.7</v>
      </c>
      <c r="F234" s="3" t="s">
        <v>636</v>
      </c>
      <c r="G234" s="3" t="n">
        <v>307.7</v>
      </c>
      <c r="H234" s="3" t="n">
        <v>1</v>
      </c>
      <c r="I234" s="3" t="s">
        <v>65</v>
      </c>
      <c r="J234" s="3" t="n">
        <v>0.18</v>
      </c>
      <c r="K234" s="3" t="n">
        <v>-0.78</v>
      </c>
      <c r="L234" s="3" t="n">
        <v>-6.58</v>
      </c>
      <c r="M234" s="3" t="n">
        <v>-8.86</v>
      </c>
      <c r="N234" s="3" t="n">
        <v>-19.35</v>
      </c>
      <c r="O234" s="3" t="n">
        <v>227.5</v>
      </c>
      <c r="P234" s="3" t="n">
        <v>-26.06</v>
      </c>
      <c r="Q234" s="3"/>
    </row>
    <row r="235" customFormat="false" ht="15" hidden="false" customHeight="false" outlineLevel="0" collapsed="false">
      <c r="A235" s="3" t="s">
        <v>639</v>
      </c>
      <c r="B235" s="3" t="s">
        <v>640</v>
      </c>
      <c r="C235" s="3" t="n">
        <v>0</v>
      </c>
      <c r="D235" s="3" t="s">
        <v>636</v>
      </c>
      <c r="E235" s="3" t="n">
        <v>152.87</v>
      </c>
      <c r="F235" s="3" t="s">
        <v>636</v>
      </c>
      <c r="G235" s="3" t="n">
        <v>152.87</v>
      </c>
      <c r="H235" s="3" t="n">
        <v>1</v>
      </c>
      <c r="I235" s="3" t="s">
        <v>65</v>
      </c>
      <c r="J235" s="3" t="n">
        <v>2.92</v>
      </c>
      <c r="K235" s="3" t="n">
        <v>8.86</v>
      </c>
      <c r="L235" s="3" t="n">
        <v>5.84</v>
      </c>
      <c r="M235" s="3" t="n">
        <v>-3.12</v>
      </c>
      <c r="N235" s="3" t="n">
        <v>-5.01</v>
      </c>
      <c r="O235" s="3" t="n">
        <v>129.99</v>
      </c>
      <c r="P235" s="3" t="n">
        <v>-14.97</v>
      </c>
      <c r="Q235" s="3"/>
    </row>
    <row r="236" customFormat="false" ht="15" hidden="false" customHeight="false" outlineLevel="0" collapsed="false">
      <c r="A236" s="3" t="s">
        <v>642</v>
      </c>
      <c r="B236" s="3" t="s">
        <v>643</v>
      </c>
      <c r="C236" s="3" t="n">
        <v>0</v>
      </c>
      <c r="D236" s="3" t="s">
        <v>636</v>
      </c>
      <c r="E236" s="3" t="n">
        <v>417.6</v>
      </c>
      <c r="F236" s="3" t="s">
        <v>636</v>
      </c>
      <c r="G236" s="3" t="n">
        <v>417.6</v>
      </c>
      <c r="H236" s="3" t="n">
        <v>1</v>
      </c>
      <c r="I236" s="3" t="s">
        <v>65</v>
      </c>
      <c r="J236" s="3" t="n">
        <v>-1.76</v>
      </c>
      <c r="K236" s="3" t="n">
        <v>-0.07</v>
      </c>
      <c r="L236" s="3" t="n">
        <v>4.3</v>
      </c>
      <c r="M236" s="3" t="n">
        <v>10.81</v>
      </c>
      <c r="N236" s="3" t="n">
        <v>-1.59</v>
      </c>
      <c r="O236" s="3" t="n">
        <v>385.5</v>
      </c>
      <c r="P236" s="3" t="n">
        <v>-7.69</v>
      </c>
      <c r="Q236" s="3"/>
    </row>
    <row r="237" customFormat="false" ht="15" hidden="false" customHeight="false" outlineLevel="0" collapsed="false">
      <c r="A237" s="3" t="s">
        <v>293</v>
      </c>
      <c r="B237" s="3" t="s">
        <v>294</v>
      </c>
      <c r="C237" s="3" t="n">
        <v>1</v>
      </c>
      <c r="D237" s="3" t="s">
        <v>636</v>
      </c>
      <c r="E237" s="3" t="n">
        <v>846.4</v>
      </c>
      <c r="F237" s="3" t="s">
        <v>636</v>
      </c>
      <c r="G237" s="3" t="n">
        <v>846.4</v>
      </c>
      <c r="H237" s="3" t="n">
        <v>1</v>
      </c>
      <c r="I237" s="3" t="s">
        <v>65</v>
      </c>
      <c r="J237" s="3" t="n">
        <v>0.67</v>
      </c>
      <c r="K237" s="3" t="n">
        <v>5.95</v>
      </c>
      <c r="L237" s="3" t="n">
        <v>3.23</v>
      </c>
      <c r="M237" s="3" t="n">
        <v>10.99</v>
      </c>
      <c r="N237" s="3" t="n">
        <v>-1.87</v>
      </c>
      <c r="O237" s="3" t="n">
        <v>802.45</v>
      </c>
      <c r="P237" s="3" t="n">
        <v>-5.19</v>
      </c>
      <c r="Q237" s="3"/>
    </row>
    <row r="238" customFormat="false" ht="15" hidden="false" customHeight="false" outlineLevel="0" collapsed="false">
      <c r="A238" s="3" t="s">
        <v>175</v>
      </c>
      <c r="B238" s="3" t="s">
        <v>176</v>
      </c>
      <c r="C238" s="3" t="n">
        <v>3</v>
      </c>
      <c r="D238" s="3" t="s">
        <v>636</v>
      </c>
      <c r="E238" s="3" t="n">
        <v>1181.8</v>
      </c>
      <c r="F238" s="3" t="s">
        <v>636</v>
      </c>
      <c r="G238" s="3" t="n">
        <v>1181.8</v>
      </c>
      <c r="H238" s="3" t="n">
        <v>1</v>
      </c>
      <c r="I238" s="3" t="s">
        <v>65</v>
      </c>
      <c r="J238" s="3" t="n">
        <v>0.47</v>
      </c>
      <c r="K238" s="3" t="n">
        <v>0.22</v>
      </c>
      <c r="L238" s="3" t="n">
        <v>4.25</v>
      </c>
      <c r="M238" s="3" t="n">
        <v>4.95</v>
      </c>
      <c r="N238" s="3" t="n">
        <v>3.82</v>
      </c>
      <c r="O238" s="3" t="n">
        <v>1264.1</v>
      </c>
      <c r="P238" s="3" t="n">
        <v>6.96</v>
      </c>
      <c r="Q238" s="3"/>
    </row>
    <row r="239" customFormat="false" ht="15" hidden="false" customHeight="false" outlineLevel="0" collapsed="false">
      <c r="A239" s="3" t="s">
        <v>396</v>
      </c>
      <c r="B239" s="3" t="s">
        <v>397</v>
      </c>
      <c r="C239" s="3" t="n">
        <v>3</v>
      </c>
      <c r="D239" s="3" t="s">
        <v>648</v>
      </c>
      <c r="E239" s="3" t="n">
        <v>1025.4</v>
      </c>
      <c r="F239" s="3" t="s">
        <v>648</v>
      </c>
      <c r="G239" s="3" t="n">
        <v>1025.4</v>
      </c>
      <c r="H239" s="3" t="n">
        <v>1</v>
      </c>
      <c r="I239" s="3" t="s">
        <v>65</v>
      </c>
      <c r="J239" s="3" t="n">
        <v>-0.43</v>
      </c>
      <c r="K239" s="3" t="n">
        <v>-5.78</v>
      </c>
      <c r="L239" s="3" t="n">
        <v>-1.5</v>
      </c>
      <c r="M239" s="3" t="n">
        <v>-2.71</v>
      </c>
      <c r="N239" s="3" t="n">
        <v>0.95</v>
      </c>
      <c r="O239" s="3" t="n">
        <v>995.3</v>
      </c>
      <c r="P239" s="3" t="n">
        <v>-2.94</v>
      </c>
      <c r="Q239" s="3"/>
    </row>
    <row r="240" customFormat="false" ht="15" hidden="false" customHeight="false" outlineLevel="0" collapsed="false">
      <c r="A240" s="3" t="s">
        <v>562</v>
      </c>
      <c r="B240" s="3" t="s">
        <v>563</v>
      </c>
      <c r="C240" s="3" t="n">
        <v>1</v>
      </c>
      <c r="D240" s="3" t="s">
        <v>648</v>
      </c>
      <c r="E240" s="3" t="n">
        <v>2809.6</v>
      </c>
      <c r="F240" s="3" t="s">
        <v>648</v>
      </c>
      <c r="G240" s="3" t="n">
        <v>2809.6</v>
      </c>
      <c r="H240" s="3" t="n">
        <v>1</v>
      </c>
      <c r="I240" s="3" t="s">
        <v>65</v>
      </c>
      <c r="J240" s="3" t="n">
        <v>-1.05</v>
      </c>
      <c r="K240" s="3" t="n">
        <v>-1.8</v>
      </c>
      <c r="L240" s="3" t="n">
        <v>3.67</v>
      </c>
      <c r="M240" s="3" t="n">
        <v>-1.76</v>
      </c>
      <c r="N240" s="3" t="n">
        <v>9.37</v>
      </c>
      <c r="O240" s="3" t="n">
        <v>3150</v>
      </c>
      <c r="P240" s="3" t="n">
        <v>12.12</v>
      </c>
      <c r="Q240" s="3"/>
    </row>
    <row r="241" customFormat="false" ht="15" hidden="false" customHeight="false" outlineLevel="0" collapsed="false">
      <c r="A241" s="3" t="s">
        <v>364</v>
      </c>
      <c r="B241" s="3" t="s">
        <v>365</v>
      </c>
      <c r="C241" s="3" t="n">
        <v>4</v>
      </c>
      <c r="D241" s="3" t="s">
        <v>648</v>
      </c>
      <c r="E241" s="3" t="n">
        <v>678</v>
      </c>
      <c r="F241" s="3" t="s">
        <v>648</v>
      </c>
      <c r="G241" s="3" t="n">
        <v>678</v>
      </c>
      <c r="H241" s="3" t="n">
        <v>1</v>
      </c>
      <c r="I241" s="3" t="s">
        <v>65</v>
      </c>
      <c r="J241" s="3" t="n">
        <v>-2.51</v>
      </c>
      <c r="K241" s="3" t="n">
        <v>-5.8</v>
      </c>
      <c r="L241" s="3" t="n">
        <v>-5.48</v>
      </c>
      <c r="M241" s="3" t="n">
        <v>-17.71</v>
      </c>
      <c r="N241" s="3" t="n">
        <v>-24.95</v>
      </c>
      <c r="O241" s="3" t="n">
        <v>458.7</v>
      </c>
      <c r="P241" s="3" t="n">
        <v>-32.35</v>
      </c>
      <c r="Q241" s="3"/>
    </row>
    <row r="242" customFormat="false" ht="15" hidden="false" customHeight="false" outlineLevel="0" collapsed="false">
      <c r="A242" s="3" t="s">
        <v>190</v>
      </c>
      <c r="B242" s="3" t="s">
        <v>60</v>
      </c>
      <c r="C242" s="3" t="n">
        <v>3</v>
      </c>
      <c r="D242" s="3" t="s">
        <v>648</v>
      </c>
      <c r="E242" s="3" t="n">
        <v>6308</v>
      </c>
      <c r="F242" s="3" t="s">
        <v>648</v>
      </c>
      <c r="G242" s="3" t="n">
        <v>6308</v>
      </c>
      <c r="H242" s="3" t="n">
        <v>1</v>
      </c>
      <c r="I242" s="3" t="s">
        <v>65</v>
      </c>
      <c r="J242" s="3" t="n">
        <v>1.57</v>
      </c>
      <c r="K242" s="3" t="n">
        <v>-6.57</v>
      </c>
      <c r="L242" s="3" t="n">
        <v>-18.86</v>
      </c>
      <c r="M242" s="3" t="s">
        <v>2391</v>
      </c>
      <c r="N242" s="3" t="s">
        <v>2391</v>
      </c>
      <c r="O242" s="3" t="s">
        <v>60</v>
      </c>
      <c r="P242" s="3" t="s">
        <v>60</v>
      </c>
      <c r="Q242" s="3"/>
    </row>
    <row r="243" customFormat="false" ht="15" hidden="false" customHeight="false" outlineLevel="0" collapsed="false">
      <c r="A243" s="3" t="s">
        <v>303</v>
      </c>
      <c r="B243" s="3" t="s">
        <v>304</v>
      </c>
      <c r="C243" s="3" t="n">
        <v>3</v>
      </c>
      <c r="D243" s="3" t="s">
        <v>648</v>
      </c>
      <c r="E243" s="3" t="n">
        <v>995.45</v>
      </c>
      <c r="F243" s="3" t="s">
        <v>648</v>
      </c>
      <c r="G243" s="3" t="n">
        <v>995.45</v>
      </c>
      <c r="H243" s="3" t="n">
        <v>1</v>
      </c>
      <c r="I243" s="3" t="s">
        <v>65</v>
      </c>
      <c r="J243" s="3" t="n">
        <v>1.5</v>
      </c>
      <c r="K243" s="3" t="n">
        <v>0.81</v>
      </c>
      <c r="L243" s="3" t="n">
        <v>9.04</v>
      </c>
      <c r="M243" s="3" t="n">
        <v>4.99</v>
      </c>
      <c r="N243" s="3" t="n">
        <v>2.91</v>
      </c>
      <c r="O243" s="3" t="n">
        <v>976.3</v>
      </c>
      <c r="P243" s="3" t="n">
        <v>-1.92</v>
      </c>
      <c r="Q243" s="3"/>
    </row>
    <row r="244" customFormat="false" ht="15" hidden="false" customHeight="false" outlineLevel="0" collapsed="false">
      <c r="A244" s="3" t="s">
        <v>145</v>
      </c>
      <c r="B244" s="3" t="s">
        <v>146</v>
      </c>
      <c r="C244" s="3" t="n">
        <v>4</v>
      </c>
      <c r="D244" s="3" t="s">
        <v>648</v>
      </c>
      <c r="E244" s="3" t="n">
        <v>1670.5</v>
      </c>
      <c r="F244" s="3" t="s">
        <v>648</v>
      </c>
      <c r="G244" s="3" t="n">
        <v>1670.5</v>
      </c>
      <c r="H244" s="3" t="n">
        <v>1</v>
      </c>
      <c r="I244" s="3" t="s">
        <v>65</v>
      </c>
      <c r="J244" s="3" t="n">
        <v>2.86</v>
      </c>
      <c r="K244" s="3" t="n">
        <v>1.83</v>
      </c>
      <c r="L244" s="3" t="n">
        <v>-9.45</v>
      </c>
      <c r="M244" s="3" t="n">
        <v>-9.94</v>
      </c>
      <c r="N244" s="3" t="n">
        <v>-9.59</v>
      </c>
      <c r="O244" s="3" t="n">
        <v>1542.2</v>
      </c>
      <c r="P244" s="3" t="n">
        <v>-7.68</v>
      </c>
      <c r="Q244" s="3"/>
    </row>
    <row r="245" customFormat="false" ht="15" hidden="false" customHeight="false" outlineLevel="0" collapsed="false">
      <c r="A245" s="3" t="s">
        <v>655</v>
      </c>
      <c r="B245" s="3" t="s">
        <v>656</v>
      </c>
      <c r="C245" s="3" t="n">
        <v>0</v>
      </c>
      <c r="D245" s="3" t="s">
        <v>648</v>
      </c>
      <c r="E245" s="3" t="n">
        <v>12378</v>
      </c>
      <c r="F245" s="3" t="s">
        <v>648</v>
      </c>
      <c r="G245" s="3" t="n">
        <v>12378</v>
      </c>
      <c r="H245" s="3" t="n">
        <v>1</v>
      </c>
      <c r="I245" s="3" t="s">
        <v>65</v>
      </c>
      <c r="J245" s="3" t="n">
        <v>-0.65</v>
      </c>
      <c r="K245" s="3" t="n">
        <v>-0.07</v>
      </c>
      <c r="L245" s="3" t="n">
        <v>4.87</v>
      </c>
      <c r="M245" s="3" t="n">
        <v>-3.72</v>
      </c>
      <c r="N245" s="3" t="n">
        <v>-4.9</v>
      </c>
      <c r="O245" s="3" t="n">
        <v>11025</v>
      </c>
      <c r="P245" s="3" t="n">
        <v>-10.93</v>
      </c>
      <c r="Q245" s="3"/>
    </row>
    <row r="246" customFormat="false" ht="15" hidden="false" customHeight="false" outlineLevel="0" collapsed="false">
      <c r="A246" s="3" t="s">
        <v>148</v>
      </c>
      <c r="B246" s="3" t="s">
        <v>149</v>
      </c>
      <c r="C246" s="3" t="n">
        <v>2</v>
      </c>
      <c r="D246" s="3" t="s">
        <v>658</v>
      </c>
      <c r="E246" s="3" t="n">
        <v>4086.6</v>
      </c>
      <c r="F246" s="3" t="s">
        <v>658</v>
      </c>
      <c r="G246" s="3" t="n">
        <v>4086.6</v>
      </c>
      <c r="H246" s="3" t="n">
        <v>1</v>
      </c>
      <c r="I246" s="3" t="s">
        <v>65</v>
      </c>
      <c r="J246" s="3" t="n">
        <v>-2.69</v>
      </c>
      <c r="K246" s="3" t="n">
        <v>-2.18</v>
      </c>
      <c r="L246" s="3" t="n">
        <v>4.2</v>
      </c>
      <c r="M246" s="3" t="n">
        <v>1.2</v>
      </c>
      <c r="N246" s="3" t="n">
        <v>16.55</v>
      </c>
      <c r="O246" s="3" t="n">
        <v>4869</v>
      </c>
      <c r="P246" s="3" t="n">
        <v>19.15</v>
      </c>
      <c r="Q246" s="3"/>
    </row>
    <row r="247" customFormat="false" ht="15" hidden="false" customHeight="false" outlineLevel="0" collapsed="false">
      <c r="A247" s="3" t="s">
        <v>660</v>
      </c>
      <c r="B247" s="3" t="s">
        <v>661</v>
      </c>
      <c r="C247" s="3" t="n">
        <v>0</v>
      </c>
      <c r="D247" s="3" t="s">
        <v>658</v>
      </c>
      <c r="E247" s="3" t="n">
        <v>177.43</v>
      </c>
      <c r="F247" s="3" t="s">
        <v>658</v>
      </c>
      <c r="G247" s="3" t="n">
        <v>177.43</v>
      </c>
      <c r="H247" s="3" t="n">
        <v>1</v>
      </c>
      <c r="I247" s="3" t="s">
        <v>65</v>
      </c>
      <c r="J247" s="3" t="n">
        <v>-0.96</v>
      </c>
      <c r="K247" s="3" t="n">
        <v>-1.25</v>
      </c>
      <c r="L247" s="3" t="n">
        <v>6.46</v>
      </c>
      <c r="M247" s="3" t="n">
        <v>7.86</v>
      </c>
      <c r="N247" s="3" t="n">
        <v>-5.06</v>
      </c>
      <c r="O247" s="3" t="n">
        <v>171.75</v>
      </c>
      <c r="P247" s="3" t="n">
        <v>-3.2</v>
      </c>
      <c r="Q247" s="3"/>
    </row>
    <row r="248" customFormat="false" ht="15" hidden="false" customHeight="false" outlineLevel="0" collapsed="false">
      <c r="A248" s="3" t="s">
        <v>664</v>
      </c>
      <c r="B248" s="3" t="s">
        <v>665</v>
      </c>
      <c r="C248" s="3" t="n">
        <v>0</v>
      </c>
      <c r="D248" s="3" t="s">
        <v>663</v>
      </c>
      <c r="E248" s="3" t="n">
        <v>1459.1</v>
      </c>
      <c r="F248" s="3" t="s">
        <v>663</v>
      </c>
      <c r="G248" s="3" t="n">
        <v>1459.1</v>
      </c>
      <c r="H248" s="3" t="n">
        <v>1</v>
      </c>
      <c r="I248" s="3" t="s">
        <v>65</v>
      </c>
      <c r="J248" s="3" t="n">
        <v>-1.45</v>
      </c>
      <c r="K248" s="3" t="n">
        <v>9.04</v>
      </c>
      <c r="L248" s="3" t="n">
        <v>30.35</v>
      </c>
      <c r="M248" s="3" t="n">
        <v>30.75</v>
      </c>
      <c r="N248" s="3" t="n">
        <v>49.5</v>
      </c>
      <c r="O248" s="3" t="n">
        <v>1957</v>
      </c>
      <c r="P248" s="3" t="n">
        <v>34.12</v>
      </c>
      <c r="Q248" s="3"/>
    </row>
    <row r="249" customFormat="false" ht="15" hidden="false" customHeight="false" outlineLevel="0" collapsed="false">
      <c r="A249" s="3" t="s">
        <v>490</v>
      </c>
      <c r="B249" s="3" t="s">
        <v>491</v>
      </c>
      <c r="C249" s="3" t="n">
        <v>1</v>
      </c>
      <c r="D249" s="3" t="s">
        <v>663</v>
      </c>
      <c r="E249" s="3" t="n">
        <v>362.35</v>
      </c>
      <c r="F249" s="3" t="s">
        <v>683</v>
      </c>
      <c r="G249" s="3" t="n">
        <v>366.95</v>
      </c>
      <c r="H249" s="3" t="n">
        <v>2</v>
      </c>
      <c r="I249" s="3" t="s">
        <v>70</v>
      </c>
      <c r="J249" s="3" t="n">
        <v>1.27</v>
      </c>
      <c r="K249" s="3" t="n">
        <v>5.55</v>
      </c>
      <c r="L249" s="3" t="n">
        <v>5.16</v>
      </c>
      <c r="M249" s="3" t="n">
        <v>-16.13</v>
      </c>
      <c r="N249" s="3" t="n">
        <v>-12.72</v>
      </c>
      <c r="O249" s="3" t="n">
        <v>302.25</v>
      </c>
      <c r="P249" s="3" t="n">
        <v>-16.59</v>
      </c>
      <c r="Q249" s="3"/>
    </row>
    <row r="250" customFormat="false" ht="15" hidden="false" customHeight="false" outlineLevel="0" collapsed="false">
      <c r="A250" s="3" t="s">
        <v>493</v>
      </c>
      <c r="B250" s="3" t="s">
        <v>494</v>
      </c>
      <c r="C250" s="3" t="n">
        <v>1</v>
      </c>
      <c r="D250" s="3" t="s">
        <v>663</v>
      </c>
      <c r="E250" s="3" t="n">
        <v>515.75</v>
      </c>
      <c r="F250" s="3" t="s">
        <v>663</v>
      </c>
      <c r="G250" s="3" t="n">
        <v>515.75</v>
      </c>
      <c r="H250" s="3" t="n">
        <v>1</v>
      </c>
      <c r="I250" s="3" t="s">
        <v>65</v>
      </c>
      <c r="J250" s="3" t="n">
        <v>-1.03</v>
      </c>
      <c r="K250" s="3" t="n">
        <v>-2.82</v>
      </c>
      <c r="L250" s="3" t="n">
        <v>0.56</v>
      </c>
      <c r="M250" s="3" t="n">
        <v>-11.59</v>
      </c>
      <c r="N250" s="3" t="n">
        <v>-17.14</v>
      </c>
      <c r="O250" s="3" t="n">
        <v>385.75</v>
      </c>
      <c r="P250" s="3" t="n">
        <v>-25.21</v>
      </c>
      <c r="Q250" s="3"/>
    </row>
    <row r="251" customFormat="false" ht="15" hidden="false" customHeight="false" outlineLevel="0" collapsed="false">
      <c r="A251" s="3" t="s">
        <v>96</v>
      </c>
      <c r="B251" s="3" t="s">
        <v>97</v>
      </c>
      <c r="C251" s="3" t="n">
        <v>4</v>
      </c>
      <c r="D251" s="3" t="s">
        <v>663</v>
      </c>
      <c r="E251" s="3" t="n">
        <v>407.75</v>
      </c>
      <c r="F251" s="3" t="s">
        <v>683</v>
      </c>
      <c r="G251" s="3" t="n">
        <v>411.8</v>
      </c>
      <c r="H251" s="3" t="n">
        <v>2</v>
      </c>
      <c r="I251" s="3" t="s">
        <v>70</v>
      </c>
      <c r="J251" s="3" t="n">
        <v>0.99</v>
      </c>
      <c r="K251" s="3" t="n">
        <v>9.94</v>
      </c>
      <c r="L251" s="3" t="n">
        <v>7.82</v>
      </c>
      <c r="M251" s="3" t="n">
        <v>14.36</v>
      </c>
      <c r="N251" s="3" t="n">
        <v>15.27</v>
      </c>
      <c r="O251" s="3" t="n">
        <v>407.5</v>
      </c>
      <c r="P251" s="3" t="n">
        <v>-0.06</v>
      </c>
      <c r="Q251" s="3"/>
    </row>
    <row r="252" customFormat="false" ht="15" hidden="false" customHeight="false" outlineLevel="0" collapsed="false">
      <c r="A252" s="3" t="s">
        <v>260</v>
      </c>
      <c r="B252" s="3" t="s">
        <v>261</v>
      </c>
      <c r="C252" s="3" t="n">
        <v>2</v>
      </c>
      <c r="D252" s="3" t="s">
        <v>663</v>
      </c>
      <c r="E252" s="3" t="n">
        <v>93.91</v>
      </c>
      <c r="F252" s="3" t="s">
        <v>663</v>
      </c>
      <c r="G252" s="3" t="n">
        <v>93.91</v>
      </c>
      <c r="H252" s="3" t="n">
        <v>1</v>
      </c>
      <c r="I252" s="3" t="s">
        <v>65</v>
      </c>
      <c r="J252" s="3" t="n">
        <v>0.29</v>
      </c>
      <c r="K252" s="3" t="n">
        <v>4.44</v>
      </c>
      <c r="L252" s="3" t="n">
        <v>8.9</v>
      </c>
      <c r="M252" s="3" t="n">
        <v>2.68</v>
      </c>
      <c r="N252" s="3" t="n">
        <v>15</v>
      </c>
      <c r="O252" s="3" t="n">
        <v>94.75</v>
      </c>
      <c r="P252" s="3" t="n">
        <v>0.89</v>
      </c>
      <c r="Q252" s="3"/>
    </row>
    <row r="253" customFormat="false" ht="15" hidden="false" customHeight="false" outlineLevel="0" collapsed="false">
      <c r="A253" s="3" t="s">
        <v>671</v>
      </c>
      <c r="B253" s="3" t="s">
        <v>672</v>
      </c>
      <c r="C253" s="3" t="n">
        <v>0</v>
      </c>
      <c r="D253" s="3" t="s">
        <v>663</v>
      </c>
      <c r="E253" s="3" t="n">
        <v>4624</v>
      </c>
      <c r="F253" s="3" t="s">
        <v>663</v>
      </c>
      <c r="G253" s="3" t="n">
        <v>4624</v>
      </c>
      <c r="H253" s="3" t="n">
        <v>1</v>
      </c>
      <c r="I253" s="3" t="s">
        <v>65</v>
      </c>
      <c r="J253" s="3" t="n">
        <v>-0.5</v>
      </c>
      <c r="K253" s="3" t="n">
        <v>-8.8</v>
      </c>
      <c r="L253" s="3" t="n">
        <v>-13.82</v>
      </c>
      <c r="M253" s="3" t="n">
        <v>-5.89</v>
      </c>
      <c r="N253" s="3" t="n">
        <v>-0.11</v>
      </c>
      <c r="O253" s="3" t="n">
        <v>4738</v>
      </c>
      <c r="P253" s="3" t="n">
        <v>2.47</v>
      </c>
      <c r="Q253" s="3"/>
    </row>
    <row r="254" customFormat="false" ht="15" hidden="false" customHeight="false" outlineLevel="0" collapsed="false">
      <c r="A254" s="3" t="s">
        <v>101</v>
      </c>
      <c r="B254" s="3" t="s">
        <v>102</v>
      </c>
      <c r="C254" s="3" t="n">
        <v>2</v>
      </c>
      <c r="D254" s="3" t="s">
        <v>663</v>
      </c>
      <c r="E254" s="3" t="n">
        <v>2477.6</v>
      </c>
      <c r="F254" s="3" t="s">
        <v>663</v>
      </c>
      <c r="G254" s="3" t="n">
        <v>2477.6</v>
      </c>
      <c r="H254" s="3" t="n">
        <v>1</v>
      </c>
      <c r="I254" s="3" t="s">
        <v>65</v>
      </c>
      <c r="J254" s="3" t="n">
        <v>2.69</v>
      </c>
      <c r="K254" s="3" t="n">
        <v>9.99</v>
      </c>
      <c r="L254" s="3" t="n">
        <v>10.75</v>
      </c>
      <c r="M254" s="3" t="n">
        <v>12.52</v>
      </c>
      <c r="N254" s="3" t="n">
        <v>3.02</v>
      </c>
      <c r="O254" s="3" t="n">
        <v>2302.3</v>
      </c>
      <c r="P254" s="3" t="n">
        <v>-7.08</v>
      </c>
      <c r="Q254" s="3"/>
    </row>
    <row r="255" customFormat="false" ht="15" hidden="false" customHeight="false" outlineLevel="0" collapsed="false">
      <c r="A255" s="3" t="s">
        <v>136</v>
      </c>
      <c r="B255" s="3" t="s">
        <v>137</v>
      </c>
      <c r="C255" s="3" t="n">
        <v>7</v>
      </c>
      <c r="D255" s="3" t="s">
        <v>663</v>
      </c>
      <c r="E255" s="3" t="n">
        <v>162.85</v>
      </c>
      <c r="F255" s="3" t="s">
        <v>663</v>
      </c>
      <c r="G255" s="3" t="n">
        <v>162.85</v>
      </c>
      <c r="H255" s="3" t="n">
        <v>1</v>
      </c>
      <c r="I255" s="3" t="s">
        <v>65</v>
      </c>
      <c r="J255" s="3" t="n">
        <v>0.15</v>
      </c>
      <c r="K255" s="3" t="n">
        <v>6.1</v>
      </c>
      <c r="L255" s="3" t="n">
        <v>12.39</v>
      </c>
      <c r="M255" s="3" t="n">
        <v>-11.46</v>
      </c>
      <c r="N255" s="3" t="n">
        <v>-13.1</v>
      </c>
      <c r="O255" s="3" t="n">
        <v>133.32</v>
      </c>
      <c r="P255" s="3" t="n">
        <v>-18.13</v>
      </c>
      <c r="Q255" s="3"/>
    </row>
    <row r="256" customFormat="false" ht="15" hidden="false" customHeight="false" outlineLevel="0" collapsed="false">
      <c r="A256" s="3" t="s">
        <v>272</v>
      </c>
      <c r="B256" s="3" t="s">
        <v>273</v>
      </c>
      <c r="C256" s="3" t="n">
        <v>1</v>
      </c>
      <c r="D256" s="3" t="s">
        <v>663</v>
      </c>
      <c r="E256" s="3" t="n">
        <v>348.05</v>
      </c>
      <c r="F256" s="3" t="s">
        <v>683</v>
      </c>
      <c r="G256" s="3" t="n">
        <v>358.15</v>
      </c>
      <c r="H256" s="3" t="n">
        <v>2</v>
      </c>
      <c r="I256" s="3" t="s">
        <v>70</v>
      </c>
      <c r="J256" s="3" t="n">
        <v>2.9</v>
      </c>
      <c r="K256" s="3" t="n">
        <v>5.52</v>
      </c>
      <c r="L256" s="3" t="n">
        <v>10.59</v>
      </c>
      <c r="M256" s="3" t="n">
        <v>15.3</v>
      </c>
      <c r="N256" s="3" t="n">
        <v>0.79</v>
      </c>
      <c r="O256" s="3" t="n">
        <v>321.1</v>
      </c>
      <c r="P256" s="3" t="n">
        <v>-7.74</v>
      </c>
      <c r="Q256" s="3"/>
    </row>
    <row r="257" customFormat="false" ht="15" hidden="false" customHeight="false" outlineLevel="0" collapsed="false">
      <c r="A257" s="3" t="s">
        <v>529</v>
      </c>
      <c r="B257" s="3" t="s">
        <v>530</v>
      </c>
      <c r="C257" s="3" t="n">
        <v>1</v>
      </c>
      <c r="D257" s="3" t="s">
        <v>663</v>
      </c>
      <c r="E257" s="3" t="n">
        <v>259.8</v>
      </c>
      <c r="F257" s="3" t="s">
        <v>683</v>
      </c>
      <c r="G257" s="3" t="n">
        <v>260.5</v>
      </c>
      <c r="H257" s="3" t="n">
        <v>2</v>
      </c>
      <c r="I257" s="3" t="s">
        <v>70</v>
      </c>
      <c r="J257" s="3" t="n">
        <v>0.27</v>
      </c>
      <c r="K257" s="3" t="n">
        <v>11.39</v>
      </c>
      <c r="L257" s="3" t="n">
        <v>18.26</v>
      </c>
      <c r="M257" s="3" t="n">
        <v>23.31</v>
      </c>
      <c r="N257" s="3" t="n">
        <v>11.18</v>
      </c>
      <c r="O257" s="3" t="n">
        <v>261.85</v>
      </c>
      <c r="P257" s="3" t="n">
        <v>0.79</v>
      </c>
      <c r="Q257" s="3"/>
    </row>
    <row r="258" customFormat="false" ht="15" hidden="false" customHeight="false" outlineLevel="0" collapsed="false">
      <c r="A258" s="3" t="s">
        <v>504</v>
      </c>
      <c r="B258" s="3" t="s">
        <v>505</v>
      </c>
      <c r="C258" s="3" t="n">
        <v>2</v>
      </c>
      <c r="D258" s="3" t="s">
        <v>663</v>
      </c>
      <c r="E258" s="3" t="n">
        <v>141.83</v>
      </c>
      <c r="F258" s="3" t="s">
        <v>683</v>
      </c>
      <c r="G258" s="3" t="n">
        <v>147.57</v>
      </c>
      <c r="H258" s="3" t="n">
        <v>2</v>
      </c>
      <c r="I258" s="3" t="s">
        <v>70</v>
      </c>
      <c r="J258" s="3" t="n">
        <v>4.05</v>
      </c>
      <c r="K258" s="3" t="n">
        <v>5.92</v>
      </c>
      <c r="L258" s="3" t="n">
        <v>11.36</v>
      </c>
      <c r="M258" s="3" t="n">
        <v>-0.52</v>
      </c>
      <c r="N258" s="3" t="n">
        <v>16.31</v>
      </c>
      <c r="O258" s="3" t="n">
        <v>138.82</v>
      </c>
      <c r="P258" s="3" t="n">
        <v>-2.12</v>
      </c>
      <c r="Q258" s="3"/>
    </row>
    <row r="259" customFormat="false" ht="15" hidden="false" customHeight="false" outlineLevel="0" collapsed="false">
      <c r="A259" s="3" t="s">
        <v>608</v>
      </c>
      <c r="B259" s="3" t="s">
        <v>609</v>
      </c>
      <c r="C259" s="3" t="n">
        <v>2</v>
      </c>
      <c r="D259" s="3" t="s">
        <v>663</v>
      </c>
      <c r="E259" s="3" t="n">
        <v>2053.2</v>
      </c>
      <c r="F259" s="3" t="s">
        <v>663</v>
      </c>
      <c r="G259" s="3" t="n">
        <v>2053.2</v>
      </c>
      <c r="H259" s="3" t="n">
        <v>1</v>
      </c>
      <c r="I259" s="3" t="s">
        <v>65</v>
      </c>
      <c r="J259" s="3" t="n">
        <v>-2.77</v>
      </c>
      <c r="K259" s="3" t="n">
        <v>-0.56</v>
      </c>
      <c r="L259" s="3" t="n">
        <v>0.99</v>
      </c>
      <c r="M259" s="3" t="n">
        <v>-11.54</v>
      </c>
      <c r="N259" s="3" t="n">
        <v>-9.08</v>
      </c>
      <c r="O259" s="3" t="n">
        <v>1728.1</v>
      </c>
      <c r="P259" s="3" t="n">
        <v>-15.83</v>
      </c>
      <c r="Q259" s="3"/>
    </row>
    <row r="260" customFormat="false" ht="15" hidden="false" customHeight="false" outlineLevel="0" collapsed="false">
      <c r="A260" s="3" t="s">
        <v>680</v>
      </c>
      <c r="B260" s="3" t="s">
        <v>681</v>
      </c>
      <c r="C260" s="3" t="n">
        <v>0</v>
      </c>
      <c r="D260" s="3" t="s">
        <v>663</v>
      </c>
      <c r="E260" s="3" t="n">
        <v>2280.7</v>
      </c>
      <c r="F260" s="3" t="s">
        <v>663</v>
      </c>
      <c r="G260" s="3" t="n">
        <v>2280.7</v>
      </c>
      <c r="H260" s="3" t="n">
        <v>1</v>
      </c>
      <c r="I260" s="3" t="s">
        <v>65</v>
      </c>
      <c r="J260" s="3" t="n">
        <v>1.96</v>
      </c>
      <c r="K260" s="3" t="n">
        <v>15.64</v>
      </c>
      <c r="L260" s="3" t="n">
        <v>14.82</v>
      </c>
      <c r="M260" s="3" t="n">
        <v>30.01</v>
      </c>
      <c r="N260" s="3" t="n">
        <v>24.93</v>
      </c>
      <c r="O260" s="3" t="n">
        <v>2459</v>
      </c>
      <c r="P260" s="3" t="n">
        <v>7.82</v>
      </c>
      <c r="Q260" s="3"/>
    </row>
    <row r="261" customFormat="false" ht="15" hidden="false" customHeight="false" outlineLevel="0" collapsed="false">
      <c r="A261" s="3" t="s">
        <v>437</v>
      </c>
      <c r="B261" s="3" t="s">
        <v>438</v>
      </c>
      <c r="C261" s="3" t="n">
        <v>1</v>
      </c>
      <c r="D261" s="3" t="s">
        <v>683</v>
      </c>
      <c r="E261" s="3" t="n">
        <v>536.05</v>
      </c>
      <c r="F261" s="3" t="s">
        <v>683</v>
      </c>
      <c r="G261" s="3" t="n">
        <v>536.05</v>
      </c>
      <c r="H261" s="3" t="n">
        <v>1</v>
      </c>
      <c r="I261" s="3" t="s">
        <v>65</v>
      </c>
      <c r="J261" s="3" t="n">
        <v>-4.83</v>
      </c>
      <c r="K261" s="3" t="n">
        <v>-0.56</v>
      </c>
      <c r="L261" s="3" t="n">
        <v>-4.46</v>
      </c>
      <c r="M261" s="3" t="n">
        <v>-17.13</v>
      </c>
      <c r="N261" s="3" t="n">
        <v>-20.53</v>
      </c>
      <c r="O261" s="3" t="n">
        <v>374.35</v>
      </c>
      <c r="P261" s="3" t="n">
        <v>-30.17</v>
      </c>
      <c r="Q261" s="3"/>
    </row>
    <row r="262" customFormat="false" ht="15" hidden="false" customHeight="false" outlineLevel="0" collapsed="false">
      <c r="A262" s="3" t="s">
        <v>686</v>
      </c>
      <c r="B262" s="3" t="s">
        <v>687</v>
      </c>
      <c r="C262" s="3" t="n">
        <v>0</v>
      </c>
      <c r="D262" s="3" t="s">
        <v>683</v>
      </c>
      <c r="E262" s="3" t="n">
        <v>455.75</v>
      </c>
      <c r="F262" s="3" t="s">
        <v>683</v>
      </c>
      <c r="G262" s="3" t="n">
        <v>455.75</v>
      </c>
      <c r="H262" s="3" t="n">
        <v>1</v>
      </c>
      <c r="I262" s="3" t="s">
        <v>65</v>
      </c>
      <c r="J262" s="3" t="n">
        <v>-3.29</v>
      </c>
      <c r="K262" s="3" t="n">
        <v>-5.24</v>
      </c>
      <c r="L262" s="3" t="n">
        <v>-4.88</v>
      </c>
      <c r="M262" s="3" t="n">
        <v>5.64</v>
      </c>
      <c r="N262" s="3" t="n">
        <v>-10.01</v>
      </c>
      <c r="O262" s="3" t="n">
        <v>422.5</v>
      </c>
      <c r="P262" s="3" t="n">
        <v>-7.3</v>
      </c>
      <c r="Q262" s="3"/>
    </row>
    <row r="263" customFormat="false" ht="15" hidden="false" customHeight="false" outlineLevel="0" collapsed="false">
      <c r="A263" s="3" t="s">
        <v>114</v>
      </c>
      <c r="B263" s="3" t="s">
        <v>115</v>
      </c>
      <c r="C263" s="3" t="n">
        <v>4</v>
      </c>
      <c r="D263" s="3" t="s">
        <v>683</v>
      </c>
      <c r="E263" s="3" t="n">
        <v>84.6</v>
      </c>
      <c r="F263" s="3" t="s">
        <v>683</v>
      </c>
      <c r="G263" s="3" t="n">
        <v>84.6</v>
      </c>
      <c r="H263" s="3" t="n">
        <v>1</v>
      </c>
      <c r="I263" s="3" t="s">
        <v>65</v>
      </c>
      <c r="J263" s="3" t="n">
        <v>-4.01</v>
      </c>
      <c r="K263" s="3" t="n">
        <v>0</v>
      </c>
      <c r="L263" s="3" t="n">
        <v>-2.41</v>
      </c>
      <c r="M263" s="3" t="n">
        <v>6.82</v>
      </c>
      <c r="N263" s="3" t="n">
        <v>-0.8</v>
      </c>
      <c r="O263" s="3" t="n">
        <v>77.43</v>
      </c>
      <c r="P263" s="3" t="n">
        <v>-8.48</v>
      </c>
      <c r="Q263" s="3"/>
    </row>
    <row r="264" customFormat="false" ht="15" hidden="false" customHeight="false" outlineLevel="0" collapsed="false">
      <c r="A264" s="3" t="s">
        <v>328</v>
      </c>
      <c r="B264" s="3" t="s">
        <v>329</v>
      </c>
      <c r="C264" s="3" t="n">
        <v>2</v>
      </c>
      <c r="D264" s="3" t="s">
        <v>694</v>
      </c>
      <c r="E264" s="3" t="n">
        <v>5860.5</v>
      </c>
      <c r="F264" s="3" t="s">
        <v>694</v>
      </c>
      <c r="G264" s="3" t="n">
        <v>5860.5</v>
      </c>
      <c r="H264" s="3" t="n">
        <v>1</v>
      </c>
      <c r="I264" s="3" t="s">
        <v>65</v>
      </c>
      <c r="J264" s="3" t="n">
        <v>0.48</v>
      </c>
      <c r="K264" s="3" t="n">
        <v>0.86</v>
      </c>
      <c r="L264" s="3" t="n">
        <v>2.42</v>
      </c>
      <c r="M264" s="3" t="n">
        <v>-1.16</v>
      </c>
      <c r="N264" s="3" t="n">
        <v>-5.85</v>
      </c>
      <c r="O264" s="3" t="n">
        <v>4915</v>
      </c>
      <c r="P264" s="3" t="n">
        <v>-16.13</v>
      </c>
      <c r="Q264" s="3"/>
    </row>
    <row r="265" customFormat="false" ht="15" hidden="false" customHeight="false" outlineLevel="0" collapsed="false">
      <c r="A265" s="3" t="s">
        <v>565</v>
      </c>
      <c r="B265" s="3" t="s">
        <v>566</v>
      </c>
      <c r="C265" s="3" t="n">
        <v>1</v>
      </c>
      <c r="D265" s="3" t="s">
        <v>694</v>
      </c>
      <c r="E265" s="3" t="n">
        <v>1285</v>
      </c>
      <c r="F265" s="3" t="s">
        <v>694</v>
      </c>
      <c r="G265" s="3" t="n">
        <v>1285</v>
      </c>
      <c r="H265" s="3" t="n">
        <v>1</v>
      </c>
      <c r="I265" s="3" t="s">
        <v>65</v>
      </c>
      <c r="J265" s="3" t="n">
        <v>-0.51</v>
      </c>
      <c r="K265" s="3" t="n">
        <v>5.45</v>
      </c>
      <c r="L265" s="3" t="n">
        <v>8.72</v>
      </c>
      <c r="M265" s="3" t="n">
        <v>-2.21</v>
      </c>
      <c r="N265" s="3" t="n">
        <v>-3.74</v>
      </c>
      <c r="O265" s="3" t="n">
        <v>1085</v>
      </c>
      <c r="P265" s="3" t="n">
        <v>-15.56</v>
      </c>
      <c r="Q265" s="3"/>
    </row>
    <row r="266" customFormat="false" ht="15" hidden="false" customHeight="false" outlineLevel="0" collapsed="false">
      <c r="A266" s="3" t="s">
        <v>605</v>
      </c>
      <c r="B266" s="3" t="s">
        <v>606</v>
      </c>
      <c r="C266" s="3" t="n">
        <v>1</v>
      </c>
      <c r="D266" s="3" t="s">
        <v>694</v>
      </c>
      <c r="E266" s="3" t="n">
        <v>444.3</v>
      </c>
      <c r="F266" s="3" t="s">
        <v>694</v>
      </c>
      <c r="G266" s="3" t="n">
        <v>444.3</v>
      </c>
      <c r="H266" s="3" t="n">
        <v>1</v>
      </c>
      <c r="I266" s="3" t="s">
        <v>65</v>
      </c>
      <c r="J266" s="3" t="n">
        <v>-2.81</v>
      </c>
      <c r="K266" s="3" t="n">
        <v>-0.21</v>
      </c>
      <c r="L266" s="3" t="n">
        <v>2.4</v>
      </c>
      <c r="M266" s="3" t="n">
        <v>-9.91</v>
      </c>
      <c r="N266" s="3" t="n">
        <v>-13.09</v>
      </c>
      <c r="O266" s="3" t="n">
        <v>360</v>
      </c>
      <c r="P266" s="3" t="n">
        <v>-18.97</v>
      </c>
      <c r="Q266" s="3"/>
    </row>
    <row r="267" customFormat="false" ht="15" hidden="false" customHeight="false" outlineLevel="0" collapsed="false">
      <c r="A267" s="3" t="s">
        <v>501</v>
      </c>
      <c r="B267" s="3" t="s">
        <v>502</v>
      </c>
      <c r="C267" s="3" t="n">
        <v>1</v>
      </c>
      <c r="D267" s="3" t="s">
        <v>694</v>
      </c>
      <c r="E267" s="3" t="n">
        <v>4021.1</v>
      </c>
      <c r="F267" s="3" t="s">
        <v>694</v>
      </c>
      <c r="G267" s="3" t="n">
        <v>4021.1</v>
      </c>
      <c r="H267" s="3" t="n">
        <v>1</v>
      </c>
      <c r="I267" s="3" t="s">
        <v>65</v>
      </c>
      <c r="J267" s="3" t="n">
        <v>1.46</v>
      </c>
      <c r="K267" s="3" t="n">
        <v>10.98</v>
      </c>
      <c r="L267" s="3" t="n">
        <v>26.34</v>
      </c>
      <c r="M267" s="3" t="n">
        <v>25.79</v>
      </c>
      <c r="N267" s="3" t="n">
        <v>20.7</v>
      </c>
      <c r="O267" s="3" t="n">
        <v>4516</v>
      </c>
      <c r="P267" s="3" t="n">
        <v>12.31</v>
      </c>
      <c r="Q267" s="3"/>
    </row>
    <row r="268" customFormat="false" ht="15" hidden="false" customHeight="false" outlineLevel="0" collapsed="false">
      <c r="A268" s="3" t="s">
        <v>554</v>
      </c>
      <c r="B268" s="3" t="s">
        <v>555</v>
      </c>
      <c r="C268" s="3" t="n">
        <v>1</v>
      </c>
      <c r="D268" s="3" t="s">
        <v>694</v>
      </c>
      <c r="E268" s="3" t="n">
        <v>1387.6</v>
      </c>
      <c r="F268" s="3" t="s">
        <v>694</v>
      </c>
      <c r="G268" s="3" t="n">
        <v>1387.6</v>
      </c>
      <c r="H268" s="3" t="n">
        <v>1</v>
      </c>
      <c r="I268" s="3" t="s">
        <v>65</v>
      </c>
      <c r="J268" s="3" t="n">
        <v>-4.18</v>
      </c>
      <c r="K268" s="3" t="n">
        <v>2.98</v>
      </c>
      <c r="L268" s="3" t="n">
        <v>12.89</v>
      </c>
      <c r="M268" s="3" t="n">
        <v>24.24</v>
      </c>
      <c r="N268" s="3" t="n">
        <v>3.13</v>
      </c>
      <c r="O268" s="3" t="n">
        <v>1237.2</v>
      </c>
      <c r="P268" s="3" t="n">
        <v>-10.84</v>
      </c>
      <c r="Q268" s="3"/>
    </row>
    <row r="269" customFormat="false" ht="15" hidden="false" customHeight="false" outlineLevel="0" collapsed="false">
      <c r="A269" s="3" t="s">
        <v>700</v>
      </c>
      <c r="B269" s="3" t="s">
        <v>701</v>
      </c>
      <c r="C269" s="3" t="n">
        <v>0</v>
      </c>
      <c r="D269" s="3" t="s">
        <v>694</v>
      </c>
      <c r="E269" s="3" t="n">
        <v>3677.4</v>
      </c>
      <c r="F269" s="3" t="s">
        <v>694</v>
      </c>
      <c r="G269" s="3" t="n">
        <v>3677.4</v>
      </c>
      <c r="H269" s="3" t="n">
        <v>1</v>
      </c>
      <c r="I269" s="3" t="s">
        <v>65</v>
      </c>
      <c r="J269" s="3" t="n">
        <v>-0.86</v>
      </c>
      <c r="K269" s="3" t="n">
        <v>2.21</v>
      </c>
      <c r="L269" s="3" t="n">
        <v>5.23</v>
      </c>
      <c r="M269" s="3" t="n">
        <v>-4.95</v>
      </c>
      <c r="N269" s="3" t="n">
        <v>10.83</v>
      </c>
      <c r="O269" s="3" t="n">
        <v>4095</v>
      </c>
      <c r="P269" s="3" t="n">
        <v>11.36</v>
      </c>
      <c r="Q269" s="3"/>
    </row>
    <row r="270" customFormat="false" ht="15" hidden="false" customHeight="false" outlineLevel="0" collapsed="false">
      <c r="A270" s="3" t="s">
        <v>136</v>
      </c>
      <c r="B270" s="3" t="s">
        <v>137</v>
      </c>
      <c r="C270" s="3" t="n">
        <v>8</v>
      </c>
      <c r="D270" s="3" t="s">
        <v>703</v>
      </c>
      <c r="E270" s="3" t="n">
        <v>164.61</v>
      </c>
      <c r="F270" s="3" t="s">
        <v>728</v>
      </c>
      <c r="G270" s="3" t="n">
        <v>172.78</v>
      </c>
      <c r="H270" s="3" t="n">
        <v>3</v>
      </c>
      <c r="I270" s="3" t="s">
        <v>70</v>
      </c>
      <c r="J270" s="3" t="n">
        <v>1.8</v>
      </c>
      <c r="K270" s="3" t="n">
        <v>7.02</v>
      </c>
      <c r="L270" s="3" t="n">
        <v>8.81</v>
      </c>
      <c r="M270" s="3" t="n">
        <v>-13.65</v>
      </c>
      <c r="N270" s="3" t="n">
        <v>-14.99</v>
      </c>
      <c r="O270" s="3" t="n">
        <v>133.32</v>
      </c>
      <c r="P270" s="3" t="n">
        <v>-19.01</v>
      </c>
      <c r="Q270" s="3"/>
    </row>
    <row r="271" customFormat="false" ht="15" hidden="false" customHeight="false" outlineLevel="0" collapsed="false">
      <c r="A271" s="3" t="s">
        <v>608</v>
      </c>
      <c r="B271" s="3" t="s">
        <v>609</v>
      </c>
      <c r="C271" s="3" t="n">
        <v>3</v>
      </c>
      <c r="D271" s="3" t="s">
        <v>703</v>
      </c>
      <c r="E271" s="3" t="n">
        <v>2001</v>
      </c>
      <c r="F271" s="3" t="s">
        <v>703</v>
      </c>
      <c r="G271" s="3" t="n">
        <v>2001</v>
      </c>
      <c r="H271" s="3" t="n">
        <v>1</v>
      </c>
      <c r="I271" s="3" t="s">
        <v>65</v>
      </c>
      <c r="J271" s="3" t="n">
        <v>0.05</v>
      </c>
      <c r="K271" s="3" t="n">
        <v>1.15</v>
      </c>
      <c r="L271" s="3" t="n">
        <v>1.56</v>
      </c>
      <c r="M271" s="3" t="n">
        <v>-8.99</v>
      </c>
      <c r="N271" s="3" t="n">
        <v>-6.17</v>
      </c>
      <c r="O271" s="3" t="n">
        <v>1728.1</v>
      </c>
      <c r="P271" s="3" t="n">
        <v>-13.64</v>
      </c>
      <c r="Q271" s="3"/>
    </row>
    <row r="272" customFormat="false" ht="15" hidden="false" customHeight="false" outlineLevel="0" collapsed="false">
      <c r="A272" s="3" t="s">
        <v>300</v>
      </c>
      <c r="B272" s="3" t="s">
        <v>301</v>
      </c>
      <c r="C272" s="3" t="n">
        <v>2</v>
      </c>
      <c r="D272" s="3" t="s">
        <v>703</v>
      </c>
      <c r="E272" s="3" t="n">
        <v>1028.7</v>
      </c>
      <c r="F272" s="3" t="s">
        <v>703</v>
      </c>
      <c r="G272" s="3" t="n">
        <v>1028.7</v>
      </c>
      <c r="H272" s="3" t="n">
        <v>1</v>
      </c>
      <c r="I272" s="3" t="s">
        <v>65</v>
      </c>
      <c r="J272" s="3" t="n">
        <v>3.45</v>
      </c>
      <c r="K272" s="3" t="n">
        <v>11.4</v>
      </c>
      <c r="L272" s="3" t="n">
        <v>15.67</v>
      </c>
      <c r="M272" s="3" t="n">
        <v>3.03</v>
      </c>
      <c r="N272" s="3" t="n">
        <v>-0.33</v>
      </c>
      <c r="O272" s="3" t="n">
        <v>962</v>
      </c>
      <c r="P272" s="3" t="n">
        <v>-6.48</v>
      </c>
      <c r="Q272" s="3"/>
    </row>
    <row r="273" customFormat="false" ht="15" hidden="false" customHeight="false" outlineLevel="0" collapsed="false">
      <c r="A273" s="3" t="s">
        <v>708</v>
      </c>
      <c r="B273" s="3" t="s">
        <v>709</v>
      </c>
      <c r="C273" s="3" t="n">
        <v>0</v>
      </c>
      <c r="D273" s="3" t="s">
        <v>707</v>
      </c>
      <c r="E273" s="3" t="n">
        <v>5668.5</v>
      </c>
      <c r="F273" s="3" t="s">
        <v>707</v>
      </c>
      <c r="G273" s="3" t="n">
        <v>5668.5</v>
      </c>
      <c r="H273" s="3" t="n">
        <v>1</v>
      </c>
      <c r="I273" s="3" t="s">
        <v>65</v>
      </c>
      <c r="J273" s="3" t="n">
        <v>1.53</v>
      </c>
      <c r="K273" s="3" t="n">
        <v>3.55</v>
      </c>
      <c r="L273" s="3" t="n">
        <v>2.86</v>
      </c>
      <c r="M273" s="3" t="n">
        <v>26.71</v>
      </c>
      <c r="N273" s="3" t="n">
        <v>28.51</v>
      </c>
      <c r="O273" s="3" t="n">
        <v>6972.5</v>
      </c>
      <c r="P273" s="3" t="n">
        <v>23</v>
      </c>
      <c r="Q273" s="3"/>
    </row>
    <row r="274" customFormat="false" ht="15" hidden="false" customHeight="false" outlineLevel="0" collapsed="false">
      <c r="A274" s="3" t="s">
        <v>664</v>
      </c>
      <c r="B274" s="3" t="s">
        <v>665</v>
      </c>
      <c r="C274" s="3" t="n">
        <v>1</v>
      </c>
      <c r="D274" s="3" t="s">
        <v>707</v>
      </c>
      <c r="E274" s="3" t="n">
        <v>1539</v>
      </c>
      <c r="F274" s="3" t="s">
        <v>707</v>
      </c>
      <c r="G274" s="3" t="n">
        <v>1539</v>
      </c>
      <c r="H274" s="3" t="n">
        <v>1</v>
      </c>
      <c r="I274" s="3" t="s">
        <v>65</v>
      </c>
      <c r="J274" s="3" t="n">
        <v>3.38</v>
      </c>
      <c r="K274" s="3" t="n">
        <v>4.87</v>
      </c>
      <c r="L274" s="3" t="n">
        <v>19.68</v>
      </c>
      <c r="M274" s="3" t="n">
        <v>21.75</v>
      </c>
      <c r="N274" s="3" t="n">
        <v>42.94</v>
      </c>
      <c r="O274" s="3" t="n">
        <v>1957</v>
      </c>
      <c r="P274" s="3" t="n">
        <v>27.16</v>
      </c>
      <c r="Q274" s="3"/>
    </row>
    <row r="275" customFormat="false" ht="15" hidden="false" customHeight="false" outlineLevel="0" collapsed="false">
      <c r="A275" s="3" t="s">
        <v>199</v>
      </c>
      <c r="B275" s="3" t="s">
        <v>200</v>
      </c>
      <c r="C275" s="3" t="n">
        <v>5</v>
      </c>
      <c r="D275" s="3" t="s">
        <v>707</v>
      </c>
      <c r="E275" s="3" t="n">
        <v>372.3</v>
      </c>
      <c r="F275" s="3" t="s">
        <v>707</v>
      </c>
      <c r="G275" s="3" t="n">
        <v>372.3</v>
      </c>
      <c r="H275" s="3" t="n">
        <v>1</v>
      </c>
      <c r="I275" s="3" t="s">
        <v>65</v>
      </c>
      <c r="J275" s="3" t="n">
        <v>-1.01</v>
      </c>
      <c r="K275" s="3" t="n">
        <v>-0.34</v>
      </c>
      <c r="L275" s="3" t="n">
        <v>1.63</v>
      </c>
      <c r="M275" s="3" t="n">
        <v>2.23</v>
      </c>
      <c r="N275" s="3" t="n">
        <v>14.34</v>
      </c>
      <c r="O275" s="3" t="n">
        <v>374.9</v>
      </c>
      <c r="P275" s="3" t="n">
        <v>0.7</v>
      </c>
      <c r="Q275" s="3"/>
    </row>
    <row r="276" customFormat="false" ht="15" hidden="false" customHeight="false" outlineLevel="0" collapsed="false">
      <c r="A276" s="3" t="s">
        <v>490</v>
      </c>
      <c r="B276" s="3" t="s">
        <v>491</v>
      </c>
      <c r="C276" s="3" t="n">
        <v>2</v>
      </c>
      <c r="D276" s="3" t="s">
        <v>707</v>
      </c>
      <c r="E276" s="3" t="n">
        <v>373.45</v>
      </c>
      <c r="F276" s="3" t="s">
        <v>707</v>
      </c>
      <c r="G276" s="3" t="n">
        <v>373.45</v>
      </c>
      <c r="H276" s="3" t="n">
        <v>1</v>
      </c>
      <c r="I276" s="3" t="s">
        <v>65</v>
      </c>
      <c r="J276" s="3" t="n">
        <v>2.41</v>
      </c>
      <c r="K276" s="3" t="n">
        <v>3.45</v>
      </c>
      <c r="L276" s="3" t="n">
        <v>-4.57</v>
      </c>
      <c r="M276" s="3" t="n">
        <v>-15.91</v>
      </c>
      <c r="N276" s="3" t="n">
        <v>-14.38</v>
      </c>
      <c r="O276" s="3" t="n">
        <v>302.25</v>
      </c>
      <c r="P276" s="3" t="n">
        <v>-19.07</v>
      </c>
      <c r="Q276" s="3"/>
    </row>
    <row r="277" customFormat="false" ht="15" hidden="false" customHeight="false" outlineLevel="0" collapsed="false">
      <c r="A277" s="3" t="s">
        <v>130</v>
      </c>
      <c r="B277" s="3" t="s">
        <v>131</v>
      </c>
      <c r="C277" s="3" t="n">
        <v>1</v>
      </c>
      <c r="D277" s="3" t="s">
        <v>707</v>
      </c>
      <c r="E277" s="3" t="n">
        <v>728.45</v>
      </c>
      <c r="F277" s="3" t="s">
        <v>707</v>
      </c>
      <c r="G277" s="3" t="n">
        <v>728.45</v>
      </c>
      <c r="H277" s="3" t="n">
        <v>1</v>
      </c>
      <c r="I277" s="3" t="s">
        <v>65</v>
      </c>
      <c r="J277" s="3" t="n">
        <v>1</v>
      </c>
      <c r="K277" s="3" t="n">
        <v>1.94</v>
      </c>
      <c r="L277" s="3" t="n">
        <v>-13.53</v>
      </c>
      <c r="M277" s="3" t="n">
        <v>12</v>
      </c>
      <c r="N277" s="3" t="n">
        <v>9.29</v>
      </c>
      <c r="O277" s="3" t="n">
        <v>691.55</v>
      </c>
      <c r="P277" s="3" t="n">
        <v>-5.07</v>
      </c>
      <c r="Q277" s="3"/>
    </row>
    <row r="278" customFormat="false" ht="15" hidden="false" customHeight="false" outlineLevel="0" collapsed="false">
      <c r="A278" s="3" t="s">
        <v>686</v>
      </c>
      <c r="B278" s="3" t="s">
        <v>687</v>
      </c>
      <c r="C278" s="3" t="n">
        <v>1</v>
      </c>
      <c r="D278" s="3" t="s">
        <v>707</v>
      </c>
      <c r="E278" s="3" t="n">
        <v>429.4</v>
      </c>
      <c r="F278" s="3" t="s">
        <v>707</v>
      </c>
      <c r="G278" s="3" t="n">
        <v>429.4</v>
      </c>
      <c r="H278" s="3" t="n">
        <v>1</v>
      </c>
      <c r="I278" s="3" t="s">
        <v>65</v>
      </c>
      <c r="J278" s="3" t="n">
        <v>1.28</v>
      </c>
      <c r="K278" s="3" t="n">
        <v>0.36</v>
      </c>
      <c r="L278" s="3" t="n">
        <v>1.34</v>
      </c>
      <c r="M278" s="3" t="n">
        <v>9.5</v>
      </c>
      <c r="N278" s="3" t="n">
        <v>-3.55</v>
      </c>
      <c r="O278" s="3" t="n">
        <v>422.5</v>
      </c>
      <c r="P278" s="3" t="n">
        <v>-1.61</v>
      </c>
      <c r="Q278" s="3"/>
    </row>
    <row r="279" customFormat="false" ht="15" hidden="false" customHeight="false" outlineLevel="0" collapsed="false">
      <c r="A279" s="3" t="s">
        <v>357</v>
      </c>
      <c r="B279" s="3" t="s">
        <v>358</v>
      </c>
      <c r="C279" s="3" t="n">
        <v>2</v>
      </c>
      <c r="D279" s="3" t="s">
        <v>707</v>
      </c>
      <c r="E279" s="3" t="n">
        <v>527.9</v>
      </c>
      <c r="F279" s="3" t="s">
        <v>707</v>
      </c>
      <c r="G279" s="3" t="n">
        <v>527.9</v>
      </c>
      <c r="H279" s="3" t="n">
        <v>1</v>
      </c>
      <c r="I279" s="3" t="s">
        <v>65</v>
      </c>
      <c r="J279" s="3" t="n">
        <v>-0.14</v>
      </c>
      <c r="K279" s="3" t="n">
        <v>-2.71</v>
      </c>
      <c r="L279" s="3" t="n">
        <v>-12.45</v>
      </c>
      <c r="M279" s="3" t="n">
        <v>-0.7</v>
      </c>
      <c r="N279" s="3" t="n">
        <v>-0.45</v>
      </c>
      <c r="O279" s="3" t="n">
        <v>450</v>
      </c>
      <c r="P279" s="3" t="n">
        <v>-14.76</v>
      </c>
      <c r="Q279" s="3"/>
    </row>
    <row r="280" customFormat="false" ht="15" hidden="false" customHeight="false" outlineLevel="0" collapsed="false">
      <c r="A280" s="3" t="s">
        <v>399</v>
      </c>
      <c r="B280" s="3" t="s">
        <v>400</v>
      </c>
      <c r="C280" s="3" t="n">
        <v>2</v>
      </c>
      <c r="D280" s="3" t="s">
        <v>707</v>
      </c>
      <c r="E280" s="3" t="n">
        <v>720.15</v>
      </c>
      <c r="F280" s="3" t="s">
        <v>728</v>
      </c>
      <c r="G280" s="3" t="n">
        <v>722.5</v>
      </c>
      <c r="H280" s="3" t="n">
        <v>2</v>
      </c>
      <c r="I280" s="3" t="s">
        <v>70</v>
      </c>
      <c r="J280" s="3" t="n">
        <v>0.33</v>
      </c>
      <c r="K280" s="3" t="n">
        <v>-2.25</v>
      </c>
      <c r="L280" s="3" t="n">
        <v>-4.94</v>
      </c>
      <c r="M280" s="3" t="n">
        <v>-15.8</v>
      </c>
      <c r="N280" s="3" t="n">
        <v>-23.84</v>
      </c>
      <c r="O280" s="3" t="n">
        <v>531.6</v>
      </c>
      <c r="P280" s="3" t="n">
        <v>-26.18</v>
      </c>
      <c r="Q280" s="3"/>
    </row>
    <row r="281" customFormat="false" ht="15" hidden="false" customHeight="false" outlineLevel="0" collapsed="false">
      <c r="A281" s="3" t="s">
        <v>74</v>
      </c>
      <c r="B281" s="3" t="s">
        <v>75</v>
      </c>
      <c r="C281" s="3" t="n">
        <v>1</v>
      </c>
      <c r="D281" s="3" t="s">
        <v>707</v>
      </c>
      <c r="E281" s="3" t="n">
        <v>1861.5</v>
      </c>
      <c r="F281" s="3" t="s">
        <v>707</v>
      </c>
      <c r="G281" s="3" t="n">
        <v>1861.5</v>
      </c>
      <c r="H281" s="3" t="n">
        <v>1</v>
      </c>
      <c r="I281" s="3" t="s">
        <v>65</v>
      </c>
      <c r="J281" s="3" t="n">
        <v>-0.4</v>
      </c>
      <c r="K281" s="3" t="n">
        <v>2.58</v>
      </c>
      <c r="L281" s="3" t="n">
        <v>-0.32</v>
      </c>
      <c r="M281" s="3" t="n">
        <v>-2.77</v>
      </c>
      <c r="N281" s="3" t="n">
        <v>-12.77</v>
      </c>
      <c r="O281" s="3" t="n">
        <v>1540</v>
      </c>
      <c r="P281" s="3" t="n">
        <v>-17.27</v>
      </c>
      <c r="Q281" s="3"/>
    </row>
    <row r="282" customFormat="false" ht="15" hidden="false" customHeight="false" outlineLevel="0" collapsed="false">
      <c r="A282" s="3" t="s">
        <v>139</v>
      </c>
      <c r="B282" s="3" t="s">
        <v>140</v>
      </c>
      <c r="C282" s="3" t="n">
        <v>3</v>
      </c>
      <c r="D282" s="3" t="s">
        <v>707</v>
      </c>
      <c r="E282" s="3" t="n">
        <v>2162.6</v>
      </c>
      <c r="F282" s="3" t="s">
        <v>707</v>
      </c>
      <c r="G282" s="3" t="n">
        <v>2162.6</v>
      </c>
      <c r="H282" s="3" t="n">
        <v>1</v>
      </c>
      <c r="I282" s="3" t="s">
        <v>65</v>
      </c>
      <c r="J282" s="3" t="n">
        <v>-3.39</v>
      </c>
      <c r="K282" s="3" t="n">
        <v>-4.14</v>
      </c>
      <c r="L282" s="3" t="n">
        <v>2.06</v>
      </c>
      <c r="M282" s="3" t="n">
        <v>9.17</v>
      </c>
      <c r="N282" s="3" t="n">
        <v>14.2</v>
      </c>
      <c r="O282" s="3" t="n">
        <v>2435.6</v>
      </c>
      <c r="P282" s="3" t="n">
        <v>12.62</v>
      </c>
      <c r="Q282" s="3"/>
    </row>
    <row r="283" customFormat="false" ht="15" hidden="false" customHeight="false" outlineLevel="0" collapsed="false">
      <c r="A283" s="3" t="s">
        <v>541</v>
      </c>
      <c r="B283" s="3" t="s">
        <v>542</v>
      </c>
      <c r="C283" s="3" t="n">
        <v>1</v>
      </c>
      <c r="D283" s="3" t="s">
        <v>707</v>
      </c>
      <c r="E283" s="3" t="n">
        <v>3624.2</v>
      </c>
      <c r="F283" s="3" t="s">
        <v>707</v>
      </c>
      <c r="G283" s="3" t="n">
        <v>3624.2</v>
      </c>
      <c r="H283" s="3" t="n">
        <v>1</v>
      </c>
      <c r="I283" s="3" t="s">
        <v>65</v>
      </c>
      <c r="J283" s="3" t="n">
        <v>2.69</v>
      </c>
      <c r="K283" s="3" t="n">
        <v>7.11</v>
      </c>
      <c r="L283" s="3" t="n">
        <v>-7.84</v>
      </c>
      <c r="M283" s="3" t="n">
        <v>-2.5</v>
      </c>
      <c r="N283" s="3" t="n">
        <v>-13.92</v>
      </c>
      <c r="O283" s="3" t="n">
        <v>2760</v>
      </c>
      <c r="P283" s="3" t="n">
        <v>-23.85</v>
      </c>
      <c r="Q283" s="3"/>
    </row>
    <row r="284" customFormat="false" ht="15" hidden="false" customHeight="false" outlineLevel="0" collapsed="false">
      <c r="A284" s="3" t="s">
        <v>633</v>
      </c>
      <c r="B284" s="3" t="s">
        <v>634</v>
      </c>
      <c r="C284" s="3" t="n">
        <v>1</v>
      </c>
      <c r="D284" s="3" t="s">
        <v>707</v>
      </c>
      <c r="E284" s="3" t="n">
        <v>33740</v>
      </c>
      <c r="F284" s="3" t="s">
        <v>707</v>
      </c>
      <c r="G284" s="3" t="n">
        <v>33740</v>
      </c>
      <c r="H284" s="3" t="n">
        <v>1</v>
      </c>
      <c r="I284" s="3" t="s">
        <v>65</v>
      </c>
      <c r="J284" s="3" t="n">
        <v>2.03</v>
      </c>
      <c r="K284" s="3" t="n">
        <v>2.55</v>
      </c>
      <c r="L284" s="3" t="n">
        <v>-8.18</v>
      </c>
      <c r="M284" s="3" t="n">
        <v>11.26</v>
      </c>
      <c r="N284" s="3" t="n">
        <v>19.67</v>
      </c>
      <c r="O284" s="3" t="n">
        <v>37500</v>
      </c>
      <c r="P284" s="3" t="n">
        <v>11.14</v>
      </c>
      <c r="Q284" s="3"/>
    </row>
    <row r="285" customFormat="false" ht="15" hidden="false" customHeight="false" outlineLevel="0" collapsed="false">
      <c r="A285" s="3" t="s">
        <v>120</v>
      </c>
      <c r="B285" s="3" t="s">
        <v>121</v>
      </c>
      <c r="C285" s="3" t="n">
        <v>2</v>
      </c>
      <c r="D285" s="3" t="s">
        <v>707</v>
      </c>
      <c r="E285" s="3" t="n">
        <v>392.6</v>
      </c>
      <c r="F285" s="3" t="s">
        <v>728</v>
      </c>
      <c r="G285" s="3" t="n">
        <v>414.6</v>
      </c>
      <c r="H285" s="3" t="n">
        <v>2</v>
      </c>
      <c r="I285" s="3" t="s">
        <v>70</v>
      </c>
      <c r="J285" s="3" t="n">
        <v>5.6</v>
      </c>
      <c r="K285" s="3" t="n">
        <v>5.26</v>
      </c>
      <c r="L285" s="3" t="n">
        <v>1.01</v>
      </c>
      <c r="M285" s="3" t="n">
        <v>18.16</v>
      </c>
      <c r="N285" s="3" t="n">
        <v>8.09</v>
      </c>
      <c r="O285" s="3" t="n">
        <v>330</v>
      </c>
      <c r="P285" s="3" t="n">
        <v>-15.94</v>
      </c>
      <c r="Q285" s="3"/>
    </row>
    <row r="286" customFormat="false" ht="15" hidden="false" customHeight="false" outlineLevel="0" collapsed="false">
      <c r="A286" s="3" t="s">
        <v>384</v>
      </c>
      <c r="B286" s="3" t="s">
        <v>385</v>
      </c>
      <c r="C286" s="3" t="n">
        <v>1</v>
      </c>
      <c r="D286" s="3" t="s">
        <v>707</v>
      </c>
      <c r="E286" s="3" t="n">
        <v>3211.7</v>
      </c>
      <c r="F286" s="3" t="s">
        <v>728</v>
      </c>
      <c r="G286" s="3" t="n">
        <v>3290.5</v>
      </c>
      <c r="H286" s="3" t="n">
        <v>2</v>
      </c>
      <c r="I286" s="3" t="s">
        <v>70</v>
      </c>
      <c r="J286" s="3" t="n">
        <v>2.45</v>
      </c>
      <c r="K286" s="3" t="n">
        <v>-3.12</v>
      </c>
      <c r="L286" s="3" t="n">
        <v>-1.58</v>
      </c>
      <c r="M286" s="3" t="n">
        <v>19.62</v>
      </c>
      <c r="N286" s="3" t="n">
        <v>17.07</v>
      </c>
      <c r="O286" s="3" t="n">
        <v>3785.5</v>
      </c>
      <c r="P286" s="3" t="n">
        <v>17.87</v>
      </c>
      <c r="Q286" s="3"/>
    </row>
    <row r="287" customFormat="false" ht="15" hidden="false" customHeight="false" outlineLevel="0" collapsed="false">
      <c r="A287" s="3" t="s">
        <v>453</v>
      </c>
      <c r="B287" s="3" t="s">
        <v>454</v>
      </c>
      <c r="C287" s="3" t="n">
        <v>2</v>
      </c>
      <c r="D287" s="3" t="s">
        <v>707</v>
      </c>
      <c r="E287" s="3" t="n">
        <v>530.2</v>
      </c>
      <c r="F287" s="3" t="s">
        <v>707</v>
      </c>
      <c r="G287" s="3" t="n">
        <v>530.2</v>
      </c>
      <c r="H287" s="3" t="n">
        <v>1</v>
      </c>
      <c r="I287" s="3" t="s">
        <v>65</v>
      </c>
      <c r="J287" s="3" t="n">
        <v>0.5</v>
      </c>
      <c r="K287" s="3" t="n">
        <v>0.17</v>
      </c>
      <c r="L287" s="3" t="n">
        <v>-5.43</v>
      </c>
      <c r="M287" s="3" t="n">
        <v>9.88</v>
      </c>
      <c r="N287" s="3" t="n">
        <v>45.12</v>
      </c>
      <c r="O287" s="3" t="n">
        <v>807.9</v>
      </c>
      <c r="P287" s="3" t="n">
        <v>52.38</v>
      </c>
      <c r="Q287" s="3"/>
    </row>
    <row r="288" customFormat="false" ht="15" hidden="false" customHeight="false" outlineLevel="0" collapsed="false">
      <c r="A288" s="3" t="s">
        <v>83</v>
      </c>
      <c r="B288" s="3" t="s">
        <v>84</v>
      </c>
      <c r="C288" s="3" t="n">
        <v>3</v>
      </c>
      <c r="D288" s="3" t="s">
        <v>707</v>
      </c>
      <c r="E288" s="3" t="n">
        <v>2912.2</v>
      </c>
      <c r="F288" s="3" t="s">
        <v>707</v>
      </c>
      <c r="G288" s="3" t="n">
        <v>2912.2</v>
      </c>
      <c r="H288" s="3" t="n">
        <v>1</v>
      </c>
      <c r="I288" s="3" t="s">
        <v>65</v>
      </c>
      <c r="J288" s="3" t="n">
        <v>0.29</v>
      </c>
      <c r="K288" s="3" t="n">
        <v>1.71</v>
      </c>
      <c r="L288" s="3" t="n">
        <v>-12.9</v>
      </c>
      <c r="M288" s="3" t="n">
        <v>-6.61</v>
      </c>
      <c r="N288" s="3" t="n">
        <v>-9.95</v>
      </c>
      <c r="O288" s="3" t="n">
        <v>2491.5</v>
      </c>
      <c r="P288" s="3" t="n">
        <v>-14.45</v>
      </c>
      <c r="Q288" s="3"/>
    </row>
    <row r="289" customFormat="false" ht="15" hidden="false" customHeight="false" outlineLevel="0" collapsed="false">
      <c r="A289" s="3" t="s">
        <v>623</v>
      </c>
      <c r="B289" s="3" t="s">
        <v>624</v>
      </c>
      <c r="C289" s="3" t="n">
        <v>1</v>
      </c>
      <c r="D289" s="3" t="s">
        <v>707</v>
      </c>
      <c r="E289" s="3" t="n">
        <v>1702.1</v>
      </c>
      <c r="F289" s="3" t="s">
        <v>707</v>
      </c>
      <c r="G289" s="3" t="n">
        <v>1702.1</v>
      </c>
      <c r="H289" s="3" t="n">
        <v>1</v>
      </c>
      <c r="I289" s="3" t="s">
        <v>65</v>
      </c>
      <c r="J289" s="3" t="n">
        <v>0.14</v>
      </c>
      <c r="K289" s="3" t="n">
        <v>0.33</v>
      </c>
      <c r="L289" s="3" t="n">
        <v>2.84</v>
      </c>
      <c r="M289" s="3" t="n">
        <v>8.7</v>
      </c>
      <c r="N289" s="3" t="n">
        <v>16.94</v>
      </c>
      <c r="O289" s="3" t="n">
        <v>1838</v>
      </c>
      <c r="P289" s="3" t="n">
        <v>7.98</v>
      </c>
      <c r="Q289" s="3"/>
    </row>
    <row r="290" customFormat="false" ht="15" hidden="false" customHeight="false" outlineLevel="0" collapsed="false">
      <c r="A290" s="3" t="s">
        <v>289</v>
      </c>
      <c r="B290" s="3" t="s">
        <v>290</v>
      </c>
      <c r="C290" s="3" t="n">
        <v>1</v>
      </c>
      <c r="D290" s="3" t="s">
        <v>728</v>
      </c>
      <c r="E290" s="3" t="n">
        <v>200.92</v>
      </c>
      <c r="F290" s="3" t="s">
        <v>728</v>
      </c>
      <c r="G290" s="3" t="n">
        <v>200.92</v>
      </c>
      <c r="H290" s="3" t="n">
        <v>1</v>
      </c>
      <c r="I290" s="3" t="s">
        <v>65</v>
      </c>
      <c r="J290" s="3" t="n">
        <v>0.29</v>
      </c>
      <c r="K290" s="3" t="n">
        <v>2.7</v>
      </c>
      <c r="L290" s="3" t="n">
        <v>1.06</v>
      </c>
      <c r="M290" s="3" t="n">
        <v>-15</v>
      </c>
      <c r="N290" s="3" t="n">
        <v>-13.12</v>
      </c>
      <c r="O290" s="3" t="n">
        <v>155.22</v>
      </c>
      <c r="P290" s="3" t="n">
        <v>-22.75</v>
      </c>
      <c r="Q290" s="3"/>
    </row>
    <row r="291" customFormat="false" ht="15" hidden="false" customHeight="false" outlineLevel="0" collapsed="false">
      <c r="A291" s="3" t="s">
        <v>516</v>
      </c>
      <c r="B291" s="3" t="s">
        <v>517</v>
      </c>
      <c r="C291" s="3" t="n">
        <v>1</v>
      </c>
      <c r="D291" s="3" t="s">
        <v>728</v>
      </c>
      <c r="E291" s="3" t="n">
        <v>1880.2</v>
      </c>
      <c r="F291" s="3" t="s">
        <v>728</v>
      </c>
      <c r="G291" s="3" t="n">
        <v>1880.2</v>
      </c>
      <c r="H291" s="3" t="n">
        <v>1</v>
      </c>
      <c r="I291" s="3" t="s">
        <v>65</v>
      </c>
      <c r="J291" s="3" t="n">
        <v>-0.97</v>
      </c>
      <c r="K291" s="3" t="n">
        <v>4.36</v>
      </c>
      <c r="L291" s="3" t="n">
        <v>3.54</v>
      </c>
      <c r="M291" s="3" t="n">
        <v>-7</v>
      </c>
      <c r="N291" s="3" t="n">
        <v>-8.03</v>
      </c>
      <c r="O291" s="3" t="n">
        <v>1575.4</v>
      </c>
      <c r="P291" s="3" t="n">
        <v>-16.21</v>
      </c>
      <c r="Q291" s="3"/>
    </row>
    <row r="292" customFormat="false" ht="15" hidden="false" customHeight="false" outlineLevel="0" collapsed="false">
      <c r="A292" s="3" t="s">
        <v>260</v>
      </c>
      <c r="B292" s="3" t="s">
        <v>261</v>
      </c>
      <c r="C292" s="3" t="n">
        <v>3</v>
      </c>
      <c r="D292" s="3" t="s">
        <v>728</v>
      </c>
      <c r="E292" s="3" t="n">
        <v>98.08</v>
      </c>
      <c r="F292" s="3" t="s">
        <v>728</v>
      </c>
      <c r="G292" s="3" t="n">
        <v>98.08</v>
      </c>
      <c r="H292" s="3" t="n">
        <v>1</v>
      </c>
      <c r="I292" s="3" t="s">
        <v>65</v>
      </c>
      <c r="J292" s="3" t="n">
        <v>-0.66</v>
      </c>
      <c r="K292" s="3" t="n">
        <v>-1.29</v>
      </c>
      <c r="L292" s="3" t="n">
        <v>-0.1</v>
      </c>
      <c r="M292" s="3" t="n">
        <v>2.63</v>
      </c>
      <c r="N292" s="3" t="n">
        <v>7.62</v>
      </c>
      <c r="O292" s="3" t="n">
        <v>94.75</v>
      </c>
      <c r="P292" s="3" t="n">
        <v>-3.4</v>
      </c>
      <c r="Q292" s="3"/>
    </row>
    <row r="293" customFormat="false" ht="15" hidden="false" customHeight="false" outlineLevel="0" collapsed="false">
      <c r="A293" s="3" t="s">
        <v>101</v>
      </c>
      <c r="B293" s="3" t="s">
        <v>102</v>
      </c>
      <c r="C293" s="3" t="n">
        <v>3</v>
      </c>
      <c r="D293" s="3" t="s">
        <v>728</v>
      </c>
      <c r="E293" s="3" t="n">
        <v>2725</v>
      </c>
      <c r="F293" s="3" t="s">
        <v>728</v>
      </c>
      <c r="G293" s="3" t="n">
        <v>2725</v>
      </c>
      <c r="H293" s="3" t="n">
        <v>1</v>
      </c>
      <c r="I293" s="3" t="s">
        <v>65</v>
      </c>
      <c r="J293" s="3" t="n">
        <v>1.37</v>
      </c>
      <c r="K293" s="3" t="n">
        <v>3.74</v>
      </c>
      <c r="L293" s="3" t="n">
        <v>-6.09</v>
      </c>
      <c r="M293" s="3" t="n">
        <v>4.02</v>
      </c>
      <c r="N293" s="3" t="n">
        <v>-4.57</v>
      </c>
      <c r="O293" s="3" t="n">
        <v>2302.3</v>
      </c>
      <c r="P293" s="3" t="n">
        <v>-15.51</v>
      </c>
      <c r="Q293" s="3"/>
    </row>
    <row r="294" customFormat="false" ht="15" hidden="false" customHeight="false" outlineLevel="0" collapsed="false">
      <c r="A294" s="3" t="s">
        <v>108</v>
      </c>
      <c r="B294" s="3" t="s">
        <v>109</v>
      </c>
      <c r="C294" s="3" t="n">
        <v>1</v>
      </c>
      <c r="D294" s="3" t="s">
        <v>728</v>
      </c>
      <c r="E294" s="3" t="n">
        <v>1167.3</v>
      </c>
      <c r="F294" s="3" t="s">
        <v>728</v>
      </c>
      <c r="G294" s="3" t="n">
        <v>1167.3</v>
      </c>
      <c r="H294" s="3" t="n">
        <v>1</v>
      </c>
      <c r="I294" s="3" t="s">
        <v>65</v>
      </c>
      <c r="J294" s="3" t="n">
        <v>0.92</v>
      </c>
      <c r="K294" s="3" t="n">
        <v>1.99</v>
      </c>
      <c r="L294" s="3" t="n">
        <v>1.43</v>
      </c>
      <c r="M294" s="3" t="n">
        <v>7.79</v>
      </c>
      <c r="N294" s="3" t="n">
        <v>-5.33</v>
      </c>
      <c r="O294" s="3" t="n">
        <v>1139.6</v>
      </c>
      <c r="P294" s="3" t="n">
        <v>-2.37</v>
      </c>
      <c r="Q294" s="3"/>
    </row>
    <row r="295" customFormat="false" ht="15" hidden="false" customHeight="false" outlineLevel="0" collapsed="false">
      <c r="A295" s="3" t="s">
        <v>272</v>
      </c>
      <c r="B295" s="3" t="s">
        <v>273</v>
      </c>
      <c r="C295" s="3" t="n">
        <v>2</v>
      </c>
      <c r="D295" s="3" t="s">
        <v>728</v>
      </c>
      <c r="E295" s="3" t="n">
        <v>367.25</v>
      </c>
      <c r="F295" s="3" t="s">
        <v>728</v>
      </c>
      <c r="G295" s="3" t="n">
        <v>367.25</v>
      </c>
      <c r="H295" s="3" t="n">
        <v>1</v>
      </c>
      <c r="I295" s="3" t="s">
        <v>65</v>
      </c>
      <c r="J295" s="3" t="n">
        <v>-0.07</v>
      </c>
      <c r="K295" s="3" t="n">
        <v>0.33</v>
      </c>
      <c r="L295" s="3" t="n">
        <v>2.94</v>
      </c>
      <c r="M295" s="3" t="n">
        <v>9.01</v>
      </c>
      <c r="N295" s="3" t="n">
        <v>-4.45</v>
      </c>
      <c r="O295" s="3" t="n">
        <v>321.1</v>
      </c>
      <c r="P295" s="3" t="n">
        <v>-12.57</v>
      </c>
      <c r="Q295" s="3"/>
    </row>
    <row r="296" customFormat="false" ht="15" hidden="false" customHeight="false" outlineLevel="0" collapsed="false">
      <c r="A296" s="3" t="s">
        <v>164</v>
      </c>
      <c r="B296" s="3" t="s">
        <v>165</v>
      </c>
      <c r="C296" s="3" t="n">
        <v>3</v>
      </c>
      <c r="D296" s="3" t="s">
        <v>728</v>
      </c>
      <c r="E296" s="3" t="n">
        <v>1460.3</v>
      </c>
      <c r="F296" s="3" t="s">
        <v>728</v>
      </c>
      <c r="G296" s="3" t="n">
        <v>1460.3</v>
      </c>
      <c r="H296" s="3" t="n">
        <v>1</v>
      </c>
      <c r="I296" s="3" t="s">
        <v>65</v>
      </c>
      <c r="J296" s="3" t="n">
        <v>0.64</v>
      </c>
      <c r="K296" s="3" t="n">
        <v>1.36</v>
      </c>
      <c r="L296" s="3" t="n">
        <v>-0.99</v>
      </c>
      <c r="M296" s="3" t="n">
        <v>-0.68</v>
      </c>
      <c r="N296" s="3" t="n">
        <v>12.48</v>
      </c>
      <c r="O296" s="3" t="n">
        <v>1503</v>
      </c>
      <c r="P296" s="3" t="n">
        <v>2.92</v>
      </c>
      <c r="Q296" s="3"/>
    </row>
    <row r="297" customFormat="false" ht="15" hidden="false" customHeight="false" outlineLevel="0" collapsed="false">
      <c r="A297" s="3" t="s">
        <v>740</v>
      </c>
      <c r="B297" s="3" t="s">
        <v>741</v>
      </c>
      <c r="C297" s="3" t="n">
        <v>0</v>
      </c>
      <c r="D297" s="3" t="s">
        <v>728</v>
      </c>
      <c r="E297" s="3" t="n">
        <v>3741</v>
      </c>
      <c r="F297" s="3" t="s">
        <v>728</v>
      </c>
      <c r="G297" s="3" t="n">
        <v>3741</v>
      </c>
      <c r="H297" s="3" t="n">
        <v>1</v>
      </c>
      <c r="I297" s="3" t="s">
        <v>65</v>
      </c>
      <c r="J297" s="3" t="n">
        <v>0</v>
      </c>
      <c r="K297" s="3" t="n">
        <v>2.9</v>
      </c>
      <c r="L297" s="3" t="n">
        <v>5.59</v>
      </c>
      <c r="M297" s="3" t="n">
        <v>-2.03</v>
      </c>
      <c r="N297" s="3" t="n">
        <v>-5.64</v>
      </c>
      <c r="O297" s="3" t="n">
        <v>3499.8</v>
      </c>
      <c r="P297" s="3" t="n">
        <v>-6.45</v>
      </c>
      <c r="Q297" s="3"/>
    </row>
    <row r="298" customFormat="false" ht="15" hidden="false" customHeight="false" outlineLevel="0" collapsed="false">
      <c r="A298" s="3" t="s">
        <v>554</v>
      </c>
      <c r="B298" s="3" t="s">
        <v>555</v>
      </c>
      <c r="C298" s="3" t="n">
        <v>2</v>
      </c>
      <c r="D298" s="3" t="s">
        <v>728</v>
      </c>
      <c r="E298" s="3" t="n">
        <v>1407.5</v>
      </c>
      <c r="F298" s="3" t="s">
        <v>747</v>
      </c>
      <c r="G298" s="3" t="n">
        <v>1429</v>
      </c>
      <c r="H298" s="3" t="n">
        <v>3</v>
      </c>
      <c r="I298" s="3" t="s">
        <v>70</v>
      </c>
      <c r="J298" s="3" t="n">
        <v>0.72</v>
      </c>
      <c r="K298" s="3" t="n">
        <v>1.5</v>
      </c>
      <c r="L298" s="3" t="n">
        <v>6.85</v>
      </c>
      <c r="M298" s="3" t="n">
        <v>21.67</v>
      </c>
      <c r="N298" s="3" t="n">
        <v>-1.12</v>
      </c>
      <c r="O298" s="3" t="n">
        <v>1237.2</v>
      </c>
      <c r="P298" s="3" t="n">
        <v>-12.1</v>
      </c>
      <c r="Q298" s="3"/>
    </row>
    <row r="299" customFormat="false" ht="15" hidden="false" customHeight="false" outlineLevel="0" collapsed="false">
      <c r="A299" s="3" t="s">
        <v>612</v>
      </c>
      <c r="B299" s="3" t="s">
        <v>613</v>
      </c>
      <c r="C299" s="3" t="n">
        <v>1</v>
      </c>
      <c r="D299" s="3" t="s">
        <v>744</v>
      </c>
      <c r="E299" s="3" t="n">
        <v>3934.9</v>
      </c>
      <c r="F299" s="3" t="s">
        <v>744</v>
      </c>
      <c r="G299" s="3" t="n">
        <v>3934.9</v>
      </c>
      <c r="H299" s="3" t="n">
        <v>1</v>
      </c>
      <c r="I299" s="3" t="s">
        <v>65</v>
      </c>
      <c r="J299" s="3" t="n">
        <v>-1.14</v>
      </c>
      <c r="K299" s="3" t="n">
        <v>0.71</v>
      </c>
      <c r="L299" s="3" t="n">
        <v>-1.5</v>
      </c>
      <c r="M299" s="3" t="n">
        <v>11.87</v>
      </c>
      <c r="N299" s="3" t="n">
        <v>2.24</v>
      </c>
      <c r="O299" s="3" t="n">
        <v>3803.5</v>
      </c>
      <c r="P299" s="3" t="n">
        <v>-3.34</v>
      </c>
      <c r="Q299" s="3"/>
    </row>
    <row r="300" customFormat="false" ht="15" hidden="false" customHeight="false" outlineLevel="0" collapsed="false">
      <c r="A300" s="3" t="s">
        <v>585</v>
      </c>
      <c r="B300" s="3" t="s">
        <v>586</v>
      </c>
      <c r="C300" s="3" t="n">
        <v>1</v>
      </c>
      <c r="D300" s="3" t="s">
        <v>747</v>
      </c>
      <c r="E300" s="3" t="n">
        <v>7152.5</v>
      </c>
      <c r="F300" s="3" t="s">
        <v>747</v>
      </c>
      <c r="G300" s="3" t="n">
        <v>7152.5</v>
      </c>
      <c r="H300" s="3" t="n">
        <v>1</v>
      </c>
      <c r="I300" s="3" t="s">
        <v>65</v>
      </c>
      <c r="J300" s="3" t="n">
        <v>0.82</v>
      </c>
      <c r="K300" s="3" t="n">
        <v>5.45</v>
      </c>
      <c r="L300" s="3" t="n">
        <v>8.76</v>
      </c>
      <c r="M300" s="3" t="n">
        <v>13</v>
      </c>
      <c r="N300" s="3" t="n">
        <v>24.57</v>
      </c>
      <c r="O300" s="3" t="n">
        <v>8860</v>
      </c>
      <c r="P300" s="3" t="n">
        <v>23.87</v>
      </c>
      <c r="Q300" s="3"/>
    </row>
    <row r="301" customFormat="false" ht="15" hidden="false" customHeight="false" outlineLevel="0" collapsed="false">
      <c r="A301" s="3" t="s">
        <v>333</v>
      </c>
      <c r="B301" s="3" t="s">
        <v>334</v>
      </c>
      <c r="C301" s="3" t="n">
        <v>3</v>
      </c>
      <c r="D301" s="3" t="s">
        <v>750</v>
      </c>
      <c r="E301" s="3" t="n">
        <v>5750.5</v>
      </c>
      <c r="F301" s="3" t="s">
        <v>750</v>
      </c>
      <c r="G301" s="3" t="n">
        <v>5750.5</v>
      </c>
      <c r="H301" s="3" t="n">
        <v>1</v>
      </c>
      <c r="I301" s="3" t="s">
        <v>65</v>
      </c>
      <c r="J301" s="3" t="n">
        <v>1.06</v>
      </c>
      <c r="K301" s="3" t="n">
        <v>-4.7</v>
      </c>
      <c r="L301" s="3" t="n">
        <v>-2.33</v>
      </c>
      <c r="M301" s="3" t="n">
        <v>-4.42</v>
      </c>
      <c r="N301" s="3" t="n">
        <v>-2.66</v>
      </c>
      <c r="O301" s="3" t="n">
        <v>5175</v>
      </c>
      <c r="P301" s="3" t="n">
        <v>-10.01</v>
      </c>
      <c r="Q301" s="3"/>
    </row>
    <row r="302" customFormat="false" ht="15" hidden="false" customHeight="false" outlineLevel="0" collapsed="false">
      <c r="A302" s="3" t="s">
        <v>516</v>
      </c>
      <c r="B302" s="3" t="s">
        <v>517</v>
      </c>
      <c r="C302" s="3" t="n">
        <v>2</v>
      </c>
      <c r="D302" s="3" t="s">
        <v>750</v>
      </c>
      <c r="E302" s="3" t="n">
        <v>1937</v>
      </c>
      <c r="F302" s="3" t="s">
        <v>750</v>
      </c>
      <c r="G302" s="3" t="n">
        <v>1937</v>
      </c>
      <c r="H302" s="3" t="n">
        <v>1</v>
      </c>
      <c r="I302" s="3" t="s">
        <v>65</v>
      </c>
      <c r="J302" s="3" t="n">
        <v>0.58</v>
      </c>
      <c r="K302" s="3" t="n">
        <v>1.98</v>
      </c>
      <c r="L302" s="3" t="n">
        <v>-2.54</v>
      </c>
      <c r="M302" s="3" t="n">
        <v>-15.82</v>
      </c>
      <c r="N302" s="3" t="n">
        <v>-18.9</v>
      </c>
      <c r="O302" s="3" t="n">
        <v>1575.4</v>
      </c>
      <c r="P302" s="3" t="n">
        <v>-18.67</v>
      </c>
      <c r="Q302" s="3"/>
    </row>
    <row r="303" customFormat="false" ht="15" hidden="false" customHeight="false" outlineLevel="0" collapsed="false">
      <c r="A303" s="3" t="s">
        <v>260</v>
      </c>
      <c r="B303" s="3" t="s">
        <v>261</v>
      </c>
      <c r="C303" s="3" t="n">
        <v>4</v>
      </c>
      <c r="D303" s="3" t="s">
        <v>750</v>
      </c>
      <c r="E303" s="3" t="n">
        <v>97.98</v>
      </c>
      <c r="F303" s="3" t="s">
        <v>750</v>
      </c>
      <c r="G303" s="3" t="n">
        <v>97.98</v>
      </c>
      <c r="H303" s="3" t="n">
        <v>1</v>
      </c>
      <c r="I303" s="3" t="s">
        <v>65</v>
      </c>
      <c r="J303" s="3" t="n">
        <v>-0.17</v>
      </c>
      <c r="K303" s="3" t="n">
        <v>2.59</v>
      </c>
      <c r="L303" s="3" t="n">
        <v>-2.5</v>
      </c>
      <c r="M303" s="3" t="n">
        <v>-3.36</v>
      </c>
      <c r="N303" s="3" t="n">
        <v>8.79</v>
      </c>
      <c r="O303" s="3" t="n">
        <v>94.75</v>
      </c>
      <c r="P303" s="3" t="n">
        <v>-3.3</v>
      </c>
      <c r="Q303" s="3"/>
    </row>
    <row r="304" customFormat="false" ht="15" hidden="false" customHeight="false" outlineLevel="0" collapsed="false">
      <c r="A304" s="3" t="s">
        <v>399</v>
      </c>
      <c r="B304" s="3" t="s">
        <v>400</v>
      </c>
      <c r="C304" s="3" t="n">
        <v>3</v>
      </c>
      <c r="D304" s="3" t="s">
        <v>750</v>
      </c>
      <c r="E304" s="3" t="n">
        <v>707.9</v>
      </c>
      <c r="F304" s="3" t="s">
        <v>750</v>
      </c>
      <c r="G304" s="3" t="n">
        <v>707.9</v>
      </c>
      <c r="H304" s="3" t="n">
        <v>1</v>
      </c>
      <c r="I304" s="3" t="s">
        <v>65</v>
      </c>
      <c r="J304" s="3" t="n">
        <v>-0.56</v>
      </c>
      <c r="K304" s="3" t="n">
        <v>-0.57</v>
      </c>
      <c r="L304" s="3" t="n">
        <v>-7.32</v>
      </c>
      <c r="M304" s="3" t="n">
        <v>-14.99</v>
      </c>
      <c r="N304" s="3" t="n">
        <v>-23.36</v>
      </c>
      <c r="O304" s="3" t="n">
        <v>531.6</v>
      </c>
      <c r="P304" s="3" t="n">
        <v>-24.9</v>
      </c>
      <c r="Q304" s="3"/>
    </row>
    <row r="305" customFormat="false" ht="15" hidden="false" customHeight="false" outlineLevel="0" collapsed="false">
      <c r="A305" s="3" t="s">
        <v>509</v>
      </c>
      <c r="B305" s="3" t="s">
        <v>510</v>
      </c>
      <c r="C305" s="3" t="n">
        <v>1</v>
      </c>
      <c r="D305" s="3" t="s">
        <v>750</v>
      </c>
      <c r="E305" s="3" t="n">
        <v>927.9</v>
      </c>
      <c r="F305" s="3" t="s">
        <v>750</v>
      </c>
      <c r="G305" s="3" t="n">
        <v>927.9</v>
      </c>
      <c r="H305" s="3" t="n">
        <v>1</v>
      </c>
      <c r="I305" s="3" t="s">
        <v>65</v>
      </c>
      <c r="J305" s="3" t="n">
        <v>-0.03</v>
      </c>
      <c r="K305" s="3" t="n">
        <v>0.43</v>
      </c>
      <c r="L305" s="3" t="n">
        <v>-3.15</v>
      </c>
      <c r="M305" s="3" t="n">
        <v>-3.78</v>
      </c>
      <c r="N305" s="3" t="n">
        <v>9.52</v>
      </c>
      <c r="O305" s="3" t="n">
        <v>909.7</v>
      </c>
      <c r="P305" s="3" t="n">
        <v>-1.96</v>
      </c>
      <c r="Q305" s="3"/>
    </row>
    <row r="306" customFormat="false" ht="15" hidden="false" customHeight="false" outlineLevel="0" collapsed="false">
      <c r="A306" s="3" t="s">
        <v>403</v>
      </c>
      <c r="B306" s="3" t="s">
        <v>404</v>
      </c>
      <c r="C306" s="3" t="n">
        <v>1</v>
      </c>
      <c r="D306" s="3" t="s">
        <v>750</v>
      </c>
      <c r="E306" s="3" t="n">
        <v>523.65</v>
      </c>
      <c r="F306" s="3" t="s">
        <v>750</v>
      </c>
      <c r="G306" s="3" t="n">
        <v>523.65</v>
      </c>
      <c r="H306" s="3" t="n">
        <v>1</v>
      </c>
      <c r="I306" s="3" t="s">
        <v>65</v>
      </c>
      <c r="J306" s="3" t="n">
        <v>-0.21</v>
      </c>
      <c r="K306" s="3" t="n">
        <v>-2.39</v>
      </c>
      <c r="L306" s="3" t="n">
        <v>-2.13</v>
      </c>
      <c r="M306" s="3" t="n">
        <v>8.4</v>
      </c>
      <c r="N306" s="3" t="n">
        <v>-3.56</v>
      </c>
      <c r="O306" s="3" t="n">
        <v>564.15</v>
      </c>
      <c r="P306" s="3" t="n">
        <v>7.73</v>
      </c>
      <c r="Q306" s="3"/>
    </row>
    <row r="307" customFormat="false" ht="15" hidden="false" customHeight="false" outlineLevel="0" collapsed="false">
      <c r="A307" s="3" t="s">
        <v>80</v>
      </c>
      <c r="B307" s="3" t="s">
        <v>81</v>
      </c>
      <c r="C307" s="3" t="n">
        <v>3</v>
      </c>
      <c r="D307" s="3" t="s">
        <v>750</v>
      </c>
      <c r="E307" s="3" t="n">
        <v>1753.2</v>
      </c>
      <c r="F307" s="3" t="s">
        <v>750</v>
      </c>
      <c r="G307" s="3" t="n">
        <v>1753.2</v>
      </c>
      <c r="H307" s="3" t="n">
        <v>1</v>
      </c>
      <c r="I307" s="3" t="s">
        <v>65</v>
      </c>
      <c r="J307" s="3" t="n">
        <v>-0.34</v>
      </c>
      <c r="K307" s="3" t="n">
        <v>5.42</v>
      </c>
      <c r="L307" s="3" t="n">
        <v>-1.14</v>
      </c>
      <c r="M307" s="3" t="n">
        <v>-5.68</v>
      </c>
      <c r="N307" s="3" t="n">
        <v>-13.37</v>
      </c>
      <c r="O307" s="3" t="n">
        <v>1444</v>
      </c>
      <c r="P307" s="3" t="n">
        <v>-17.64</v>
      </c>
      <c r="Q307" s="3"/>
    </row>
    <row r="308" customFormat="false" ht="15" hidden="false" customHeight="false" outlineLevel="0" collapsed="false">
      <c r="A308" s="3" t="s">
        <v>148</v>
      </c>
      <c r="B308" s="3" t="s">
        <v>149</v>
      </c>
      <c r="C308" s="3" t="n">
        <v>3</v>
      </c>
      <c r="D308" s="3" t="s">
        <v>750</v>
      </c>
      <c r="E308" s="3" t="n">
        <v>3997.2</v>
      </c>
      <c r="F308" s="3" t="s">
        <v>750</v>
      </c>
      <c r="G308" s="3" t="n">
        <v>3997.2</v>
      </c>
      <c r="H308" s="3" t="n">
        <v>1</v>
      </c>
      <c r="I308" s="3" t="s">
        <v>65</v>
      </c>
      <c r="J308" s="3" t="n">
        <v>2.06</v>
      </c>
      <c r="K308" s="3" t="n">
        <v>6.61</v>
      </c>
      <c r="L308" s="3" t="n">
        <v>10.77</v>
      </c>
      <c r="M308" s="3" t="n">
        <v>9.62</v>
      </c>
      <c r="N308" s="3" t="n">
        <v>23.99</v>
      </c>
      <c r="O308" s="3" t="n">
        <v>4869</v>
      </c>
      <c r="P308" s="3" t="n">
        <v>21.81</v>
      </c>
      <c r="Q308" s="3"/>
    </row>
    <row r="309" customFormat="false" ht="15" hidden="false" customHeight="false" outlineLevel="0" collapsed="false">
      <c r="A309" s="3" t="s">
        <v>156</v>
      </c>
      <c r="B309" s="3" t="s">
        <v>157</v>
      </c>
      <c r="C309" s="3" t="n">
        <v>3</v>
      </c>
      <c r="D309" s="3" t="s">
        <v>750</v>
      </c>
      <c r="E309" s="3" t="n">
        <v>1204</v>
      </c>
      <c r="F309" s="3" t="s">
        <v>750</v>
      </c>
      <c r="G309" s="3" t="n">
        <v>1204</v>
      </c>
      <c r="H309" s="3" t="n">
        <v>1</v>
      </c>
      <c r="I309" s="3" t="s">
        <v>65</v>
      </c>
      <c r="J309" s="3" t="n">
        <v>2.26</v>
      </c>
      <c r="K309" s="3" t="n">
        <v>1.11</v>
      </c>
      <c r="L309" s="3" t="n">
        <v>-7.43</v>
      </c>
      <c r="M309" s="3" t="n">
        <v>-5.16</v>
      </c>
      <c r="N309" s="3" t="n">
        <v>6.15</v>
      </c>
      <c r="O309" s="3" t="n">
        <v>1173</v>
      </c>
      <c r="P309" s="3" t="n">
        <v>-2.57</v>
      </c>
      <c r="Q309" s="3"/>
    </row>
    <row r="310" customFormat="false" ht="15" hidden="false" customHeight="false" outlineLevel="0" collapsed="false">
      <c r="A310" s="3" t="s">
        <v>96</v>
      </c>
      <c r="B310" s="3" t="s">
        <v>97</v>
      </c>
      <c r="C310" s="3" t="n">
        <v>5</v>
      </c>
      <c r="D310" s="3" t="s">
        <v>760</v>
      </c>
      <c r="E310" s="3" t="n">
        <v>435.95</v>
      </c>
      <c r="F310" s="3" t="s">
        <v>760</v>
      </c>
      <c r="G310" s="3" t="n">
        <v>435.95</v>
      </c>
      <c r="H310" s="3" t="n">
        <v>1</v>
      </c>
      <c r="I310" s="3" t="s">
        <v>65</v>
      </c>
      <c r="J310" s="3" t="n">
        <v>-1.48</v>
      </c>
      <c r="K310" s="3" t="n">
        <v>-0.25</v>
      </c>
      <c r="L310" s="3" t="n">
        <v>-4.13</v>
      </c>
      <c r="M310" s="3" t="n">
        <v>6.71</v>
      </c>
      <c r="N310" s="3" t="n">
        <v>8.57</v>
      </c>
      <c r="O310" s="3" t="n">
        <v>407.5</v>
      </c>
      <c r="P310" s="3" t="n">
        <v>-6.53</v>
      </c>
      <c r="Q310" s="3"/>
    </row>
    <row r="311" customFormat="false" ht="15" hidden="false" customHeight="false" outlineLevel="0" collapsed="false">
      <c r="A311" s="3" t="s">
        <v>762</v>
      </c>
      <c r="B311" s="3" t="s">
        <v>763</v>
      </c>
      <c r="C311" s="3" t="n">
        <v>0</v>
      </c>
      <c r="D311" s="3" t="s">
        <v>760</v>
      </c>
      <c r="E311" s="3" t="n">
        <v>1021.5</v>
      </c>
      <c r="F311" s="3" t="s">
        <v>760</v>
      </c>
      <c r="G311" s="3" t="n">
        <v>1021.5</v>
      </c>
      <c r="H311" s="3" t="n">
        <v>1</v>
      </c>
      <c r="I311" s="3" t="s">
        <v>65</v>
      </c>
      <c r="J311" s="3" t="n">
        <v>3.29</v>
      </c>
      <c r="K311" s="3" t="n">
        <v>5.35</v>
      </c>
      <c r="L311" s="3" t="n">
        <v>1.05</v>
      </c>
      <c r="M311" s="3" t="n">
        <v>0.45</v>
      </c>
      <c r="N311" s="3" t="n">
        <v>4.75</v>
      </c>
      <c r="O311" s="3" t="n">
        <v>1000.1</v>
      </c>
      <c r="P311" s="3" t="n">
        <v>-2.09</v>
      </c>
      <c r="Q311" s="3"/>
    </row>
    <row r="312" customFormat="false" ht="15" hidden="false" customHeight="false" outlineLevel="0" collapsed="false">
      <c r="A312" s="3" t="s">
        <v>765</v>
      </c>
      <c r="B312" s="3" t="s">
        <v>766</v>
      </c>
      <c r="C312" s="3" t="n">
        <v>0</v>
      </c>
      <c r="D312" s="3" t="s">
        <v>760</v>
      </c>
      <c r="E312" s="3" t="n">
        <v>280.69</v>
      </c>
      <c r="F312" s="3" t="s">
        <v>760</v>
      </c>
      <c r="G312" s="3" t="n">
        <v>280.69</v>
      </c>
      <c r="H312" s="3" t="n">
        <v>1</v>
      </c>
      <c r="I312" s="3" t="s">
        <v>65</v>
      </c>
      <c r="J312" s="3" t="n">
        <v>-1.12</v>
      </c>
      <c r="K312" s="3" t="n">
        <v>-3.34</v>
      </c>
      <c r="L312" s="3" t="n">
        <v>-10.33</v>
      </c>
      <c r="M312" s="3" t="n">
        <v>-5.29</v>
      </c>
      <c r="N312" s="3" t="n">
        <v>18.28</v>
      </c>
      <c r="O312" s="3" t="n">
        <v>325.5</v>
      </c>
      <c r="P312" s="3" t="n">
        <v>15.96</v>
      </c>
      <c r="Q312" s="3"/>
    </row>
    <row r="313" customFormat="false" ht="15" hidden="false" customHeight="false" outlineLevel="0" collapsed="false">
      <c r="A313" s="3" t="s">
        <v>768</v>
      </c>
      <c r="B313" s="3" t="s">
        <v>769</v>
      </c>
      <c r="C313" s="3" t="n">
        <v>0</v>
      </c>
      <c r="D313" s="3" t="s">
        <v>760</v>
      </c>
      <c r="E313" s="3" t="n">
        <v>163.42</v>
      </c>
      <c r="F313" s="3" t="s">
        <v>760</v>
      </c>
      <c r="G313" s="3" t="n">
        <v>163.42</v>
      </c>
      <c r="H313" s="3" t="n">
        <v>1</v>
      </c>
      <c r="I313" s="3" t="s">
        <v>65</v>
      </c>
      <c r="J313" s="3" t="n">
        <v>0.58</v>
      </c>
      <c r="K313" s="3" t="n">
        <v>0.76</v>
      </c>
      <c r="L313" s="3" t="n">
        <v>-4.9</v>
      </c>
      <c r="M313" s="3" t="n">
        <v>8.55</v>
      </c>
      <c r="N313" s="3" t="n">
        <v>28.23</v>
      </c>
      <c r="O313" s="3" t="n">
        <v>206.59</v>
      </c>
      <c r="P313" s="3" t="n">
        <v>26.42</v>
      </c>
      <c r="Q313" s="3"/>
    </row>
    <row r="314" customFormat="false" ht="15" hidden="false" customHeight="false" outlineLevel="0" collapsed="false">
      <c r="A314" s="3" t="s">
        <v>328</v>
      </c>
      <c r="B314" s="3" t="s">
        <v>329</v>
      </c>
      <c r="C314" s="3" t="n">
        <v>3</v>
      </c>
      <c r="D314" s="3" t="s">
        <v>771</v>
      </c>
      <c r="E314" s="3" t="n">
        <v>6019</v>
      </c>
      <c r="F314" s="3" t="s">
        <v>771</v>
      </c>
      <c r="G314" s="3" t="n">
        <v>6019</v>
      </c>
      <c r="H314" s="3" t="n">
        <v>1</v>
      </c>
      <c r="I314" s="3" t="s">
        <v>65</v>
      </c>
      <c r="J314" s="3" t="n">
        <v>1.38</v>
      </c>
      <c r="K314" s="3" t="n">
        <v>2.61</v>
      </c>
      <c r="L314" s="3" t="n">
        <v>-3.85</v>
      </c>
      <c r="M314" s="3" t="n">
        <v>-10.74</v>
      </c>
      <c r="N314" s="3" t="n">
        <v>-6.57</v>
      </c>
      <c r="O314" s="3" t="n">
        <v>4915</v>
      </c>
      <c r="P314" s="3" t="n">
        <v>-18.34</v>
      </c>
      <c r="Q314" s="3"/>
    </row>
    <row r="315" customFormat="false" ht="15" hidden="false" customHeight="false" outlineLevel="0" collapsed="false">
      <c r="A315" s="3" t="s">
        <v>195</v>
      </c>
      <c r="B315" s="3" t="s">
        <v>196</v>
      </c>
      <c r="C315" s="3" t="n">
        <v>2</v>
      </c>
      <c r="D315" s="3" t="s">
        <v>771</v>
      </c>
      <c r="E315" s="3" t="n">
        <v>290.5</v>
      </c>
      <c r="F315" s="3" t="s">
        <v>771</v>
      </c>
      <c r="G315" s="3" t="n">
        <v>290.5</v>
      </c>
      <c r="H315" s="3" t="n">
        <v>1</v>
      </c>
      <c r="I315" s="3" t="s">
        <v>65</v>
      </c>
      <c r="J315" s="3" t="n">
        <v>-1.17</v>
      </c>
      <c r="K315" s="3" t="n">
        <v>0.12</v>
      </c>
      <c r="L315" s="3" t="n">
        <v>-6.97</v>
      </c>
      <c r="M315" s="3" t="n">
        <v>-3.53</v>
      </c>
      <c r="N315" s="3" t="n">
        <v>23.36</v>
      </c>
      <c r="O315" s="3" t="n">
        <v>325</v>
      </c>
      <c r="P315" s="3" t="n">
        <v>11.88</v>
      </c>
      <c r="Q315" s="3"/>
    </row>
    <row r="316" customFormat="false" ht="15" hidden="false" customHeight="false" outlineLevel="0" collapsed="false">
      <c r="A316" s="3" t="s">
        <v>605</v>
      </c>
      <c r="B316" s="3" t="s">
        <v>606</v>
      </c>
      <c r="C316" s="3" t="n">
        <v>2</v>
      </c>
      <c r="D316" s="3" t="s">
        <v>771</v>
      </c>
      <c r="E316" s="3" t="n">
        <v>467.05</v>
      </c>
      <c r="F316" s="3" t="s">
        <v>771</v>
      </c>
      <c r="G316" s="3" t="n">
        <v>467.05</v>
      </c>
      <c r="H316" s="3" t="n">
        <v>1</v>
      </c>
      <c r="I316" s="3" t="s">
        <v>65</v>
      </c>
      <c r="J316" s="3" t="n">
        <v>1.49</v>
      </c>
      <c r="K316" s="3" t="n">
        <v>2.29</v>
      </c>
      <c r="L316" s="3" t="n">
        <v>-5.35</v>
      </c>
      <c r="M316" s="3" t="n">
        <v>-9.57</v>
      </c>
      <c r="N316" s="3" t="n">
        <v>-21.21</v>
      </c>
      <c r="O316" s="3" t="n">
        <v>360</v>
      </c>
      <c r="P316" s="3" t="n">
        <v>-22.92</v>
      </c>
      <c r="Q316" s="3"/>
    </row>
    <row r="317" customFormat="false" ht="15" hidden="false" customHeight="false" outlineLevel="0" collapsed="false">
      <c r="A317" s="3" t="s">
        <v>300</v>
      </c>
      <c r="B317" s="3" t="s">
        <v>301</v>
      </c>
      <c r="C317" s="3" t="n">
        <v>3</v>
      </c>
      <c r="D317" s="3" t="s">
        <v>771</v>
      </c>
      <c r="E317" s="3" t="n">
        <v>1182.9</v>
      </c>
      <c r="F317" s="3" t="s">
        <v>780</v>
      </c>
      <c r="G317" s="3" t="n">
        <v>1198.6</v>
      </c>
      <c r="H317" s="3" t="n">
        <v>3</v>
      </c>
      <c r="I317" s="3" t="s">
        <v>70</v>
      </c>
      <c r="J317" s="3" t="n">
        <v>0.8</v>
      </c>
      <c r="K317" s="3" t="n">
        <v>3.04</v>
      </c>
      <c r="L317" s="3" t="n">
        <v>-8.26</v>
      </c>
      <c r="M317" s="3" t="n">
        <v>-17.16</v>
      </c>
      <c r="N317" s="3" t="n">
        <v>-9.46</v>
      </c>
      <c r="O317" s="3" t="n">
        <v>962</v>
      </c>
      <c r="P317" s="3" t="n">
        <v>-18.67</v>
      </c>
      <c r="Q317" s="3"/>
    </row>
    <row r="318" customFormat="false" ht="15" hidden="false" customHeight="false" outlineLevel="0" collapsed="false">
      <c r="A318" s="3" t="s">
        <v>372</v>
      </c>
      <c r="B318" s="3" t="s">
        <v>373</v>
      </c>
      <c r="C318" s="3" t="n">
        <v>2</v>
      </c>
      <c r="D318" s="3" t="s">
        <v>771</v>
      </c>
      <c r="E318" s="3" t="n">
        <v>455.1</v>
      </c>
      <c r="F318" s="3" t="s">
        <v>771</v>
      </c>
      <c r="G318" s="3" t="n">
        <v>455.1</v>
      </c>
      <c r="H318" s="3" t="n">
        <v>1</v>
      </c>
      <c r="I318" s="3" t="s">
        <v>65</v>
      </c>
      <c r="J318" s="3" t="n">
        <v>-1.92</v>
      </c>
      <c r="K318" s="3" t="n">
        <v>-4.82</v>
      </c>
      <c r="L318" s="3" t="n">
        <v>-11.21</v>
      </c>
      <c r="M318" s="3" t="n">
        <v>2.82</v>
      </c>
      <c r="N318" s="3" t="n">
        <v>-11.54</v>
      </c>
      <c r="O318" s="3" t="n">
        <v>376</v>
      </c>
      <c r="P318" s="3" t="n">
        <v>-17.38</v>
      </c>
      <c r="Q318" s="3"/>
    </row>
    <row r="319" customFormat="false" ht="15" hidden="false" customHeight="false" outlineLevel="0" collapsed="false">
      <c r="A319" s="3" t="s">
        <v>516</v>
      </c>
      <c r="B319" s="3" t="s">
        <v>517</v>
      </c>
      <c r="C319" s="3" t="n">
        <v>3</v>
      </c>
      <c r="D319" s="3" t="s">
        <v>777</v>
      </c>
      <c r="E319" s="3" t="n">
        <v>1974</v>
      </c>
      <c r="F319" s="3" t="s">
        <v>777</v>
      </c>
      <c r="G319" s="3" t="n">
        <v>1974</v>
      </c>
      <c r="H319" s="3" t="n">
        <v>1</v>
      </c>
      <c r="I319" s="3" t="s">
        <v>65</v>
      </c>
      <c r="J319" s="3" t="n">
        <v>1.18</v>
      </c>
      <c r="K319" s="3" t="n">
        <v>-0.25</v>
      </c>
      <c r="L319" s="3" t="n">
        <v>-7.13</v>
      </c>
      <c r="M319" s="3" t="n">
        <v>-16.01</v>
      </c>
      <c r="N319" s="3" t="n">
        <v>-24.12</v>
      </c>
      <c r="O319" s="3" t="n">
        <v>1575.4</v>
      </c>
      <c r="P319" s="3" t="n">
        <v>-20.19</v>
      </c>
      <c r="Q319" s="3"/>
    </row>
    <row r="320" customFormat="false" ht="15" hidden="false" customHeight="false" outlineLevel="0" collapsed="false">
      <c r="A320" s="3" t="s">
        <v>80</v>
      </c>
      <c r="B320" s="3" t="s">
        <v>81</v>
      </c>
      <c r="C320" s="3" t="n">
        <v>4</v>
      </c>
      <c r="D320" s="3" t="s">
        <v>780</v>
      </c>
      <c r="E320" s="3" t="n">
        <v>1824.9</v>
      </c>
      <c r="F320" s="3" t="s">
        <v>780</v>
      </c>
      <c r="G320" s="3" t="n">
        <v>1824.9</v>
      </c>
      <c r="H320" s="3" t="n">
        <v>1</v>
      </c>
      <c r="I320" s="3" t="s">
        <v>65</v>
      </c>
      <c r="J320" s="3" t="n">
        <v>1.28</v>
      </c>
      <c r="K320" s="3" t="n">
        <v>1.34</v>
      </c>
      <c r="L320" s="3" t="n">
        <v>-9.85</v>
      </c>
      <c r="M320" s="3" t="n">
        <v>-12.23</v>
      </c>
      <c r="N320" s="3" t="n">
        <v>-16.93</v>
      </c>
      <c r="O320" s="3" t="n">
        <v>1444</v>
      </c>
      <c r="P320" s="3" t="n">
        <v>-20.87</v>
      </c>
      <c r="Q320" s="3"/>
    </row>
    <row r="321" customFormat="false" ht="15" hidden="false" customHeight="false" outlineLevel="0" collapsed="false">
      <c r="A321" s="3" t="s">
        <v>182</v>
      </c>
      <c r="B321" s="3" t="s">
        <v>183</v>
      </c>
      <c r="C321" s="3" t="n">
        <v>2</v>
      </c>
      <c r="D321" s="3" t="s">
        <v>783</v>
      </c>
      <c r="E321" s="3" t="n">
        <v>1639.8</v>
      </c>
      <c r="F321" s="3" t="s">
        <v>783</v>
      </c>
      <c r="G321" s="3" t="n">
        <v>1639.8</v>
      </c>
      <c r="H321" s="3" t="n">
        <v>1</v>
      </c>
      <c r="I321" s="3" t="s">
        <v>65</v>
      </c>
      <c r="J321" s="3" t="n">
        <v>0.36</v>
      </c>
      <c r="K321" s="3" t="n">
        <v>-0.29</v>
      </c>
      <c r="L321" s="3" t="n">
        <v>0.74</v>
      </c>
      <c r="M321" s="3" t="n">
        <v>-11.64</v>
      </c>
      <c r="N321" s="3" t="n">
        <v>-2.91</v>
      </c>
      <c r="O321" s="3" t="n">
        <v>1370.5</v>
      </c>
      <c r="P321" s="3" t="n">
        <v>-16.42</v>
      </c>
      <c r="Q321" s="3"/>
    </row>
    <row r="322" customFormat="false" ht="15" hidden="false" customHeight="false" outlineLevel="0" collapsed="false">
      <c r="A322" s="3" t="s">
        <v>284</v>
      </c>
      <c r="B322" s="3" t="s">
        <v>285</v>
      </c>
      <c r="C322" s="3" t="n">
        <v>2</v>
      </c>
      <c r="D322" s="3" t="s">
        <v>783</v>
      </c>
      <c r="E322" s="3" t="n">
        <v>2030.5</v>
      </c>
      <c r="F322" s="3" t="s">
        <v>783</v>
      </c>
      <c r="G322" s="3" t="n">
        <v>2030.5</v>
      </c>
      <c r="H322" s="3" t="n">
        <v>1</v>
      </c>
      <c r="I322" s="3" t="s">
        <v>65</v>
      </c>
      <c r="J322" s="3" t="n">
        <v>0.41</v>
      </c>
      <c r="K322" s="3" t="n">
        <v>0.43</v>
      </c>
      <c r="L322" s="3" t="n">
        <v>5.68</v>
      </c>
      <c r="M322" s="3" t="n">
        <v>18.49</v>
      </c>
      <c r="N322" s="3" t="n">
        <v>14.26</v>
      </c>
      <c r="O322" s="3" t="n">
        <v>2325.7</v>
      </c>
      <c r="P322" s="3" t="n">
        <v>14.54</v>
      </c>
      <c r="Q322" s="3"/>
    </row>
    <row r="323" customFormat="false" ht="15" hidden="false" customHeight="false" outlineLevel="0" collapsed="false">
      <c r="A323" s="3" t="s">
        <v>509</v>
      </c>
      <c r="B323" s="3" t="s">
        <v>510</v>
      </c>
      <c r="C323" s="3" t="n">
        <v>2</v>
      </c>
      <c r="D323" s="3" t="s">
        <v>786</v>
      </c>
      <c r="E323" s="3" t="n">
        <v>943.8</v>
      </c>
      <c r="F323" s="3" t="s">
        <v>786</v>
      </c>
      <c r="G323" s="3" t="n">
        <v>943.8</v>
      </c>
      <c r="H323" s="3" t="n">
        <v>1</v>
      </c>
      <c r="I323" s="3" t="s">
        <v>65</v>
      </c>
      <c r="J323" s="3" t="n">
        <v>0.09</v>
      </c>
      <c r="K323" s="3" t="n">
        <v>-1.31</v>
      </c>
      <c r="L323" s="3" t="n">
        <v>-10.77</v>
      </c>
      <c r="M323" s="3" t="n">
        <v>-4.94</v>
      </c>
      <c r="N323" s="3" t="n">
        <v>8.16</v>
      </c>
      <c r="O323" s="3" t="n">
        <v>909.7</v>
      </c>
      <c r="P323" s="3" t="n">
        <v>-3.61</v>
      </c>
      <c r="Q323" s="3"/>
    </row>
    <row r="324" customFormat="false" ht="15" hidden="false" customHeight="false" outlineLevel="0" collapsed="false">
      <c r="A324" s="3" t="s">
        <v>272</v>
      </c>
      <c r="B324" s="3" t="s">
        <v>273</v>
      </c>
      <c r="C324" s="3" t="n">
        <v>3</v>
      </c>
      <c r="D324" s="3" t="s">
        <v>788</v>
      </c>
      <c r="E324" s="3" t="n">
        <v>375.45</v>
      </c>
      <c r="F324" s="3" t="s">
        <v>790</v>
      </c>
      <c r="G324" s="3" t="n">
        <v>382.75</v>
      </c>
      <c r="H324" s="3" t="n">
        <v>2</v>
      </c>
      <c r="I324" s="3" t="s">
        <v>70</v>
      </c>
      <c r="J324" s="3" t="n">
        <v>1.94</v>
      </c>
      <c r="K324" s="3" t="n">
        <v>0.56</v>
      </c>
      <c r="L324" s="3" t="n">
        <v>0.03</v>
      </c>
      <c r="M324" s="3" t="n">
        <v>3.8</v>
      </c>
      <c r="N324" s="3" t="n">
        <v>-10.11</v>
      </c>
      <c r="O324" s="3" t="n">
        <v>321.1</v>
      </c>
      <c r="P324" s="3" t="n">
        <v>-14.48</v>
      </c>
      <c r="Q324" s="3"/>
    </row>
    <row r="325" customFormat="false" ht="15" hidden="false" customHeight="false" outlineLevel="0" collapsed="false">
      <c r="A325" s="3" t="s">
        <v>199</v>
      </c>
      <c r="B325" s="3" t="s">
        <v>200</v>
      </c>
      <c r="C325" s="3" t="n">
        <v>6</v>
      </c>
      <c r="D325" s="3" t="s">
        <v>792</v>
      </c>
      <c r="E325" s="3" t="n">
        <v>395.85</v>
      </c>
      <c r="F325" s="3" t="s">
        <v>792</v>
      </c>
      <c r="G325" s="3" t="n">
        <v>395.85</v>
      </c>
      <c r="H325" s="3" t="n">
        <v>1</v>
      </c>
      <c r="I325" s="3" t="s">
        <v>65</v>
      </c>
      <c r="J325" s="3" t="n">
        <v>-0.25</v>
      </c>
      <c r="K325" s="3" t="n">
        <v>-2.29</v>
      </c>
      <c r="L325" s="3" t="n">
        <v>-6.5</v>
      </c>
      <c r="M325" s="3" t="n">
        <v>8.29</v>
      </c>
      <c r="N325" s="3" t="n">
        <v>3.42</v>
      </c>
      <c r="O325" s="3" t="n">
        <v>374.9</v>
      </c>
      <c r="P325" s="3" t="n">
        <v>-5.29</v>
      </c>
      <c r="Q325" s="3"/>
    </row>
    <row r="326" customFormat="false" ht="15" hidden="false" customHeight="false" outlineLevel="0" collapsed="false">
      <c r="A326" s="3" t="s">
        <v>794</v>
      </c>
      <c r="B326" s="3" t="s">
        <v>795</v>
      </c>
      <c r="C326" s="3" t="n">
        <v>0</v>
      </c>
      <c r="D326" s="3" t="s">
        <v>792</v>
      </c>
      <c r="E326" s="3" t="n">
        <v>2270.4</v>
      </c>
      <c r="F326" s="3" t="s">
        <v>792</v>
      </c>
      <c r="G326" s="3" t="n">
        <v>2270.4</v>
      </c>
      <c r="H326" s="3" t="n">
        <v>1</v>
      </c>
      <c r="I326" s="3" t="s">
        <v>65</v>
      </c>
      <c r="J326" s="3" t="n">
        <v>1.1</v>
      </c>
      <c r="K326" s="3" t="n">
        <v>-3.07</v>
      </c>
      <c r="L326" s="3" t="n">
        <v>-17.32</v>
      </c>
      <c r="M326" s="3" t="n">
        <v>-9.27</v>
      </c>
      <c r="N326" s="3" t="n">
        <v>-17.24</v>
      </c>
      <c r="O326" s="3" t="n">
        <v>1845.9</v>
      </c>
      <c r="P326" s="3" t="n">
        <v>-18.7</v>
      </c>
      <c r="Q326" s="3"/>
    </row>
    <row r="327" customFormat="false" ht="15" hidden="false" customHeight="false" outlineLevel="0" collapsed="false">
      <c r="A327" s="3" t="s">
        <v>797</v>
      </c>
      <c r="B327" s="3" t="s">
        <v>798</v>
      </c>
      <c r="C327" s="3" t="n">
        <v>0</v>
      </c>
      <c r="D327" s="3" t="s">
        <v>792</v>
      </c>
      <c r="E327" s="3" t="n">
        <v>337.35</v>
      </c>
      <c r="F327" s="3" t="s">
        <v>792</v>
      </c>
      <c r="G327" s="3" t="n">
        <v>337.35</v>
      </c>
      <c r="H327" s="3" t="n">
        <v>1</v>
      </c>
      <c r="I327" s="3" t="s">
        <v>65</v>
      </c>
      <c r="J327" s="3" t="n">
        <v>0.74</v>
      </c>
      <c r="K327" s="3" t="n">
        <v>-5.25</v>
      </c>
      <c r="L327" s="3" t="n">
        <v>-10.82</v>
      </c>
      <c r="M327" s="3" t="n">
        <v>14.57</v>
      </c>
      <c r="N327" s="3" t="n">
        <v>34.37</v>
      </c>
      <c r="O327" s="3" t="n">
        <v>411.75</v>
      </c>
      <c r="P327" s="3" t="n">
        <v>22.05</v>
      </c>
      <c r="Q327" s="3"/>
    </row>
    <row r="328" customFormat="false" ht="15" hidden="false" customHeight="false" outlineLevel="0" collapsed="false">
      <c r="A328" s="3" t="s">
        <v>565</v>
      </c>
      <c r="B328" s="3" t="s">
        <v>566</v>
      </c>
      <c r="C328" s="3" t="n">
        <v>2</v>
      </c>
      <c r="D328" s="3" t="s">
        <v>792</v>
      </c>
      <c r="E328" s="3" t="n">
        <v>1417.6</v>
      </c>
      <c r="F328" s="3" t="s">
        <v>792</v>
      </c>
      <c r="G328" s="3" t="n">
        <v>1417.6</v>
      </c>
      <c r="H328" s="3" t="n">
        <v>1</v>
      </c>
      <c r="I328" s="3" t="s">
        <v>65</v>
      </c>
      <c r="J328" s="3" t="n">
        <v>-0.28</v>
      </c>
      <c r="K328" s="3" t="n">
        <v>-4.59</v>
      </c>
      <c r="L328" s="3" t="n">
        <v>-13.12</v>
      </c>
      <c r="M328" s="3" t="n">
        <v>-16.99</v>
      </c>
      <c r="N328" s="3" t="n">
        <v>-10.52</v>
      </c>
      <c r="O328" s="3" t="n">
        <v>1085</v>
      </c>
      <c r="P328" s="3" t="n">
        <v>-23.46</v>
      </c>
      <c r="Q328" s="3"/>
    </row>
    <row r="329" customFormat="false" ht="15" hidden="false" customHeight="false" outlineLevel="0" collapsed="false">
      <c r="A329" s="3" t="s">
        <v>136</v>
      </c>
      <c r="B329" s="3" t="s">
        <v>137</v>
      </c>
      <c r="C329" s="3" t="n">
        <v>9</v>
      </c>
      <c r="D329" s="3" t="s">
        <v>792</v>
      </c>
      <c r="E329" s="3" t="n">
        <v>183.03</v>
      </c>
      <c r="F329" s="3" t="s">
        <v>792</v>
      </c>
      <c r="G329" s="3" t="n">
        <v>183.03</v>
      </c>
      <c r="H329" s="3" t="n">
        <v>1</v>
      </c>
      <c r="I329" s="3" t="s">
        <v>65</v>
      </c>
      <c r="J329" s="3" t="n">
        <v>1.88</v>
      </c>
      <c r="K329" s="3" t="n">
        <v>-6.28</v>
      </c>
      <c r="L329" s="3" t="n">
        <v>-24.73</v>
      </c>
      <c r="M329" s="3" t="n">
        <v>-23.38</v>
      </c>
      <c r="N329" s="3" t="n">
        <v>-24.33</v>
      </c>
      <c r="O329" s="3" t="n">
        <v>133.32</v>
      </c>
      <c r="P329" s="3" t="n">
        <v>-27.16</v>
      </c>
      <c r="Q329" s="3"/>
    </row>
    <row r="330" customFormat="false" ht="15" hidden="false" customHeight="false" outlineLevel="0" collapsed="false">
      <c r="A330" s="3" t="s">
        <v>175</v>
      </c>
      <c r="B330" s="3" t="s">
        <v>176</v>
      </c>
      <c r="C330" s="3" t="n">
        <v>4</v>
      </c>
      <c r="D330" s="3" t="s">
        <v>792</v>
      </c>
      <c r="E330" s="3" t="n">
        <v>1275</v>
      </c>
      <c r="F330" s="3" t="s">
        <v>792</v>
      </c>
      <c r="G330" s="3" t="n">
        <v>1275</v>
      </c>
      <c r="H330" s="3" t="n">
        <v>1</v>
      </c>
      <c r="I330" s="3" t="s">
        <v>65</v>
      </c>
      <c r="J330" s="3" t="n">
        <v>0.44</v>
      </c>
      <c r="K330" s="3" t="n">
        <v>-2.11</v>
      </c>
      <c r="L330" s="3" t="n">
        <v>-11.35</v>
      </c>
      <c r="M330" s="3" t="n">
        <v>0.24</v>
      </c>
      <c r="N330" s="3" t="n">
        <v>4.08</v>
      </c>
      <c r="O330" s="3" t="n">
        <v>1264.1</v>
      </c>
      <c r="P330" s="3" t="n">
        <v>-0.85</v>
      </c>
      <c r="Q330" s="3"/>
    </row>
    <row r="331" customFormat="false" ht="15" hidden="false" customHeight="false" outlineLevel="0" collapsed="false">
      <c r="A331" s="3" t="s">
        <v>296</v>
      </c>
      <c r="B331" s="3" t="s">
        <v>297</v>
      </c>
      <c r="C331" s="3" t="n">
        <v>2</v>
      </c>
      <c r="D331" s="3" t="s">
        <v>792</v>
      </c>
      <c r="E331" s="3" t="n">
        <v>2292.2</v>
      </c>
      <c r="F331" s="3" t="s">
        <v>792</v>
      </c>
      <c r="G331" s="3" t="n">
        <v>2292.2</v>
      </c>
      <c r="H331" s="3" t="n">
        <v>1</v>
      </c>
      <c r="I331" s="3" t="s">
        <v>65</v>
      </c>
      <c r="J331" s="3" t="n">
        <v>1.35</v>
      </c>
      <c r="K331" s="3" t="n">
        <v>1.78</v>
      </c>
      <c r="L331" s="3" t="n">
        <v>1.86</v>
      </c>
      <c r="M331" s="3" t="n">
        <v>-1.07</v>
      </c>
      <c r="N331" s="3" t="n">
        <v>-4.55</v>
      </c>
      <c r="O331" s="3" t="n">
        <v>2062</v>
      </c>
      <c r="P331" s="3" t="n">
        <v>-10.04</v>
      </c>
      <c r="Q331" s="3"/>
    </row>
    <row r="332" customFormat="false" ht="15" hidden="false" customHeight="false" outlineLevel="0" collapsed="false">
      <c r="A332" s="3" t="s">
        <v>139</v>
      </c>
      <c r="B332" s="3" t="s">
        <v>140</v>
      </c>
      <c r="C332" s="3" t="n">
        <v>4</v>
      </c>
      <c r="D332" s="3" t="s">
        <v>792</v>
      </c>
      <c r="E332" s="3" t="n">
        <v>2155.7</v>
      </c>
      <c r="F332" s="3" t="s">
        <v>792</v>
      </c>
      <c r="G332" s="3" t="n">
        <v>2155.7</v>
      </c>
      <c r="H332" s="3" t="n">
        <v>1</v>
      </c>
      <c r="I332" s="3" t="s">
        <v>65</v>
      </c>
      <c r="J332" s="3" t="n">
        <v>5.75</v>
      </c>
      <c r="K332" s="3" t="n">
        <v>3.28</v>
      </c>
      <c r="L332" s="3" t="n">
        <v>-5.42</v>
      </c>
      <c r="M332" s="3" t="n">
        <v>10.2</v>
      </c>
      <c r="N332" s="3" t="n">
        <v>10.15</v>
      </c>
      <c r="O332" s="3" t="n">
        <v>2435.6</v>
      </c>
      <c r="P332" s="3" t="n">
        <v>12.98</v>
      </c>
      <c r="Q332" s="3"/>
    </row>
    <row r="333" customFormat="false" ht="15" hidden="false" customHeight="false" outlineLevel="0" collapsed="false">
      <c r="A333" s="3" t="s">
        <v>117</v>
      </c>
      <c r="B333" s="3" t="s">
        <v>118</v>
      </c>
      <c r="C333" s="3" t="n">
        <v>2</v>
      </c>
      <c r="D333" s="3" t="s">
        <v>792</v>
      </c>
      <c r="E333" s="3" t="n">
        <v>313.9</v>
      </c>
      <c r="F333" s="3" t="s">
        <v>792</v>
      </c>
      <c r="G333" s="3" t="n">
        <v>313.9</v>
      </c>
      <c r="H333" s="3" t="n">
        <v>1</v>
      </c>
      <c r="I333" s="3" t="s">
        <v>65</v>
      </c>
      <c r="J333" s="3" t="n">
        <v>0.99</v>
      </c>
      <c r="K333" s="3" t="n">
        <v>-6.64</v>
      </c>
      <c r="L333" s="3" t="n">
        <v>-21.57</v>
      </c>
      <c r="M333" s="3" t="n">
        <v>-13.65</v>
      </c>
      <c r="N333" s="3" t="n">
        <v>-5.72</v>
      </c>
      <c r="O333" s="3" t="n">
        <v>289.85</v>
      </c>
      <c r="P333" s="3" t="n">
        <v>-7.66</v>
      </c>
      <c r="Q333" s="3"/>
    </row>
    <row r="334" customFormat="false" ht="15" hidden="false" customHeight="false" outlineLevel="0" collapsed="false">
      <c r="A334" s="3" t="s">
        <v>406</v>
      </c>
      <c r="B334" s="3" t="s">
        <v>407</v>
      </c>
      <c r="C334" s="3" t="n">
        <v>1</v>
      </c>
      <c r="D334" s="3" t="s">
        <v>792</v>
      </c>
      <c r="E334" s="3" t="n">
        <v>164.93</v>
      </c>
      <c r="F334" s="3" t="s">
        <v>792</v>
      </c>
      <c r="G334" s="3" t="n">
        <v>164.93</v>
      </c>
      <c r="H334" s="3" t="n">
        <v>1</v>
      </c>
      <c r="I334" s="3" t="s">
        <v>65</v>
      </c>
      <c r="J334" s="3" t="n">
        <v>0.35</v>
      </c>
      <c r="K334" s="3" t="n">
        <v>-5.32</v>
      </c>
      <c r="L334" s="3" t="n">
        <v>-11.19</v>
      </c>
      <c r="M334" s="3" t="n">
        <v>23.91</v>
      </c>
      <c r="N334" s="3" t="n">
        <v>8.92</v>
      </c>
      <c r="O334" s="3" t="n">
        <v>184.2</v>
      </c>
      <c r="P334" s="3" t="n">
        <v>11.68</v>
      </c>
      <c r="Q334" s="3"/>
    </row>
    <row r="335" customFormat="false" ht="15" hidden="false" customHeight="false" outlineLevel="0" collapsed="false">
      <c r="A335" s="3" t="s">
        <v>740</v>
      </c>
      <c r="B335" s="3" t="s">
        <v>741</v>
      </c>
      <c r="C335" s="3" t="n">
        <v>1</v>
      </c>
      <c r="D335" s="3" t="s">
        <v>792</v>
      </c>
      <c r="E335" s="3" t="n">
        <v>4052.6</v>
      </c>
      <c r="F335" s="3" t="s">
        <v>792</v>
      </c>
      <c r="G335" s="3" t="n">
        <v>4052.6</v>
      </c>
      <c r="H335" s="3" t="n">
        <v>1</v>
      </c>
      <c r="I335" s="3" t="s">
        <v>65</v>
      </c>
      <c r="J335" s="3" t="n">
        <v>-1.12</v>
      </c>
      <c r="K335" s="3" t="n">
        <v>-2.53</v>
      </c>
      <c r="L335" s="3" t="n">
        <v>-7.52</v>
      </c>
      <c r="M335" s="3" t="n">
        <v>-12.43</v>
      </c>
      <c r="N335" s="3" t="n">
        <v>-11.14</v>
      </c>
      <c r="O335" s="3" t="n">
        <v>3499.8</v>
      </c>
      <c r="P335" s="3" t="n">
        <v>-13.64</v>
      </c>
      <c r="Q335" s="3"/>
    </row>
    <row r="336" customFormat="false" ht="15" hidden="false" customHeight="false" outlineLevel="0" collapsed="false">
      <c r="A336" s="3" t="s">
        <v>809</v>
      </c>
      <c r="B336" s="3" t="s">
        <v>810</v>
      </c>
      <c r="C336" s="3" t="n">
        <v>0</v>
      </c>
      <c r="D336" s="3" t="s">
        <v>808</v>
      </c>
      <c r="E336" s="3" t="n">
        <v>726.75</v>
      </c>
      <c r="F336" s="3" t="s">
        <v>808</v>
      </c>
      <c r="G336" s="3" t="n">
        <v>726.75</v>
      </c>
      <c r="H336" s="3" t="n">
        <v>1</v>
      </c>
      <c r="I336" s="3" t="s">
        <v>65</v>
      </c>
      <c r="J336" s="3" t="n">
        <v>-0.21</v>
      </c>
      <c r="K336" s="3" t="n">
        <v>-1.55</v>
      </c>
      <c r="L336" s="3" t="n">
        <v>-9.87</v>
      </c>
      <c r="M336" s="3" t="n">
        <v>23.06</v>
      </c>
      <c r="N336" s="3" t="n">
        <v>20.88</v>
      </c>
      <c r="O336" s="3" t="n">
        <v>865</v>
      </c>
      <c r="P336" s="3" t="n">
        <v>19.02</v>
      </c>
      <c r="Q336" s="3"/>
    </row>
    <row r="337" customFormat="false" ht="15" hidden="false" customHeight="false" outlineLevel="0" collapsed="false">
      <c r="A337" s="3" t="s">
        <v>216</v>
      </c>
      <c r="B337" s="3" t="s">
        <v>217</v>
      </c>
      <c r="C337" s="3" t="n">
        <v>3</v>
      </c>
      <c r="D337" s="3" t="s">
        <v>808</v>
      </c>
      <c r="E337" s="3" t="n">
        <v>1358.1</v>
      </c>
      <c r="F337" s="3" t="s">
        <v>808</v>
      </c>
      <c r="G337" s="3" t="n">
        <v>1358.1</v>
      </c>
      <c r="H337" s="3" t="n">
        <v>1</v>
      </c>
      <c r="I337" s="3" t="s">
        <v>65</v>
      </c>
      <c r="J337" s="3" t="n">
        <v>-0.73</v>
      </c>
      <c r="K337" s="3" t="n">
        <v>-2.72</v>
      </c>
      <c r="L337" s="3" t="n">
        <v>-9.86</v>
      </c>
      <c r="M337" s="3" t="n">
        <v>2.37</v>
      </c>
      <c r="N337" s="3" t="n">
        <v>4.71</v>
      </c>
      <c r="O337" s="3" t="n">
        <v>1383.7</v>
      </c>
      <c r="P337" s="3" t="n">
        <v>1.88</v>
      </c>
      <c r="Q337" s="3"/>
    </row>
    <row r="338" customFormat="false" ht="15" hidden="false" customHeight="false" outlineLevel="0" collapsed="false">
      <c r="A338" s="3" t="s">
        <v>602</v>
      </c>
      <c r="B338" s="3" t="s">
        <v>603</v>
      </c>
      <c r="C338" s="3" t="n">
        <v>2</v>
      </c>
      <c r="D338" s="3" t="s">
        <v>808</v>
      </c>
      <c r="E338" s="3" t="n">
        <v>1404.9</v>
      </c>
      <c r="F338" s="3" t="s">
        <v>808</v>
      </c>
      <c r="G338" s="3" t="n">
        <v>1404.9</v>
      </c>
      <c r="H338" s="3" t="n">
        <v>1</v>
      </c>
      <c r="I338" s="3" t="s">
        <v>65</v>
      </c>
      <c r="J338" s="3" t="n">
        <v>-1.85</v>
      </c>
      <c r="K338" s="3" t="n">
        <v>-6.51</v>
      </c>
      <c r="L338" s="3" t="n">
        <v>-14.16</v>
      </c>
      <c r="M338" s="3" t="n">
        <v>-11.76</v>
      </c>
      <c r="N338" s="3" t="n">
        <v>1.27</v>
      </c>
      <c r="O338" s="3" t="n">
        <v>1302</v>
      </c>
      <c r="P338" s="3" t="n">
        <v>-7.32</v>
      </c>
      <c r="Q338" s="3"/>
    </row>
    <row r="339" customFormat="false" ht="15" hidden="false" customHeight="false" outlineLevel="0" collapsed="false">
      <c r="A339" s="3" t="s">
        <v>814</v>
      </c>
      <c r="B339" s="3" t="s">
        <v>815</v>
      </c>
      <c r="C339" s="3" t="n">
        <v>0</v>
      </c>
      <c r="D339" s="3" t="s">
        <v>808</v>
      </c>
      <c r="E339" s="3" t="n">
        <v>391.55</v>
      </c>
      <c r="F339" s="3" t="s">
        <v>808</v>
      </c>
      <c r="G339" s="3" t="n">
        <v>391.55</v>
      </c>
      <c r="H339" s="3" t="n">
        <v>1</v>
      </c>
      <c r="I339" s="3" t="s">
        <v>65</v>
      </c>
      <c r="J339" s="3" t="n">
        <v>-2.27</v>
      </c>
      <c r="K339" s="3" t="n">
        <v>-10.42</v>
      </c>
      <c r="L339" s="3" t="n">
        <v>-24.35</v>
      </c>
      <c r="M339" s="3" t="n">
        <v>-1.7</v>
      </c>
      <c r="N339" s="3" t="n">
        <v>-19.74</v>
      </c>
      <c r="O339" s="3" t="n">
        <v>281.75</v>
      </c>
      <c r="P339" s="3" t="n">
        <v>-28.04</v>
      </c>
      <c r="Q339" s="3"/>
    </row>
    <row r="340" customFormat="false" ht="15" hidden="false" customHeight="false" outlineLevel="0" collapsed="false">
      <c r="A340" s="3" t="s">
        <v>660</v>
      </c>
      <c r="B340" s="3" t="s">
        <v>661</v>
      </c>
      <c r="C340" s="3" t="n">
        <v>1</v>
      </c>
      <c r="D340" s="3" t="s">
        <v>808</v>
      </c>
      <c r="E340" s="3" t="n">
        <v>201.54</v>
      </c>
      <c r="F340" s="3" t="s">
        <v>808</v>
      </c>
      <c r="G340" s="3" t="n">
        <v>201.54</v>
      </c>
      <c r="H340" s="3" t="n">
        <v>1</v>
      </c>
      <c r="I340" s="3" t="s">
        <v>65</v>
      </c>
      <c r="J340" s="3" t="n">
        <v>0.36</v>
      </c>
      <c r="K340" s="3" t="n">
        <v>-6.4</v>
      </c>
      <c r="L340" s="3" t="n">
        <v>-18.53</v>
      </c>
      <c r="M340" s="3" t="n">
        <v>-19.35</v>
      </c>
      <c r="N340" s="3" t="n">
        <v>-7.22</v>
      </c>
      <c r="O340" s="3" t="n">
        <v>171.75</v>
      </c>
      <c r="P340" s="3" t="n">
        <v>-14.78</v>
      </c>
      <c r="Q340" s="3"/>
    </row>
    <row r="341" customFormat="false" ht="15" hidden="false" customHeight="false" outlineLevel="0" collapsed="false">
      <c r="A341" s="3" t="s">
        <v>136</v>
      </c>
      <c r="B341" s="3" t="s">
        <v>137</v>
      </c>
      <c r="C341" s="3" t="n">
        <v>10</v>
      </c>
      <c r="D341" s="3" t="s">
        <v>818</v>
      </c>
      <c r="E341" s="3" t="n">
        <v>187.47</v>
      </c>
      <c r="F341" s="3" t="s">
        <v>818</v>
      </c>
      <c r="G341" s="3" t="n">
        <v>187.47</v>
      </c>
      <c r="H341" s="3" t="n">
        <v>1</v>
      </c>
      <c r="I341" s="3" t="s">
        <v>65</v>
      </c>
      <c r="J341" s="3" t="n">
        <v>-4.46</v>
      </c>
      <c r="K341" s="3" t="n">
        <v>-14</v>
      </c>
      <c r="L341" s="3" t="n">
        <v>-27.6</v>
      </c>
      <c r="M341" s="3" t="n">
        <v>-25.95</v>
      </c>
      <c r="N341" s="3" t="n">
        <v>-25.6</v>
      </c>
      <c r="O341" s="3" t="n">
        <v>133.32</v>
      </c>
      <c r="P341" s="3" t="n">
        <v>-28.88</v>
      </c>
      <c r="Q341" s="3"/>
    </row>
    <row r="342" customFormat="false" ht="15" hidden="false" customHeight="false" outlineLevel="0" collapsed="false">
      <c r="A342" s="3" t="s">
        <v>820</v>
      </c>
      <c r="B342" s="3" t="s">
        <v>821</v>
      </c>
      <c r="C342" s="3" t="n">
        <v>0</v>
      </c>
      <c r="D342" s="3" t="s">
        <v>818</v>
      </c>
      <c r="E342" s="3" t="n">
        <v>519.9</v>
      </c>
      <c r="F342" s="3" t="s">
        <v>818</v>
      </c>
      <c r="G342" s="3" t="n">
        <v>519.9</v>
      </c>
      <c r="H342" s="3" t="n">
        <v>1</v>
      </c>
      <c r="I342" s="3" t="s">
        <v>65</v>
      </c>
      <c r="J342" s="3" t="n">
        <v>-2.74</v>
      </c>
      <c r="K342" s="3" t="n">
        <v>-6.01</v>
      </c>
      <c r="L342" s="3" t="n">
        <v>-14.66</v>
      </c>
      <c r="M342" s="3" t="n">
        <v>-17.16</v>
      </c>
      <c r="N342" s="3" t="n">
        <v>-3.92</v>
      </c>
      <c r="O342" s="3" t="n">
        <v>478.7</v>
      </c>
      <c r="P342" s="3" t="n">
        <v>-7.92</v>
      </c>
      <c r="Q342" s="3"/>
    </row>
    <row r="343" customFormat="false" ht="15" hidden="false" customHeight="false" outlineLevel="0" collapsed="false">
      <c r="A343" s="3" t="s">
        <v>680</v>
      </c>
      <c r="B343" s="3" t="s">
        <v>681</v>
      </c>
      <c r="C343" s="3" t="n">
        <v>1</v>
      </c>
      <c r="D343" s="3" t="s">
        <v>818</v>
      </c>
      <c r="E343" s="3" t="n">
        <v>2753.4</v>
      </c>
      <c r="F343" s="3" t="s">
        <v>824</v>
      </c>
      <c r="G343" s="3" t="n">
        <v>2837.6</v>
      </c>
      <c r="H343" s="3" t="n">
        <v>2</v>
      </c>
      <c r="I343" s="3" t="s">
        <v>70</v>
      </c>
      <c r="J343" s="3" t="n">
        <v>3.06</v>
      </c>
      <c r="K343" s="3" t="n">
        <v>-5.26</v>
      </c>
      <c r="L343" s="3" t="n">
        <v>-6.56</v>
      </c>
      <c r="M343" s="3" t="n">
        <v>12.98</v>
      </c>
      <c r="N343" s="3" t="n">
        <v>3.87</v>
      </c>
      <c r="O343" s="3" t="n">
        <v>2459</v>
      </c>
      <c r="P343" s="3" t="n">
        <v>-10.69</v>
      </c>
      <c r="Q343" s="3"/>
    </row>
    <row r="344" customFormat="false" ht="15" hidden="false" customHeight="false" outlineLevel="0" collapsed="false">
      <c r="A344" s="3" t="s">
        <v>623</v>
      </c>
      <c r="B344" s="3" t="s">
        <v>624</v>
      </c>
      <c r="C344" s="3" t="n">
        <v>2</v>
      </c>
      <c r="D344" s="3" t="s">
        <v>824</v>
      </c>
      <c r="E344" s="3" t="n">
        <v>1752.5</v>
      </c>
      <c r="F344" s="3" t="s">
        <v>824</v>
      </c>
      <c r="G344" s="3" t="n">
        <v>1752.5</v>
      </c>
      <c r="H344" s="3" t="n">
        <v>1</v>
      </c>
      <c r="I344" s="3" t="s">
        <v>65</v>
      </c>
      <c r="J344" s="3" t="n">
        <v>-0.11</v>
      </c>
      <c r="K344" s="3" t="n">
        <v>3.44</v>
      </c>
      <c r="L344" s="3" t="n">
        <v>-3.36</v>
      </c>
      <c r="M344" s="3" t="n">
        <v>2.05</v>
      </c>
      <c r="N344" s="3" t="n">
        <v>9.18</v>
      </c>
      <c r="O344" s="3" t="n">
        <v>1838</v>
      </c>
      <c r="P344" s="3" t="n">
        <v>4.88</v>
      </c>
      <c r="Q344" s="3"/>
    </row>
    <row r="345" customFormat="false" ht="15" hidden="false" customHeight="false" outlineLevel="0" collapsed="false">
      <c r="A345" s="3" t="s">
        <v>623</v>
      </c>
      <c r="B345" s="3" t="s">
        <v>624</v>
      </c>
      <c r="C345" s="3" t="n">
        <v>3</v>
      </c>
      <c r="D345" s="3" t="s">
        <v>827</v>
      </c>
      <c r="E345" s="3" t="n">
        <v>1784.5</v>
      </c>
      <c r="F345" s="3" t="s">
        <v>827</v>
      </c>
      <c r="G345" s="3" t="n">
        <v>1784.5</v>
      </c>
      <c r="H345" s="3" t="n">
        <v>1</v>
      </c>
      <c r="I345" s="3" t="s">
        <v>65</v>
      </c>
      <c r="J345" s="3" t="n">
        <v>0.83</v>
      </c>
      <c r="K345" s="3" t="n">
        <v>2.29</v>
      </c>
      <c r="L345" s="3" t="n">
        <v>-3.73</v>
      </c>
      <c r="M345" s="3" t="n">
        <v>-0.13</v>
      </c>
      <c r="N345" s="3" t="n">
        <v>11.22</v>
      </c>
      <c r="O345" s="3" t="n">
        <v>1838</v>
      </c>
      <c r="P345" s="3" t="n">
        <v>3</v>
      </c>
      <c r="Q345" s="3"/>
    </row>
    <row r="346" customFormat="false" ht="15" hidden="false" customHeight="false" outlineLevel="0" collapsed="false">
      <c r="A346" s="3" t="s">
        <v>182</v>
      </c>
      <c r="B346" s="3" t="s">
        <v>183</v>
      </c>
      <c r="C346" s="3" t="n">
        <v>3</v>
      </c>
      <c r="D346" s="3" t="s">
        <v>829</v>
      </c>
      <c r="E346" s="3" t="n">
        <v>1689.2</v>
      </c>
      <c r="F346" s="3" t="s">
        <v>829</v>
      </c>
      <c r="G346" s="3" t="n">
        <v>1689.2</v>
      </c>
      <c r="H346" s="3" t="n">
        <v>1</v>
      </c>
      <c r="I346" s="3" t="s">
        <v>65</v>
      </c>
      <c r="J346" s="3" t="n">
        <v>-4.93</v>
      </c>
      <c r="K346" s="3" t="n">
        <v>-4.58</v>
      </c>
      <c r="L346" s="3" t="n">
        <v>-9.69</v>
      </c>
      <c r="M346" s="3" t="n">
        <v>-10.54</v>
      </c>
      <c r="N346" s="3" t="n">
        <v>-10.79</v>
      </c>
      <c r="O346" s="3" t="n">
        <v>1370.5</v>
      </c>
      <c r="P346" s="3" t="n">
        <v>-18.87</v>
      </c>
      <c r="Q346" s="3"/>
    </row>
    <row r="347" customFormat="false" ht="15" hidden="false" customHeight="false" outlineLevel="0" collapsed="false">
      <c r="A347" s="3" t="s">
        <v>272</v>
      </c>
      <c r="B347" s="3" t="s">
        <v>273</v>
      </c>
      <c r="C347" s="3" t="n">
        <v>4</v>
      </c>
      <c r="D347" s="3" t="s">
        <v>829</v>
      </c>
      <c r="E347" s="3" t="n">
        <v>380.6</v>
      </c>
      <c r="F347" s="3" t="s">
        <v>829</v>
      </c>
      <c r="G347" s="3" t="n">
        <v>380.6</v>
      </c>
      <c r="H347" s="3" t="n">
        <v>1</v>
      </c>
      <c r="I347" s="3" t="s">
        <v>65</v>
      </c>
      <c r="J347" s="3" t="n">
        <v>-1.14</v>
      </c>
      <c r="K347" s="3" t="n">
        <v>1.01</v>
      </c>
      <c r="L347" s="3" t="n">
        <v>-1.69</v>
      </c>
      <c r="M347" s="3" t="n">
        <v>-4.78</v>
      </c>
      <c r="N347" s="3" t="n">
        <v>-13.95</v>
      </c>
      <c r="O347" s="3" t="n">
        <v>321.1</v>
      </c>
      <c r="P347" s="3" t="n">
        <v>-15.63</v>
      </c>
      <c r="Q347" s="3"/>
    </row>
    <row r="348" customFormat="false" ht="15" hidden="false" customHeight="false" outlineLevel="0" collapsed="false">
      <c r="A348" s="3" t="s">
        <v>623</v>
      </c>
      <c r="B348" s="3" t="s">
        <v>624</v>
      </c>
      <c r="C348" s="3" t="n">
        <v>4</v>
      </c>
      <c r="D348" s="3" t="s">
        <v>832</v>
      </c>
      <c r="E348" s="3" t="n">
        <v>1807.4</v>
      </c>
      <c r="F348" s="3" t="s">
        <v>834</v>
      </c>
      <c r="G348" s="3" t="n">
        <v>1812.8</v>
      </c>
      <c r="H348" s="3" t="n">
        <v>2</v>
      </c>
      <c r="I348" s="3" t="s">
        <v>70</v>
      </c>
      <c r="J348" s="3" t="n">
        <v>0.3</v>
      </c>
      <c r="K348" s="3" t="n">
        <v>-1.34</v>
      </c>
      <c r="L348" s="3" t="n">
        <v>-5</v>
      </c>
      <c r="M348" s="3" t="n">
        <v>-1.57</v>
      </c>
      <c r="N348" s="3" t="n">
        <v>6.88</v>
      </c>
      <c r="O348" s="3" t="n">
        <v>1838</v>
      </c>
      <c r="P348" s="3" t="n">
        <v>1.69</v>
      </c>
      <c r="Q348" s="3"/>
    </row>
    <row r="349" customFormat="false" ht="15" hidden="false" customHeight="false" outlineLevel="0" collapsed="false">
      <c r="A349" s="3" t="s">
        <v>93</v>
      </c>
      <c r="B349" s="3" t="s">
        <v>94</v>
      </c>
      <c r="C349" s="3" t="n">
        <v>2</v>
      </c>
      <c r="D349" s="3" t="s">
        <v>834</v>
      </c>
      <c r="E349" s="3" t="n">
        <v>1849</v>
      </c>
      <c r="F349" s="3" t="s">
        <v>834</v>
      </c>
      <c r="G349" s="3" t="n">
        <v>1849</v>
      </c>
      <c r="H349" s="3" t="n">
        <v>1</v>
      </c>
      <c r="I349" s="3" t="s">
        <v>65</v>
      </c>
      <c r="J349" s="3" t="n">
        <v>0.37</v>
      </c>
      <c r="K349" s="3" t="n">
        <v>0.32</v>
      </c>
      <c r="L349" s="3" t="n">
        <v>6.47</v>
      </c>
      <c r="M349" s="3" t="n">
        <v>-11.42</v>
      </c>
      <c r="N349" s="3" t="n">
        <v>-4.21</v>
      </c>
      <c r="O349" s="3" t="n">
        <v>1651.6</v>
      </c>
      <c r="P349" s="3" t="n">
        <v>-10.68</v>
      </c>
      <c r="Q349" s="3"/>
    </row>
    <row r="350" customFormat="false" ht="15" hidden="false" customHeight="false" outlineLevel="0" collapsed="false">
      <c r="A350" s="3" t="s">
        <v>296</v>
      </c>
      <c r="B350" s="3" t="s">
        <v>297</v>
      </c>
      <c r="C350" s="3" t="n">
        <v>3</v>
      </c>
      <c r="D350" s="3" t="s">
        <v>834</v>
      </c>
      <c r="E350" s="3" t="n">
        <v>2337.4</v>
      </c>
      <c r="F350" s="3" t="s">
        <v>834</v>
      </c>
      <c r="G350" s="3" t="n">
        <v>2337.4</v>
      </c>
      <c r="H350" s="3" t="n">
        <v>1</v>
      </c>
      <c r="I350" s="3" t="s">
        <v>65</v>
      </c>
      <c r="J350" s="3" t="n">
        <v>0.31</v>
      </c>
      <c r="K350" s="3" t="n">
        <v>-1.68</v>
      </c>
      <c r="L350" s="3" t="n">
        <v>-0.15</v>
      </c>
      <c r="M350" s="3" t="n">
        <v>-3.86</v>
      </c>
      <c r="N350" s="3" t="n">
        <v>-8.79</v>
      </c>
      <c r="O350" s="3" t="n">
        <v>2062</v>
      </c>
      <c r="P350" s="3" t="n">
        <v>-11.78</v>
      </c>
      <c r="Q350" s="3"/>
    </row>
    <row r="351" customFormat="false" ht="15" hidden="false" customHeight="false" outlineLevel="0" collapsed="false">
      <c r="A351" s="3" t="s">
        <v>544</v>
      </c>
      <c r="B351" s="3" t="s">
        <v>545</v>
      </c>
      <c r="C351" s="3" t="n">
        <v>1</v>
      </c>
      <c r="D351" s="3" t="s">
        <v>834</v>
      </c>
      <c r="E351" s="3" t="n">
        <v>1241.2</v>
      </c>
      <c r="F351" s="3" t="s">
        <v>834</v>
      </c>
      <c r="G351" s="3" t="n">
        <v>1241.2</v>
      </c>
      <c r="H351" s="3" t="n">
        <v>1</v>
      </c>
      <c r="I351" s="3" t="s">
        <v>65</v>
      </c>
      <c r="J351" s="3" t="n">
        <v>-0.6</v>
      </c>
      <c r="K351" s="3" t="n">
        <v>-2.76</v>
      </c>
      <c r="L351" s="3" t="n">
        <v>0.65</v>
      </c>
      <c r="M351" s="3" t="n">
        <v>15.88</v>
      </c>
      <c r="N351" s="3" t="n">
        <v>14.08</v>
      </c>
      <c r="O351" s="3" t="n">
        <v>1346</v>
      </c>
      <c r="P351" s="3" t="n">
        <v>8.44</v>
      </c>
      <c r="Q351" s="3"/>
    </row>
    <row r="352" customFormat="false" ht="15" hidden="false" customHeight="false" outlineLevel="0" collapsed="false">
      <c r="A352" s="3" t="s">
        <v>740</v>
      </c>
      <c r="B352" s="3" t="s">
        <v>741</v>
      </c>
      <c r="C352" s="3" t="n">
        <v>2</v>
      </c>
      <c r="D352" s="3" t="s">
        <v>839</v>
      </c>
      <c r="E352" s="3" t="n">
        <v>4038</v>
      </c>
      <c r="F352" s="3" t="s">
        <v>839</v>
      </c>
      <c r="G352" s="3" t="n">
        <v>4038</v>
      </c>
      <c r="H352" s="3" t="n">
        <v>1</v>
      </c>
      <c r="I352" s="3" t="s">
        <v>65</v>
      </c>
      <c r="J352" s="3" t="n">
        <v>0.14</v>
      </c>
      <c r="K352" s="3" t="n">
        <v>-0.67</v>
      </c>
      <c r="L352" s="3" t="n">
        <v>-5.95</v>
      </c>
      <c r="M352" s="3" t="n">
        <v>-14.72</v>
      </c>
      <c r="N352" s="3" t="n">
        <v>-13.94</v>
      </c>
      <c r="O352" s="3" t="n">
        <v>3499.8</v>
      </c>
      <c r="P352" s="3" t="n">
        <v>-13.33</v>
      </c>
      <c r="Q352" s="3"/>
    </row>
    <row r="353" customFormat="false" ht="15" hidden="false" customHeight="false" outlineLevel="0" collapsed="false">
      <c r="A353" s="3" t="s">
        <v>223</v>
      </c>
      <c r="B353" s="3" t="s">
        <v>224</v>
      </c>
      <c r="C353" s="3" t="n">
        <v>1</v>
      </c>
      <c r="D353" s="3" t="s">
        <v>839</v>
      </c>
      <c r="E353" s="3" t="n">
        <v>202.23</v>
      </c>
      <c r="F353" s="3" t="s">
        <v>839</v>
      </c>
      <c r="G353" s="3" t="n">
        <v>202.23</v>
      </c>
      <c r="H353" s="3" t="n">
        <v>1</v>
      </c>
      <c r="I353" s="3" t="s">
        <v>65</v>
      </c>
      <c r="J353" s="3" t="n">
        <v>0.14</v>
      </c>
      <c r="K353" s="3" t="n">
        <v>-3.92</v>
      </c>
      <c r="L353" s="3" t="n">
        <v>0.37</v>
      </c>
      <c r="M353" s="3" t="n">
        <v>-12.29</v>
      </c>
      <c r="N353" s="3" t="n">
        <v>-12.77</v>
      </c>
      <c r="O353" s="3" t="n">
        <v>161.56</v>
      </c>
      <c r="P353" s="3" t="n">
        <v>-20.11</v>
      </c>
      <c r="Q353" s="3"/>
    </row>
    <row r="354" customFormat="false" ht="15" hidden="false" customHeight="false" outlineLevel="0" collapsed="false">
      <c r="A354" s="3" t="s">
        <v>272</v>
      </c>
      <c r="B354" s="3" t="s">
        <v>273</v>
      </c>
      <c r="C354" s="3" t="n">
        <v>5</v>
      </c>
      <c r="D354" s="3" t="s">
        <v>842</v>
      </c>
      <c r="E354" s="3" t="n">
        <v>390.55</v>
      </c>
      <c r="F354" s="3" t="s">
        <v>842</v>
      </c>
      <c r="G354" s="3" t="n">
        <v>390.55</v>
      </c>
      <c r="H354" s="3" t="n">
        <v>1</v>
      </c>
      <c r="I354" s="3" t="s">
        <v>65</v>
      </c>
      <c r="J354" s="3" t="n">
        <v>-1.56</v>
      </c>
      <c r="K354" s="3" t="n">
        <v>-4.22</v>
      </c>
      <c r="L354" s="3" t="n">
        <v>0.52</v>
      </c>
      <c r="M354" s="3" t="n">
        <v>-9.38</v>
      </c>
      <c r="N354" s="3" t="n">
        <v>-14.99</v>
      </c>
      <c r="O354" s="3" t="n">
        <v>321.1</v>
      </c>
      <c r="P354" s="3" t="n">
        <v>-17.78</v>
      </c>
      <c r="Q354" s="3"/>
    </row>
    <row r="355" customFormat="false" ht="15" hidden="false" customHeight="false" outlineLevel="0" collapsed="false">
      <c r="A355" s="3" t="s">
        <v>845</v>
      </c>
      <c r="B355" s="3" t="s">
        <v>846</v>
      </c>
      <c r="C355" s="3" t="n">
        <v>0</v>
      </c>
      <c r="D355" s="3" t="s">
        <v>844</v>
      </c>
      <c r="E355" s="3" t="n">
        <v>75.27</v>
      </c>
      <c r="F355" s="3" t="s">
        <v>844</v>
      </c>
      <c r="G355" s="3" t="n">
        <v>75.27</v>
      </c>
      <c r="H355" s="3" t="n">
        <v>1</v>
      </c>
      <c r="I355" s="3" t="s">
        <v>65</v>
      </c>
      <c r="J355" s="3" t="n">
        <v>2.15</v>
      </c>
      <c r="K355" s="3" t="n">
        <v>0.01</v>
      </c>
      <c r="L355" s="3" t="n">
        <v>11.01</v>
      </c>
      <c r="M355" s="3" t="n">
        <v>-0.69</v>
      </c>
      <c r="N355" s="3" t="n">
        <v>1.89</v>
      </c>
      <c r="O355" s="3" t="n">
        <v>74.5</v>
      </c>
      <c r="P355" s="3" t="n">
        <v>-1.02</v>
      </c>
      <c r="Q355" s="3"/>
    </row>
    <row r="356" customFormat="false" ht="15" hidden="false" customHeight="false" outlineLevel="0" collapsed="false">
      <c r="A356" s="3" t="s">
        <v>574</v>
      </c>
      <c r="B356" s="3" t="s">
        <v>575</v>
      </c>
      <c r="C356" s="3" t="n">
        <v>1</v>
      </c>
      <c r="D356" s="3" t="s">
        <v>848</v>
      </c>
      <c r="E356" s="3" t="n">
        <v>337.7</v>
      </c>
      <c r="F356" s="3" t="s">
        <v>852</v>
      </c>
      <c r="G356" s="3" t="n">
        <v>348.05</v>
      </c>
      <c r="H356" s="3" t="n">
        <v>2</v>
      </c>
      <c r="I356" s="3" t="s">
        <v>70</v>
      </c>
      <c r="J356" s="3" t="n">
        <v>3.06</v>
      </c>
      <c r="K356" s="3" t="n">
        <v>-5</v>
      </c>
      <c r="L356" s="3" t="n">
        <v>13.33</v>
      </c>
      <c r="M356" s="3" t="n">
        <v>6.23</v>
      </c>
      <c r="N356" s="3" t="n">
        <v>-7.08</v>
      </c>
      <c r="O356" s="3" t="n">
        <v>303.25</v>
      </c>
      <c r="P356" s="3" t="n">
        <v>-10.2</v>
      </c>
      <c r="Q356" s="3"/>
    </row>
    <row r="357" customFormat="false" ht="15" hidden="false" customHeight="false" outlineLevel="0" collapsed="false">
      <c r="A357" s="3" t="s">
        <v>608</v>
      </c>
      <c r="B357" s="3" t="s">
        <v>609</v>
      </c>
      <c r="C357" s="3" t="n">
        <v>4</v>
      </c>
      <c r="D357" s="3" t="s">
        <v>848</v>
      </c>
      <c r="E357" s="3" t="n">
        <v>1932.1</v>
      </c>
      <c r="F357" s="3" t="s">
        <v>848</v>
      </c>
      <c r="G357" s="3" t="n">
        <v>1932.1</v>
      </c>
      <c r="H357" s="3" t="n">
        <v>1</v>
      </c>
      <c r="I357" s="3" t="s">
        <v>65</v>
      </c>
      <c r="J357" s="3" t="n">
        <v>1.57</v>
      </c>
      <c r="K357" s="3" t="n">
        <v>-4.97</v>
      </c>
      <c r="L357" s="3" t="n">
        <v>2.61</v>
      </c>
      <c r="M357" s="3" t="n">
        <v>-7.17</v>
      </c>
      <c r="N357" s="3" t="n">
        <v>-11.98</v>
      </c>
      <c r="O357" s="3" t="n">
        <v>1728.1</v>
      </c>
      <c r="P357" s="3" t="n">
        <v>-10.56</v>
      </c>
      <c r="Q357" s="3"/>
    </row>
    <row r="358" customFormat="false" ht="15" hidden="false" customHeight="false" outlineLevel="0" collapsed="false">
      <c r="A358" s="3" t="s">
        <v>453</v>
      </c>
      <c r="B358" s="3" t="s">
        <v>454</v>
      </c>
      <c r="C358" s="3" t="n">
        <v>3</v>
      </c>
      <c r="D358" s="3" t="s">
        <v>848</v>
      </c>
      <c r="E358" s="3" t="n">
        <v>502.1</v>
      </c>
      <c r="F358" s="3" t="s">
        <v>848</v>
      </c>
      <c r="G358" s="3" t="n">
        <v>502.1</v>
      </c>
      <c r="H358" s="3" t="n">
        <v>1</v>
      </c>
      <c r="I358" s="3" t="s">
        <v>65</v>
      </c>
      <c r="J358" s="3" t="n">
        <v>1.93</v>
      </c>
      <c r="K358" s="3" t="n">
        <v>-1.47</v>
      </c>
      <c r="L358" s="3" t="n">
        <v>14.83</v>
      </c>
      <c r="M358" s="3" t="n">
        <v>19.75</v>
      </c>
      <c r="N358" s="3" t="n">
        <v>60.03</v>
      </c>
      <c r="O358" s="3" t="n">
        <v>807.9</v>
      </c>
      <c r="P358" s="3" t="n">
        <v>60.9</v>
      </c>
      <c r="Q358" s="3"/>
    </row>
    <row r="359" customFormat="false" ht="15" hidden="false" customHeight="false" outlineLevel="0" collapsed="false">
      <c r="A359" s="3" t="s">
        <v>664</v>
      </c>
      <c r="B359" s="3" t="s">
        <v>665</v>
      </c>
      <c r="C359" s="3" t="n">
        <v>2</v>
      </c>
      <c r="D359" s="3" t="s">
        <v>852</v>
      </c>
      <c r="E359" s="3" t="n">
        <v>1804.4</v>
      </c>
      <c r="F359" s="3" t="s">
        <v>852</v>
      </c>
      <c r="G359" s="3" t="n">
        <v>1804.4</v>
      </c>
      <c r="H359" s="3" t="n">
        <v>1</v>
      </c>
      <c r="I359" s="3" t="s">
        <v>65</v>
      </c>
      <c r="J359" s="3" t="n">
        <v>-5.1</v>
      </c>
      <c r="K359" s="3" t="n">
        <v>-3.76</v>
      </c>
      <c r="L359" s="3" t="n">
        <v>5.07</v>
      </c>
      <c r="M359" s="3" t="n">
        <v>11.94</v>
      </c>
      <c r="N359" s="3" t="n">
        <v>7.79</v>
      </c>
      <c r="O359" s="3" t="n">
        <v>1957</v>
      </c>
      <c r="P359" s="3" t="n">
        <v>8.46</v>
      </c>
      <c r="Q359" s="3"/>
    </row>
    <row r="360" customFormat="false" ht="15" hidden="false" customHeight="false" outlineLevel="0" collapsed="false">
      <c r="A360" s="3" t="s">
        <v>96</v>
      </c>
      <c r="B360" s="3" t="s">
        <v>97</v>
      </c>
      <c r="C360" s="3" t="n">
        <v>6</v>
      </c>
      <c r="D360" s="3" t="s">
        <v>852</v>
      </c>
      <c r="E360" s="3" t="n">
        <v>422.55</v>
      </c>
      <c r="F360" s="3" t="s">
        <v>852</v>
      </c>
      <c r="G360" s="3" t="n">
        <v>422.55</v>
      </c>
      <c r="H360" s="3" t="n">
        <v>1</v>
      </c>
      <c r="I360" s="3" t="s">
        <v>65</v>
      </c>
      <c r="J360" s="3" t="n">
        <v>-2.17</v>
      </c>
      <c r="K360" s="3" t="n">
        <v>1.85</v>
      </c>
      <c r="L360" s="3" t="n">
        <v>11.71</v>
      </c>
      <c r="M360" s="3" t="n">
        <v>8.67</v>
      </c>
      <c r="N360" s="3" t="n">
        <v>3.89</v>
      </c>
      <c r="O360" s="3" t="n">
        <v>407.5</v>
      </c>
      <c r="P360" s="3" t="n">
        <v>-3.56</v>
      </c>
      <c r="Q360" s="3"/>
    </row>
    <row r="361" customFormat="false" ht="15" hidden="false" customHeight="false" outlineLevel="0" collapsed="false">
      <c r="A361" s="3" t="s">
        <v>152</v>
      </c>
      <c r="B361" s="3" t="s">
        <v>153</v>
      </c>
      <c r="C361" s="3" t="n">
        <v>3</v>
      </c>
      <c r="D361" s="3" t="s">
        <v>852</v>
      </c>
      <c r="E361" s="3" t="n">
        <v>854.15</v>
      </c>
      <c r="F361" s="3" t="s">
        <v>852</v>
      </c>
      <c r="G361" s="3" t="n">
        <v>854.15</v>
      </c>
      <c r="H361" s="3" t="n">
        <v>1</v>
      </c>
      <c r="I361" s="3" t="s">
        <v>65</v>
      </c>
      <c r="J361" s="3" t="n">
        <v>-4.24</v>
      </c>
      <c r="K361" s="3" t="n">
        <v>-14.08</v>
      </c>
      <c r="L361" s="3" t="n">
        <v>2.52</v>
      </c>
      <c r="M361" s="3" t="n">
        <v>8.18</v>
      </c>
      <c r="N361" s="3" t="n">
        <v>30.76</v>
      </c>
      <c r="O361" s="3" t="n">
        <v>1117.1</v>
      </c>
      <c r="P361" s="3" t="n">
        <v>30.78</v>
      </c>
      <c r="Q361" s="3"/>
    </row>
    <row r="362" customFormat="false" ht="15" hidden="false" customHeight="false" outlineLevel="0" collapsed="false">
      <c r="A362" s="3" t="s">
        <v>414</v>
      </c>
      <c r="B362" s="3" t="s">
        <v>415</v>
      </c>
      <c r="C362" s="3" t="n">
        <v>1</v>
      </c>
      <c r="D362" s="3" t="s">
        <v>852</v>
      </c>
      <c r="E362" s="3" t="n">
        <v>1178.6</v>
      </c>
      <c r="F362" s="3" t="s">
        <v>852</v>
      </c>
      <c r="G362" s="3" t="n">
        <v>1178.6</v>
      </c>
      <c r="H362" s="3" t="n">
        <v>1</v>
      </c>
      <c r="I362" s="3" t="s">
        <v>65</v>
      </c>
      <c r="J362" s="3" t="n">
        <v>-2.34</v>
      </c>
      <c r="K362" s="3" t="n">
        <v>1.9</v>
      </c>
      <c r="L362" s="3" t="n">
        <v>18.06</v>
      </c>
      <c r="M362" s="3" t="n">
        <v>45.97</v>
      </c>
      <c r="N362" s="3" t="n">
        <v>47.4</v>
      </c>
      <c r="O362" s="3" t="n">
        <v>1640.6</v>
      </c>
      <c r="P362" s="3" t="n">
        <v>39.2</v>
      </c>
      <c r="Q362" s="3"/>
    </row>
    <row r="363" customFormat="false" ht="15" hidden="false" customHeight="false" outlineLevel="0" collapsed="false">
      <c r="A363" s="3" t="s">
        <v>237</v>
      </c>
      <c r="B363" s="3" t="s">
        <v>238</v>
      </c>
      <c r="C363" s="3" t="n">
        <v>3</v>
      </c>
      <c r="D363" s="3" t="s">
        <v>852</v>
      </c>
      <c r="E363" s="3" t="n">
        <v>1627.3</v>
      </c>
      <c r="F363" s="3" t="s">
        <v>852</v>
      </c>
      <c r="G363" s="3" t="n">
        <v>1627.3</v>
      </c>
      <c r="H363" s="3" t="n">
        <v>1</v>
      </c>
      <c r="I363" s="3" t="s">
        <v>65</v>
      </c>
      <c r="J363" s="3" t="n">
        <v>-3.18</v>
      </c>
      <c r="K363" s="3" t="n">
        <v>-3.4</v>
      </c>
      <c r="L363" s="3" t="n">
        <v>11.04</v>
      </c>
      <c r="M363" s="3" t="n">
        <v>13.91</v>
      </c>
      <c r="N363" s="3" t="n">
        <v>16.14</v>
      </c>
      <c r="O363" s="3" t="n">
        <v>1952.2</v>
      </c>
      <c r="P363" s="3" t="n">
        <v>19.97</v>
      </c>
      <c r="Q363" s="3"/>
    </row>
    <row r="364" customFormat="false" ht="15" hidden="false" customHeight="false" outlineLevel="0" collapsed="false">
      <c r="A364" s="3" t="s">
        <v>441</v>
      </c>
      <c r="B364" s="3" t="s">
        <v>442</v>
      </c>
      <c r="C364" s="3" t="n">
        <v>1</v>
      </c>
      <c r="D364" s="3" t="s">
        <v>852</v>
      </c>
      <c r="E364" s="3" t="n">
        <v>807.65</v>
      </c>
      <c r="F364" s="3" t="s">
        <v>852</v>
      </c>
      <c r="G364" s="3" t="n">
        <v>807.65</v>
      </c>
      <c r="H364" s="3" t="n">
        <v>1</v>
      </c>
      <c r="I364" s="3" t="s">
        <v>65</v>
      </c>
      <c r="J364" s="3" t="n">
        <v>-2.43</v>
      </c>
      <c r="K364" s="3" t="n">
        <v>-0.59</v>
      </c>
      <c r="L364" s="3" t="n">
        <v>21.23</v>
      </c>
      <c r="M364" s="3" t="n">
        <v>24.3</v>
      </c>
      <c r="N364" s="3" t="n">
        <v>45.97</v>
      </c>
      <c r="O364" s="3" t="n">
        <v>1085</v>
      </c>
      <c r="P364" s="3" t="n">
        <v>34.34</v>
      </c>
      <c r="Q364" s="3"/>
    </row>
    <row r="365" customFormat="false" ht="15" hidden="false" customHeight="false" outlineLevel="0" collapsed="false">
      <c r="A365" s="3" t="s">
        <v>859</v>
      </c>
      <c r="B365" s="3" t="s">
        <v>860</v>
      </c>
      <c r="C365" s="3" t="n">
        <v>0</v>
      </c>
      <c r="D365" s="3" t="s">
        <v>852</v>
      </c>
      <c r="E365" s="3" t="n">
        <v>7374.5</v>
      </c>
      <c r="F365" s="3" t="s">
        <v>852</v>
      </c>
      <c r="G365" s="3" t="n">
        <v>7374.5</v>
      </c>
      <c r="H365" s="3" t="n">
        <v>1</v>
      </c>
      <c r="I365" s="3" t="s">
        <v>65</v>
      </c>
      <c r="J365" s="3" t="n">
        <v>-2.64</v>
      </c>
      <c r="K365" s="3" t="n">
        <v>-3.11</v>
      </c>
      <c r="L365" s="3" t="n">
        <v>7.88</v>
      </c>
      <c r="M365" s="3" t="n">
        <v>34.96</v>
      </c>
      <c r="N365" s="3" t="n">
        <v>11.75</v>
      </c>
      <c r="O365" s="3" t="n">
        <v>8191</v>
      </c>
      <c r="P365" s="3" t="n">
        <v>11.07</v>
      </c>
      <c r="Q365" s="3"/>
    </row>
    <row r="366" customFormat="false" ht="15" hidden="false" customHeight="false" outlineLevel="0" collapsed="false">
      <c r="A366" s="3" t="s">
        <v>686</v>
      </c>
      <c r="B366" s="3" t="s">
        <v>687</v>
      </c>
      <c r="C366" s="3" t="n">
        <v>2</v>
      </c>
      <c r="D366" s="3" t="s">
        <v>863</v>
      </c>
      <c r="E366" s="3" t="n">
        <v>468.15</v>
      </c>
      <c r="F366" s="3" t="s">
        <v>863</v>
      </c>
      <c r="G366" s="3" t="n">
        <v>468.15</v>
      </c>
      <c r="H366" s="3" t="n">
        <v>1</v>
      </c>
      <c r="I366" s="3" t="s">
        <v>65</v>
      </c>
      <c r="J366" s="3" t="n">
        <v>-2.76</v>
      </c>
      <c r="K366" s="3" t="n">
        <v>-3.78</v>
      </c>
      <c r="L366" s="3" t="n">
        <v>-3.74</v>
      </c>
      <c r="M366" s="3" t="n">
        <v>-4.09</v>
      </c>
      <c r="N366" s="3" t="s">
        <v>2391</v>
      </c>
      <c r="O366" s="3" t="n">
        <v>422.5</v>
      </c>
      <c r="P366" s="3" t="n">
        <v>-9.75</v>
      </c>
      <c r="Q366" s="3"/>
    </row>
    <row r="367" customFormat="false" ht="15" hidden="false" customHeight="false" outlineLevel="0" collapsed="false">
      <c r="A367" s="3" t="s">
        <v>96</v>
      </c>
      <c r="B367" s="3" t="s">
        <v>97</v>
      </c>
      <c r="C367" s="3" t="n">
        <v>7</v>
      </c>
      <c r="D367" s="3" t="s">
        <v>863</v>
      </c>
      <c r="E367" s="3" t="n">
        <v>422.85</v>
      </c>
      <c r="F367" s="3" t="s">
        <v>863</v>
      </c>
      <c r="G367" s="3" t="n">
        <v>422.85</v>
      </c>
      <c r="H367" s="3" t="n">
        <v>1</v>
      </c>
      <c r="I367" s="3" t="s">
        <v>65</v>
      </c>
      <c r="J367" s="3" t="n">
        <v>-2.71</v>
      </c>
      <c r="K367" s="3" t="n">
        <v>-1.45</v>
      </c>
      <c r="L367" s="3" t="n">
        <v>6.28</v>
      </c>
      <c r="M367" s="3" t="n">
        <v>14.41</v>
      </c>
      <c r="N367" s="3" t="s">
        <v>2391</v>
      </c>
      <c r="O367" s="3" t="n">
        <v>407.5</v>
      </c>
      <c r="P367" s="3" t="n">
        <v>-3.63</v>
      </c>
      <c r="Q367" s="3"/>
    </row>
    <row r="368" customFormat="false" ht="15" hidden="false" customHeight="false" outlineLevel="0" collapsed="false">
      <c r="A368" s="3" t="s">
        <v>562</v>
      </c>
      <c r="B368" s="3" t="s">
        <v>563</v>
      </c>
      <c r="C368" s="3" t="n">
        <v>2</v>
      </c>
      <c r="D368" s="3" t="s">
        <v>863</v>
      </c>
      <c r="E368" s="3" t="n">
        <v>2616.3</v>
      </c>
      <c r="F368" s="3" t="s">
        <v>863</v>
      </c>
      <c r="G368" s="3" t="n">
        <v>2616.3</v>
      </c>
      <c r="H368" s="3" t="n">
        <v>1</v>
      </c>
      <c r="I368" s="3" t="s">
        <v>65</v>
      </c>
      <c r="J368" s="3" t="n">
        <v>-3.26</v>
      </c>
      <c r="K368" s="3" t="n">
        <v>-2.24</v>
      </c>
      <c r="L368" s="3" t="n">
        <v>4.54</v>
      </c>
      <c r="M368" s="3" t="n">
        <v>21.36</v>
      </c>
      <c r="N368" s="3" t="s">
        <v>2391</v>
      </c>
      <c r="O368" s="3" t="n">
        <v>3150</v>
      </c>
      <c r="P368" s="3" t="n">
        <v>20.4</v>
      </c>
      <c r="Q368" s="3"/>
    </row>
    <row r="369" customFormat="false" ht="15" hidden="false" customHeight="false" outlineLevel="0" collapsed="false">
      <c r="A369" s="3" t="s">
        <v>591</v>
      </c>
      <c r="B369" s="3" t="s">
        <v>592</v>
      </c>
      <c r="C369" s="3" t="n">
        <v>2</v>
      </c>
      <c r="D369" s="3" t="s">
        <v>863</v>
      </c>
      <c r="E369" s="3" t="n">
        <v>1333.7</v>
      </c>
      <c r="F369" s="3" t="s">
        <v>886</v>
      </c>
      <c r="G369" s="3" t="n">
        <v>1358.6</v>
      </c>
      <c r="H369" s="3" t="n">
        <v>2</v>
      </c>
      <c r="I369" s="3" t="s">
        <v>70</v>
      </c>
      <c r="J369" s="3" t="n">
        <v>1.87</v>
      </c>
      <c r="K369" s="3" t="n">
        <v>0.59</v>
      </c>
      <c r="L369" s="3" t="n">
        <v>-4.21</v>
      </c>
      <c r="M369" s="3" t="n">
        <v>-15.24</v>
      </c>
      <c r="N369" s="3" t="s">
        <v>2391</v>
      </c>
      <c r="O369" s="3" t="n">
        <v>1252.6</v>
      </c>
      <c r="P369" s="3" t="n">
        <v>-6.08</v>
      </c>
      <c r="Q369" s="3"/>
    </row>
    <row r="370" customFormat="false" ht="15" hidden="false" customHeight="false" outlineLevel="0" collapsed="false">
      <c r="A370" s="3" t="s">
        <v>868</v>
      </c>
      <c r="B370" s="3" t="s">
        <v>869</v>
      </c>
      <c r="C370" s="3" t="n">
        <v>0</v>
      </c>
      <c r="D370" s="3" t="s">
        <v>863</v>
      </c>
      <c r="E370" s="3" t="n">
        <v>5275.5</v>
      </c>
      <c r="F370" s="3" t="s">
        <v>863</v>
      </c>
      <c r="G370" s="3" t="n">
        <v>5275.5</v>
      </c>
      <c r="H370" s="3" t="n">
        <v>1</v>
      </c>
      <c r="I370" s="3" t="s">
        <v>65</v>
      </c>
      <c r="J370" s="3" t="n">
        <v>-3.99</v>
      </c>
      <c r="K370" s="3" t="n">
        <v>-4.03</v>
      </c>
      <c r="L370" s="3" t="n">
        <v>-4.62</v>
      </c>
      <c r="M370" s="3" t="n">
        <v>-5.53</v>
      </c>
      <c r="N370" s="3" t="s">
        <v>2391</v>
      </c>
      <c r="O370" s="3" t="n">
        <v>5390</v>
      </c>
      <c r="P370" s="3" t="n">
        <v>2.17</v>
      </c>
      <c r="Q370" s="3"/>
    </row>
    <row r="371" customFormat="false" ht="15" hidden="false" customHeight="false" outlineLevel="0" collapsed="false">
      <c r="A371" s="3" t="s">
        <v>871</v>
      </c>
      <c r="B371" s="3" t="s">
        <v>872</v>
      </c>
      <c r="C371" s="3" t="n">
        <v>0</v>
      </c>
      <c r="D371" s="3" t="s">
        <v>863</v>
      </c>
      <c r="E371" s="3" t="n">
        <v>1255.9</v>
      </c>
      <c r="F371" s="3" t="s">
        <v>863</v>
      </c>
      <c r="G371" s="3" t="n">
        <v>1255.9</v>
      </c>
      <c r="H371" s="3" t="n">
        <v>1</v>
      </c>
      <c r="I371" s="3" t="s">
        <v>65</v>
      </c>
      <c r="J371" s="3" t="n">
        <v>0.07</v>
      </c>
      <c r="K371" s="3" t="n">
        <v>-0.42</v>
      </c>
      <c r="L371" s="3" t="n">
        <v>-1.22</v>
      </c>
      <c r="M371" s="3" t="n">
        <v>-15.17</v>
      </c>
      <c r="N371" s="3" t="s">
        <v>2391</v>
      </c>
      <c r="O371" s="3" t="n">
        <v>1003.2</v>
      </c>
      <c r="P371" s="3" t="n">
        <v>-20.12</v>
      </c>
      <c r="Q371" s="3"/>
    </row>
    <row r="372" customFormat="false" ht="15" hidden="false" customHeight="false" outlineLevel="0" collapsed="false">
      <c r="A372" s="3" t="s">
        <v>762</v>
      </c>
      <c r="B372" s="3" t="s">
        <v>763</v>
      </c>
      <c r="C372" s="3" t="n">
        <v>1</v>
      </c>
      <c r="D372" s="3" t="s">
        <v>863</v>
      </c>
      <c r="E372" s="3" t="n">
        <v>964.8</v>
      </c>
      <c r="F372" s="3" t="s">
        <v>863</v>
      </c>
      <c r="G372" s="3" t="n">
        <v>964.8</v>
      </c>
      <c r="H372" s="3" t="n">
        <v>1</v>
      </c>
      <c r="I372" s="3" t="s">
        <v>65</v>
      </c>
      <c r="J372" s="3" t="n">
        <v>-0.82</v>
      </c>
      <c r="K372" s="3" t="n">
        <v>-0.26</v>
      </c>
      <c r="L372" s="3" t="n">
        <v>4.35</v>
      </c>
      <c r="M372" s="3" t="n">
        <v>13.5</v>
      </c>
      <c r="N372" s="3" t="s">
        <v>2391</v>
      </c>
      <c r="O372" s="3" t="n">
        <v>1000.1</v>
      </c>
      <c r="P372" s="3" t="n">
        <v>3.66</v>
      </c>
      <c r="Q372" s="3"/>
    </row>
    <row r="373" customFormat="false" ht="15" hidden="false" customHeight="false" outlineLevel="0" collapsed="false">
      <c r="A373" s="3" t="s">
        <v>80</v>
      </c>
      <c r="B373" s="3" t="s">
        <v>81</v>
      </c>
      <c r="C373" s="3" t="n">
        <v>5</v>
      </c>
      <c r="D373" s="3" t="s">
        <v>863</v>
      </c>
      <c r="E373" s="3" t="n">
        <v>1639.3</v>
      </c>
      <c r="F373" s="3" t="s">
        <v>863</v>
      </c>
      <c r="G373" s="3" t="n">
        <v>1639.3</v>
      </c>
      <c r="H373" s="3" t="n">
        <v>1</v>
      </c>
      <c r="I373" s="3" t="s">
        <v>65</v>
      </c>
      <c r="J373" s="3" t="n">
        <v>-4.38</v>
      </c>
      <c r="K373" s="3" t="n">
        <v>-9.06</v>
      </c>
      <c r="L373" s="3" t="n">
        <v>-2.68</v>
      </c>
      <c r="M373" s="3" t="n">
        <v>2.89</v>
      </c>
      <c r="N373" s="3" t="s">
        <v>2391</v>
      </c>
      <c r="O373" s="3" t="n">
        <v>1444</v>
      </c>
      <c r="P373" s="3" t="n">
        <v>-11.91</v>
      </c>
      <c r="Q373" s="3"/>
    </row>
    <row r="374" customFormat="false" ht="15" hidden="false" customHeight="false" outlineLevel="0" collapsed="false">
      <c r="A374" s="3" t="s">
        <v>876</v>
      </c>
      <c r="B374" s="3" t="s">
        <v>877</v>
      </c>
      <c r="C374" s="3" t="n">
        <v>0</v>
      </c>
      <c r="D374" s="3" t="s">
        <v>863</v>
      </c>
      <c r="E374" s="3" t="n">
        <v>2909.5</v>
      </c>
      <c r="F374" s="3" t="s">
        <v>863</v>
      </c>
      <c r="G374" s="3" t="n">
        <v>2909.5</v>
      </c>
      <c r="H374" s="3" t="n">
        <v>1</v>
      </c>
      <c r="I374" s="3" t="s">
        <v>65</v>
      </c>
      <c r="J374" s="3" t="n">
        <v>-5.05</v>
      </c>
      <c r="K374" s="3" t="n">
        <v>-6.55</v>
      </c>
      <c r="L374" s="3" t="n">
        <v>5.5</v>
      </c>
      <c r="M374" s="3" t="n">
        <v>-3.57</v>
      </c>
      <c r="N374" s="3" t="s">
        <v>2391</v>
      </c>
      <c r="O374" s="3" t="n">
        <v>2349</v>
      </c>
      <c r="P374" s="3" t="n">
        <v>-19.26</v>
      </c>
      <c r="Q374" s="3"/>
    </row>
    <row r="375" customFormat="false" ht="15" hidden="false" customHeight="false" outlineLevel="0" collapsed="false">
      <c r="A375" s="3" t="s">
        <v>529</v>
      </c>
      <c r="B375" s="3" t="s">
        <v>530</v>
      </c>
      <c r="C375" s="3" t="n">
        <v>2</v>
      </c>
      <c r="D375" s="3" t="s">
        <v>863</v>
      </c>
      <c r="E375" s="3" t="n">
        <v>297.6</v>
      </c>
      <c r="F375" s="3" t="s">
        <v>863</v>
      </c>
      <c r="G375" s="3" t="n">
        <v>297.6</v>
      </c>
      <c r="H375" s="3" t="n">
        <v>1</v>
      </c>
      <c r="I375" s="3" t="s">
        <v>65</v>
      </c>
      <c r="J375" s="3" t="n">
        <v>1.51</v>
      </c>
      <c r="K375" s="3" t="n">
        <v>-0.5</v>
      </c>
      <c r="L375" s="3" t="n">
        <v>7.24</v>
      </c>
      <c r="M375" s="3" t="n">
        <v>-2.64</v>
      </c>
      <c r="N375" s="3" t="s">
        <v>2391</v>
      </c>
      <c r="O375" s="3" t="n">
        <v>261.85</v>
      </c>
      <c r="P375" s="3" t="n">
        <v>-12.01</v>
      </c>
      <c r="Q375" s="3"/>
    </row>
    <row r="376" customFormat="false" ht="15" hidden="false" customHeight="false" outlineLevel="0" collapsed="false">
      <c r="A376" s="3" t="s">
        <v>880</v>
      </c>
      <c r="B376" s="3" t="s">
        <v>881</v>
      </c>
      <c r="C376" s="3" t="n">
        <v>0</v>
      </c>
      <c r="D376" s="3" t="s">
        <v>863</v>
      </c>
      <c r="E376" s="3" t="n">
        <v>1414.4</v>
      </c>
      <c r="F376" s="3" t="s">
        <v>863</v>
      </c>
      <c r="G376" s="3" t="n">
        <v>1414.4</v>
      </c>
      <c r="H376" s="3" t="n">
        <v>1</v>
      </c>
      <c r="I376" s="3" t="s">
        <v>65</v>
      </c>
      <c r="J376" s="3" t="n">
        <v>-0.47</v>
      </c>
      <c r="K376" s="3" t="n">
        <v>-4.98</v>
      </c>
      <c r="L376" s="3" t="n">
        <v>-5.02</v>
      </c>
      <c r="M376" s="3" t="n">
        <v>-6.21</v>
      </c>
      <c r="N376" s="3" t="s">
        <v>2391</v>
      </c>
      <c r="O376" s="3" t="n">
        <v>1197.6</v>
      </c>
      <c r="P376" s="3" t="n">
        <v>-15.33</v>
      </c>
      <c r="Q376" s="3"/>
    </row>
    <row r="377" customFormat="false" ht="15" hidden="false" customHeight="false" outlineLevel="0" collapsed="false">
      <c r="A377" s="3" t="s">
        <v>145</v>
      </c>
      <c r="B377" s="3" t="s">
        <v>146</v>
      </c>
      <c r="C377" s="3" t="n">
        <v>5</v>
      </c>
      <c r="D377" s="3" t="s">
        <v>863</v>
      </c>
      <c r="E377" s="3" t="n">
        <v>1384.8</v>
      </c>
      <c r="F377" s="3" t="s">
        <v>863</v>
      </c>
      <c r="G377" s="3" t="n">
        <v>1384.8</v>
      </c>
      <c r="H377" s="3" t="n">
        <v>1</v>
      </c>
      <c r="I377" s="3" t="s">
        <v>65</v>
      </c>
      <c r="J377" s="3" t="n">
        <v>-0.06</v>
      </c>
      <c r="K377" s="3" t="n">
        <v>-0.06</v>
      </c>
      <c r="L377" s="3" t="n">
        <v>2.65</v>
      </c>
      <c r="M377" s="3" t="n">
        <v>3.64</v>
      </c>
      <c r="N377" s="3" t="s">
        <v>2391</v>
      </c>
      <c r="O377" s="3" t="n">
        <v>1542.2</v>
      </c>
      <c r="P377" s="3" t="n">
        <v>11.37</v>
      </c>
      <c r="Q377" s="3"/>
    </row>
    <row r="378" customFormat="false" ht="15" hidden="false" customHeight="false" outlineLevel="0" collapsed="false">
      <c r="A378" s="3" t="s">
        <v>814</v>
      </c>
      <c r="B378" s="3" t="s">
        <v>815</v>
      </c>
      <c r="C378" s="3" t="n">
        <v>1</v>
      </c>
      <c r="D378" s="3" t="s">
        <v>863</v>
      </c>
      <c r="E378" s="3" t="n">
        <v>314.1</v>
      </c>
      <c r="F378" s="3" t="s">
        <v>863</v>
      </c>
      <c r="G378" s="3" t="n">
        <v>314.1</v>
      </c>
      <c r="H378" s="3" t="n">
        <v>1</v>
      </c>
      <c r="I378" s="3" t="s">
        <v>65</v>
      </c>
      <c r="J378" s="3" t="n">
        <v>-2.82</v>
      </c>
      <c r="K378" s="3" t="n">
        <v>-5.7</v>
      </c>
      <c r="L378" s="3" t="n">
        <v>12.05</v>
      </c>
      <c r="M378" s="3" t="n">
        <v>15.09</v>
      </c>
      <c r="N378" s="3" t="s">
        <v>2391</v>
      </c>
      <c r="O378" s="3" t="n">
        <v>281.75</v>
      </c>
      <c r="P378" s="3" t="n">
        <v>-10.3</v>
      </c>
      <c r="Q378" s="3"/>
    </row>
    <row r="379" customFormat="false" ht="15" hidden="false" customHeight="false" outlineLevel="0" collapsed="false">
      <c r="A379" s="3" t="s">
        <v>223</v>
      </c>
      <c r="B379" s="3" t="s">
        <v>224</v>
      </c>
      <c r="C379" s="3" t="n">
        <v>2</v>
      </c>
      <c r="D379" s="3" t="s">
        <v>863</v>
      </c>
      <c r="E379" s="3" t="n">
        <v>190.9</v>
      </c>
      <c r="F379" s="3" t="s">
        <v>863</v>
      </c>
      <c r="G379" s="3" t="n">
        <v>190.9</v>
      </c>
      <c r="H379" s="3" t="n">
        <v>1</v>
      </c>
      <c r="I379" s="3" t="s">
        <v>65</v>
      </c>
      <c r="J379" s="3" t="n">
        <v>-1.76</v>
      </c>
      <c r="K379" s="3" t="n">
        <v>-1.71</v>
      </c>
      <c r="L379" s="3" t="n">
        <v>6.21</v>
      </c>
      <c r="M379" s="3" t="n">
        <v>-5.62</v>
      </c>
      <c r="N379" s="3" t="s">
        <v>2391</v>
      </c>
      <c r="O379" s="3" t="n">
        <v>161.56</v>
      </c>
      <c r="P379" s="3" t="n">
        <v>-15.37</v>
      </c>
      <c r="Q379" s="3"/>
    </row>
    <row r="380" customFormat="false" ht="15" hidden="false" customHeight="false" outlineLevel="0" collapsed="false">
      <c r="A380" s="3" t="s">
        <v>227</v>
      </c>
      <c r="B380" s="3" t="s">
        <v>228</v>
      </c>
      <c r="C380" s="3" t="n">
        <v>1</v>
      </c>
      <c r="D380" s="3" t="s">
        <v>888</v>
      </c>
      <c r="E380" s="3" t="n">
        <v>1385.4</v>
      </c>
      <c r="F380" s="3" t="s">
        <v>888</v>
      </c>
      <c r="G380" s="3" t="n">
        <v>1385.4</v>
      </c>
      <c r="H380" s="3" t="n">
        <v>1</v>
      </c>
      <c r="I380" s="3" t="s">
        <v>65</v>
      </c>
      <c r="J380" s="3" t="n">
        <v>-0.56</v>
      </c>
      <c r="K380" s="3" t="n">
        <v>4.48</v>
      </c>
      <c r="L380" s="3" t="n">
        <v>25.78</v>
      </c>
      <c r="M380" s="3" t="n">
        <v>33.41</v>
      </c>
      <c r="N380" s="3" t="s">
        <v>2391</v>
      </c>
      <c r="O380" s="3" t="n">
        <v>1743.7</v>
      </c>
      <c r="P380" s="3" t="n">
        <v>25.86</v>
      </c>
      <c r="Q380" s="3"/>
    </row>
    <row r="381" customFormat="false" ht="15" hidden="false" customHeight="false" outlineLevel="0" collapsed="false">
      <c r="A381" s="3" t="s">
        <v>380</v>
      </c>
      <c r="B381" s="3" t="s">
        <v>381</v>
      </c>
      <c r="C381" s="3" t="n">
        <v>2</v>
      </c>
      <c r="D381" s="3" t="s">
        <v>888</v>
      </c>
      <c r="E381" s="3" t="n">
        <v>1342.1</v>
      </c>
      <c r="F381" s="3" t="s">
        <v>888</v>
      </c>
      <c r="G381" s="3" t="n">
        <v>1342.1</v>
      </c>
      <c r="H381" s="3" t="n">
        <v>1</v>
      </c>
      <c r="I381" s="3" t="s">
        <v>65</v>
      </c>
      <c r="J381" s="3" t="n">
        <v>-0.63</v>
      </c>
      <c r="K381" s="3" t="n">
        <v>-0.13</v>
      </c>
      <c r="L381" s="3" t="n">
        <v>2.53</v>
      </c>
      <c r="M381" s="3" t="n">
        <v>15.68</v>
      </c>
      <c r="N381" s="3" t="s">
        <v>2391</v>
      </c>
      <c r="O381" s="3" t="n">
        <v>1697.5</v>
      </c>
      <c r="P381" s="3" t="n">
        <v>26.48</v>
      </c>
      <c r="Q381" s="3"/>
    </row>
    <row r="382" customFormat="false" ht="15" hidden="false" customHeight="false" outlineLevel="0" collapsed="false">
      <c r="A382" s="3" t="s">
        <v>213</v>
      </c>
      <c r="B382" s="3" t="s">
        <v>214</v>
      </c>
      <c r="C382" s="3" t="n">
        <v>1</v>
      </c>
      <c r="D382" s="3" t="s">
        <v>888</v>
      </c>
      <c r="E382" s="3" t="n">
        <v>817.3</v>
      </c>
      <c r="F382" s="3" t="s">
        <v>888</v>
      </c>
      <c r="G382" s="3" t="n">
        <v>817.3</v>
      </c>
      <c r="H382" s="3" t="n">
        <v>1</v>
      </c>
      <c r="I382" s="3" t="s">
        <v>65</v>
      </c>
      <c r="J382" s="3" t="n">
        <v>1.17</v>
      </c>
      <c r="K382" s="3" t="n">
        <v>10.52</v>
      </c>
      <c r="L382" s="3" t="n">
        <v>16.26</v>
      </c>
      <c r="M382" s="3" t="n">
        <v>24.18</v>
      </c>
      <c r="N382" s="3" t="s">
        <v>2391</v>
      </c>
      <c r="O382" s="3" t="n">
        <v>985</v>
      </c>
      <c r="P382" s="3" t="n">
        <v>20.52</v>
      </c>
      <c r="Q382" s="3"/>
    </row>
    <row r="383" customFormat="false" ht="15" hidden="false" customHeight="false" outlineLevel="0" collapsed="false">
      <c r="A383" s="3" t="s">
        <v>892</v>
      </c>
      <c r="B383" s="3" t="s">
        <v>893</v>
      </c>
      <c r="C383" s="3" t="n">
        <v>0</v>
      </c>
      <c r="D383" s="3" t="s">
        <v>888</v>
      </c>
      <c r="E383" s="3" t="n">
        <v>742.25</v>
      </c>
      <c r="F383" s="3" t="s">
        <v>888</v>
      </c>
      <c r="G383" s="3" t="n">
        <v>742.25</v>
      </c>
      <c r="H383" s="3" t="n">
        <v>1</v>
      </c>
      <c r="I383" s="3" t="s">
        <v>65</v>
      </c>
      <c r="J383" s="3" t="n">
        <v>1.17</v>
      </c>
      <c r="K383" s="3" t="n">
        <v>7.47</v>
      </c>
      <c r="L383" s="3" t="n">
        <v>5.01</v>
      </c>
      <c r="M383" s="3" t="n">
        <v>7.26</v>
      </c>
      <c r="N383" s="3" t="s">
        <v>2391</v>
      </c>
      <c r="O383" s="3" t="n">
        <v>719.05</v>
      </c>
      <c r="P383" s="3" t="n">
        <v>-3.13</v>
      </c>
      <c r="Q383" s="3"/>
    </row>
    <row r="384" customFormat="false" ht="15" hidden="false" customHeight="false" outlineLevel="0" collapsed="false">
      <c r="A384" s="3" t="s">
        <v>602</v>
      </c>
      <c r="B384" s="3" t="s">
        <v>603</v>
      </c>
      <c r="C384" s="3" t="n">
        <v>3</v>
      </c>
      <c r="D384" s="3" t="s">
        <v>888</v>
      </c>
      <c r="E384" s="3" t="n">
        <v>1212.7</v>
      </c>
      <c r="F384" s="3" t="s">
        <v>888</v>
      </c>
      <c r="G384" s="3" t="n">
        <v>1212.7</v>
      </c>
      <c r="H384" s="3" t="n">
        <v>1</v>
      </c>
      <c r="I384" s="3" t="s">
        <v>65</v>
      </c>
      <c r="J384" s="3" t="n">
        <v>0.26</v>
      </c>
      <c r="K384" s="3" t="n">
        <v>5.66</v>
      </c>
      <c r="L384" s="3" t="n">
        <v>4.79</v>
      </c>
      <c r="M384" s="3" t="n">
        <v>13.78</v>
      </c>
      <c r="N384" s="3" t="s">
        <v>2391</v>
      </c>
      <c r="O384" s="3" t="n">
        <v>1302</v>
      </c>
      <c r="P384" s="3" t="n">
        <v>7.36</v>
      </c>
      <c r="Q384" s="3"/>
    </row>
    <row r="385" customFormat="false" ht="15" hidden="false" customHeight="false" outlineLevel="0" collapsed="false">
      <c r="A385" s="3" t="s">
        <v>364</v>
      </c>
      <c r="B385" s="3" t="s">
        <v>365</v>
      </c>
      <c r="C385" s="3" t="n">
        <v>5</v>
      </c>
      <c r="D385" s="3" t="s">
        <v>888</v>
      </c>
      <c r="E385" s="3" t="n">
        <v>513.35</v>
      </c>
      <c r="F385" s="3" t="s">
        <v>888</v>
      </c>
      <c r="G385" s="3" t="n">
        <v>513.35</v>
      </c>
      <c r="H385" s="3" t="n">
        <v>1</v>
      </c>
      <c r="I385" s="3" t="s">
        <v>65</v>
      </c>
      <c r="J385" s="3" t="n">
        <v>-1.94</v>
      </c>
      <c r="K385" s="3" t="n">
        <v>5.57</v>
      </c>
      <c r="L385" s="3" t="n">
        <v>4.32</v>
      </c>
      <c r="M385" s="3" t="n">
        <v>-3.97</v>
      </c>
      <c r="N385" s="3" t="s">
        <v>2391</v>
      </c>
      <c r="O385" s="3" t="n">
        <v>458.7</v>
      </c>
      <c r="P385" s="3" t="n">
        <v>-10.65</v>
      </c>
      <c r="Q385" s="3"/>
    </row>
    <row r="386" customFormat="false" ht="15" hidden="false" customHeight="false" outlineLevel="0" collapsed="false">
      <c r="A386" s="3" t="s">
        <v>897</v>
      </c>
      <c r="B386" s="3" t="s">
        <v>898</v>
      </c>
      <c r="C386" s="3" t="n">
        <v>0</v>
      </c>
      <c r="D386" s="3" t="s">
        <v>888</v>
      </c>
      <c r="E386" s="3" t="n">
        <v>744.5</v>
      </c>
      <c r="F386" s="3" t="s">
        <v>915</v>
      </c>
      <c r="G386" s="3" t="n">
        <v>761.35</v>
      </c>
      <c r="H386" s="3" t="n">
        <v>2</v>
      </c>
      <c r="I386" s="3" t="s">
        <v>70</v>
      </c>
      <c r="J386" s="3" t="n">
        <v>2.26</v>
      </c>
      <c r="K386" s="3" t="n">
        <v>0.38</v>
      </c>
      <c r="L386" s="3" t="n">
        <v>5.38</v>
      </c>
      <c r="M386" s="3" t="n">
        <v>14.3</v>
      </c>
      <c r="N386" s="3" t="s">
        <v>2391</v>
      </c>
      <c r="O386" s="3" t="n">
        <v>813.25</v>
      </c>
      <c r="P386" s="3" t="n">
        <v>9.23</v>
      </c>
      <c r="Q386" s="3"/>
    </row>
    <row r="387" customFormat="false" ht="15" hidden="false" customHeight="false" outlineLevel="0" collapsed="false">
      <c r="A387" s="3" t="s">
        <v>368</v>
      </c>
      <c r="B387" s="3" t="s">
        <v>369</v>
      </c>
      <c r="C387" s="3" t="n">
        <v>3</v>
      </c>
      <c r="D387" s="3" t="s">
        <v>888</v>
      </c>
      <c r="E387" s="3" t="n">
        <v>107.62</v>
      </c>
      <c r="F387" s="3" t="s">
        <v>888</v>
      </c>
      <c r="G387" s="3" t="n">
        <v>107.62</v>
      </c>
      <c r="H387" s="3" t="n">
        <v>1</v>
      </c>
      <c r="I387" s="3" t="s">
        <v>65</v>
      </c>
      <c r="J387" s="3" t="n">
        <v>-0.75</v>
      </c>
      <c r="K387" s="3" t="n">
        <v>8.62</v>
      </c>
      <c r="L387" s="3" t="n">
        <v>11.7</v>
      </c>
      <c r="M387" s="3" t="n">
        <v>37.07</v>
      </c>
      <c r="N387" s="3" t="s">
        <v>2391</v>
      </c>
      <c r="O387" s="3" t="n">
        <v>162.37</v>
      </c>
      <c r="P387" s="3" t="n">
        <v>50.87</v>
      </c>
      <c r="Q387" s="3"/>
    </row>
    <row r="388" customFormat="false" ht="15" hidden="false" customHeight="false" outlineLevel="0" collapsed="false">
      <c r="A388" s="3" t="s">
        <v>901</v>
      </c>
      <c r="B388" s="3" t="s">
        <v>902</v>
      </c>
      <c r="C388" s="3" t="n">
        <v>0</v>
      </c>
      <c r="D388" s="3" t="s">
        <v>888</v>
      </c>
      <c r="E388" s="3" t="n">
        <v>865.15</v>
      </c>
      <c r="F388" s="3" t="s">
        <v>888</v>
      </c>
      <c r="G388" s="3" t="n">
        <v>865.15</v>
      </c>
      <c r="H388" s="3" t="n">
        <v>1</v>
      </c>
      <c r="I388" s="3" t="s">
        <v>65</v>
      </c>
      <c r="J388" s="3" t="n">
        <v>-4.07</v>
      </c>
      <c r="K388" s="3" t="n">
        <v>5.03</v>
      </c>
      <c r="L388" s="3" t="n">
        <v>17.82</v>
      </c>
      <c r="M388" s="3" t="n">
        <v>38.29</v>
      </c>
      <c r="N388" s="3" t="s">
        <v>2391</v>
      </c>
      <c r="O388" s="3" t="n">
        <v>1093.9</v>
      </c>
      <c r="P388" s="3" t="n">
        <v>26.44</v>
      </c>
      <c r="Q388" s="3"/>
    </row>
    <row r="389" customFormat="false" ht="15" hidden="false" customHeight="false" outlineLevel="0" collapsed="false">
      <c r="A389" s="3" t="s">
        <v>544</v>
      </c>
      <c r="B389" s="3" t="s">
        <v>545</v>
      </c>
      <c r="C389" s="3" t="n">
        <v>2</v>
      </c>
      <c r="D389" s="3" t="s">
        <v>888</v>
      </c>
      <c r="E389" s="3" t="n">
        <v>1180.8</v>
      </c>
      <c r="F389" s="3" t="s">
        <v>888</v>
      </c>
      <c r="G389" s="3" t="n">
        <v>1180.8</v>
      </c>
      <c r="H389" s="3" t="n">
        <v>1</v>
      </c>
      <c r="I389" s="3" t="s">
        <v>65</v>
      </c>
      <c r="J389" s="3" t="n">
        <v>0.89</v>
      </c>
      <c r="K389" s="3" t="n">
        <v>4.06</v>
      </c>
      <c r="L389" s="3" t="n">
        <v>23.4</v>
      </c>
      <c r="M389" s="3" t="n">
        <v>23.12</v>
      </c>
      <c r="N389" s="3" t="s">
        <v>2391</v>
      </c>
      <c r="O389" s="3" t="n">
        <v>1346</v>
      </c>
      <c r="P389" s="3" t="n">
        <v>13.99</v>
      </c>
      <c r="Q389" s="3"/>
    </row>
    <row r="390" customFormat="false" ht="15" hidden="false" customHeight="false" outlineLevel="0" collapsed="false">
      <c r="A390" s="3" t="s">
        <v>765</v>
      </c>
      <c r="B390" s="3" t="s">
        <v>766</v>
      </c>
      <c r="C390" s="3" t="n">
        <v>1</v>
      </c>
      <c r="D390" s="3" t="s">
        <v>888</v>
      </c>
      <c r="E390" s="3" t="n">
        <v>239.97</v>
      </c>
      <c r="F390" s="3" t="s">
        <v>929</v>
      </c>
      <c r="G390" s="3" t="n">
        <v>252.52</v>
      </c>
      <c r="H390" s="3" t="n">
        <v>3</v>
      </c>
      <c r="I390" s="3" t="s">
        <v>70</v>
      </c>
      <c r="J390" s="3" t="n">
        <v>2.5</v>
      </c>
      <c r="K390" s="3" t="n">
        <v>6.23</v>
      </c>
      <c r="L390" s="3" t="n">
        <v>10.37</v>
      </c>
      <c r="M390" s="3" t="n">
        <v>28.62</v>
      </c>
      <c r="N390" s="3" t="s">
        <v>2391</v>
      </c>
      <c r="O390" s="3" t="n">
        <v>325.5</v>
      </c>
      <c r="P390" s="3" t="n">
        <v>35.64</v>
      </c>
      <c r="Q390" s="3"/>
    </row>
    <row r="391" customFormat="false" ht="15" hidden="false" customHeight="false" outlineLevel="0" collapsed="false">
      <c r="A391" s="3" t="s">
        <v>441</v>
      </c>
      <c r="B391" s="3" t="s">
        <v>442</v>
      </c>
      <c r="C391" s="3" t="n">
        <v>2</v>
      </c>
      <c r="D391" s="3" t="s">
        <v>888</v>
      </c>
      <c r="E391" s="3" t="n">
        <v>780.05</v>
      </c>
      <c r="F391" s="3" t="s">
        <v>888</v>
      </c>
      <c r="G391" s="3" t="n">
        <v>780.05</v>
      </c>
      <c r="H391" s="3" t="n">
        <v>1</v>
      </c>
      <c r="I391" s="3" t="s">
        <v>65</v>
      </c>
      <c r="J391" s="3" t="n">
        <v>0.56</v>
      </c>
      <c r="K391" s="3" t="n">
        <v>10.63</v>
      </c>
      <c r="L391" s="3" t="n">
        <v>33.61</v>
      </c>
      <c r="M391" s="3" t="n">
        <v>34.84</v>
      </c>
      <c r="N391" s="3" t="s">
        <v>2391</v>
      </c>
      <c r="O391" s="3" t="n">
        <v>1085</v>
      </c>
      <c r="P391" s="3" t="n">
        <v>39.09</v>
      </c>
      <c r="Q391" s="3"/>
    </row>
    <row r="392" customFormat="false" ht="15" hidden="false" customHeight="false" outlineLevel="0" collapsed="false">
      <c r="A392" s="3" t="s">
        <v>907</v>
      </c>
      <c r="B392" s="3" t="s">
        <v>908</v>
      </c>
      <c r="C392" s="3" t="n">
        <v>0</v>
      </c>
      <c r="D392" s="3" t="s">
        <v>888</v>
      </c>
      <c r="E392" s="3" t="n">
        <v>937.7</v>
      </c>
      <c r="F392" s="3" t="s">
        <v>888</v>
      </c>
      <c r="G392" s="3" t="n">
        <v>937.7</v>
      </c>
      <c r="H392" s="3" t="n">
        <v>1</v>
      </c>
      <c r="I392" s="3" t="s">
        <v>65</v>
      </c>
      <c r="J392" s="3" t="n">
        <v>-2.17</v>
      </c>
      <c r="K392" s="3" t="n">
        <v>2</v>
      </c>
      <c r="L392" s="3" t="n">
        <v>10.39</v>
      </c>
      <c r="M392" s="3" t="n">
        <v>12.15</v>
      </c>
      <c r="N392" s="3" t="s">
        <v>2391</v>
      </c>
      <c r="O392" s="3" t="n">
        <v>906</v>
      </c>
      <c r="P392" s="3" t="n">
        <v>-3.38</v>
      </c>
      <c r="Q392" s="3"/>
    </row>
    <row r="393" customFormat="false" ht="15" hidden="false" customHeight="false" outlineLevel="0" collapsed="false">
      <c r="A393" s="3" t="s">
        <v>550</v>
      </c>
      <c r="B393" s="3" t="s">
        <v>551</v>
      </c>
      <c r="C393" s="3" t="n">
        <v>1</v>
      </c>
      <c r="D393" s="3" t="s">
        <v>888</v>
      </c>
      <c r="E393" s="3" t="n">
        <v>1144.9</v>
      </c>
      <c r="F393" s="3" t="s">
        <v>915</v>
      </c>
      <c r="G393" s="3" t="n">
        <v>1152</v>
      </c>
      <c r="H393" s="3" t="n">
        <v>2</v>
      </c>
      <c r="I393" s="3" t="s">
        <v>70</v>
      </c>
      <c r="J393" s="3" t="n">
        <v>0.62</v>
      </c>
      <c r="K393" s="3" t="n">
        <v>15.24</v>
      </c>
      <c r="L393" s="3" t="n">
        <v>27.03</v>
      </c>
      <c r="M393" s="3" t="n">
        <v>41.96</v>
      </c>
      <c r="N393" s="3" t="s">
        <v>2391</v>
      </c>
      <c r="O393" s="3" t="n">
        <v>1470.8</v>
      </c>
      <c r="P393" s="3" t="n">
        <v>28.47</v>
      </c>
      <c r="Q393" s="3"/>
    </row>
    <row r="394" customFormat="false" ht="15" hidden="false" customHeight="false" outlineLevel="0" collapsed="false">
      <c r="A394" s="3" t="s">
        <v>406</v>
      </c>
      <c r="B394" s="3" t="s">
        <v>407</v>
      </c>
      <c r="C394" s="3" t="n">
        <v>2</v>
      </c>
      <c r="D394" s="3" t="s">
        <v>888</v>
      </c>
      <c r="E394" s="3" t="n">
        <v>155.82</v>
      </c>
      <c r="F394" s="3" t="s">
        <v>888</v>
      </c>
      <c r="G394" s="3" t="n">
        <v>155.82</v>
      </c>
      <c r="H394" s="3" t="n">
        <v>1</v>
      </c>
      <c r="I394" s="3" t="s">
        <v>65</v>
      </c>
      <c r="J394" s="3" t="n">
        <v>-0.42</v>
      </c>
      <c r="K394" s="3" t="n">
        <v>4.83</v>
      </c>
      <c r="L394" s="3" t="n">
        <v>19.46</v>
      </c>
      <c r="M394" s="3" t="n">
        <v>7.99</v>
      </c>
      <c r="N394" s="3" t="s">
        <v>2391</v>
      </c>
      <c r="O394" s="3" t="n">
        <v>184.2</v>
      </c>
      <c r="P394" s="3" t="n">
        <v>18.21</v>
      </c>
      <c r="Q394" s="3"/>
    </row>
    <row r="395" customFormat="false" ht="15" hidden="false" customHeight="false" outlineLevel="0" collapsed="false">
      <c r="A395" s="3" t="s">
        <v>912</v>
      </c>
      <c r="B395" s="3" t="s">
        <v>913</v>
      </c>
      <c r="C395" s="3" t="n">
        <v>0</v>
      </c>
      <c r="D395" s="3" t="s">
        <v>888</v>
      </c>
      <c r="E395" s="3" t="n">
        <v>265.3</v>
      </c>
      <c r="F395" s="3" t="s">
        <v>888</v>
      </c>
      <c r="G395" s="3" t="n">
        <v>265.3</v>
      </c>
      <c r="H395" s="3" t="n">
        <v>1</v>
      </c>
      <c r="I395" s="3" t="s">
        <v>65</v>
      </c>
      <c r="J395" s="3" t="n">
        <v>3.79</v>
      </c>
      <c r="K395" s="3" t="n">
        <v>2.49</v>
      </c>
      <c r="L395" s="3" t="n">
        <v>5.09</v>
      </c>
      <c r="M395" s="3" t="n">
        <v>-6.91</v>
      </c>
      <c r="N395" s="3" t="s">
        <v>2391</v>
      </c>
      <c r="O395" s="3" t="n">
        <v>256</v>
      </c>
      <c r="P395" s="3" t="n">
        <v>-3.51</v>
      </c>
      <c r="Q395" s="3"/>
    </row>
    <row r="396" customFormat="false" ht="15" hidden="false" customHeight="false" outlineLevel="0" collapsed="false">
      <c r="A396" s="3" t="s">
        <v>152</v>
      </c>
      <c r="B396" s="3" t="s">
        <v>153</v>
      </c>
      <c r="C396" s="3" t="n">
        <v>4</v>
      </c>
      <c r="D396" s="3" t="s">
        <v>915</v>
      </c>
      <c r="E396" s="3" t="n">
        <v>696.05</v>
      </c>
      <c r="F396" s="3" t="s">
        <v>929</v>
      </c>
      <c r="G396" s="3" t="n">
        <v>710.25</v>
      </c>
      <c r="H396" s="3" t="n">
        <v>2</v>
      </c>
      <c r="I396" s="3" t="s">
        <v>70</v>
      </c>
      <c r="J396" s="3" t="n">
        <v>2.04</v>
      </c>
      <c r="K396" s="3" t="n">
        <v>18.75</v>
      </c>
      <c r="L396" s="3" t="n">
        <v>30.42</v>
      </c>
      <c r="M396" s="3" t="n">
        <v>44.56</v>
      </c>
      <c r="N396" s="3" t="s">
        <v>2391</v>
      </c>
      <c r="O396" s="3" t="n">
        <v>1117.1</v>
      </c>
      <c r="P396" s="3" t="n">
        <v>60.49</v>
      </c>
      <c r="Q396" s="3"/>
    </row>
    <row r="397" customFormat="false" ht="15" hidden="false" customHeight="false" outlineLevel="0" collapsed="false">
      <c r="A397" s="3" t="s">
        <v>917</v>
      </c>
      <c r="B397" s="3" t="s">
        <v>918</v>
      </c>
      <c r="C397" s="3" t="n">
        <v>0</v>
      </c>
      <c r="D397" s="3" t="s">
        <v>915</v>
      </c>
      <c r="E397" s="3" t="n">
        <v>4303.9</v>
      </c>
      <c r="F397" s="3" t="s">
        <v>915</v>
      </c>
      <c r="G397" s="3" t="n">
        <v>4303.9</v>
      </c>
      <c r="H397" s="3" t="n">
        <v>1</v>
      </c>
      <c r="I397" s="3" t="s">
        <v>65</v>
      </c>
      <c r="J397" s="3" t="n">
        <v>0.08</v>
      </c>
      <c r="K397" s="3" t="n">
        <v>4.64</v>
      </c>
      <c r="L397" s="3" t="n">
        <v>-0.12</v>
      </c>
      <c r="M397" s="3" t="n">
        <v>-14.48</v>
      </c>
      <c r="N397" s="3" t="s">
        <v>2391</v>
      </c>
      <c r="O397" s="3" t="n">
        <v>4091.4</v>
      </c>
      <c r="P397" s="3" t="n">
        <v>-4.94</v>
      </c>
      <c r="Q397" s="3"/>
    </row>
    <row r="398" customFormat="false" ht="15" hidden="false" customHeight="false" outlineLevel="0" collapsed="false">
      <c r="A398" s="3" t="s">
        <v>923</v>
      </c>
      <c r="B398" s="3" t="s">
        <v>924</v>
      </c>
      <c r="C398" s="3" t="n">
        <v>0</v>
      </c>
      <c r="D398" s="3" t="s">
        <v>915</v>
      </c>
      <c r="E398" s="3" t="n">
        <v>2450.7</v>
      </c>
      <c r="F398" s="3" t="s">
        <v>915</v>
      </c>
      <c r="G398" s="3" t="n">
        <v>2450.7</v>
      </c>
      <c r="H398" s="3" t="n">
        <v>1</v>
      </c>
      <c r="I398" s="3" t="s">
        <v>65</v>
      </c>
      <c r="J398" s="3" t="n">
        <v>0.95</v>
      </c>
      <c r="K398" s="3" t="n">
        <v>3</v>
      </c>
      <c r="L398" s="3" t="n">
        <v>-0.95</v>
      </c>
      <c r="M398" s="3" t="n">
        <v>-15.61</v>
      </c>
      <c r="N398" s="3" t="s">
        <v>2391</v>
      </c>
      <c r="O398" s="3" t="n">
        <v>2070.7</v>
      </c>
      <c r="P398" s="3" t="n">
        <v>-15.51</v>
      </c>
      <c r="Q398" s="3"/>
    </row>
    <row r="399" customFormat="false" ht="15" hidden="false" customHeight="false" outlineLevel="0" collapsed="false">
      <c r="A399" s="3" t="s">
        <v>926</v>
      </c>
      <c r="B399" s="3" t="s">
        <v>927</v>
      </c>
      <c r="C399" s="3" t="n">
        <v>0</v>
      </c>
      <c r="D399" s="3" t="s">
        <v>915</v>
      </c>
      <c r="E399" s="3" t="n">
        <v>4097.2</v>
      </c>
      <c r="F399" s="3" t="s">
        <v>929</v>
      </c>
      <c r="G399" s="3" t="n">
        <v>4246.1</v>
      </c>
      <c r="H399" s="3" t="n">
        <v>2</v>
      </c>
      <c r="I399" s="3" t="s">
        <v>70</v>
      </c>
      <c r="J399" s="3" t="n">
        <v>3.63</v>
      </c>
      <c r="K399" s="3" t="n">
        <v>9.95</v>
      </c>
      <c r="L399" s="3" t="n">
        <v>6.75</v>
      </c>
      <c r="M399" s="3" t="n">
        <v>9.37</v>
      </c>
      <c r="N399" s="3" t="s">
        <v>2391</v>
      </c>
      <c r="O399" s="3" t="n">
        <v>4819.5</v>
      </c>
      <c r="P399" s="3" t="n">
        <v>17.63</v>
      </c>
      <c r="Q399" s="3"/>
    </row>
    <row r="400" customFormat="false" ht="15" hidden="false" customHeight="false" outlineLevel="0" collapsed="false">
      <c r="A400" s="3" t="s">
        <v>930</v>
      </c>
      <c r="B400" s="3" t="s">
        <v>931</v>
      </c>
      <c r="C400" s="3" t="n">
        <v>0</v>
      </c>
      <c r="D400" s="3" t="s">
        <v>929</v>
      </c>
      <c r="E400" s="3" t="n">
        <v>163.26</v>
      </c>
      <c r="F400" s="3" t="s">
        <v>929</v>
      </c>
      <c r="G400" s="3" t="n">
        <v>163.26</v>
      </c>
      <c r="H400" s="3" t="n">
        <v>1</v>
      </c>
      <c r="I400" s="3" t="s">
        <v>65</v>
      </c>
      <c r="J400" s="3" t="n">
        <v>0.06</v>
      </c>
      <c r="K400" s="3" t="n">
        <v>11.08</v>
      </c>
      <c r="L400" s="3" t="n">
        <v>40.34</v>
      </c>
      <c r="M400" s="3" t="n">
        <v>35.85</v>
      </c>
      <c r="N400" s="3" t="s">
        <v>2391</v>
      </c>
      <c r="O400" s="3" t="n">
        <v>196.14</v>
      </c>
      <c r="P400" s="3" t="n">
        <v>20.14</v>
      </c>
      <c r="Q400" s="3"/>
    </row>
    <row r="401" customFormat="false" ht="15" hidden="false" customHeight="false" outlineLevel="0" collapsed="false">
      <c r="A401" s="3" t="s">
        <v>901</v>
      </c>
      <c r="B401" s="3" t="s">
        <v>902</v>
      </c>
      <c r="C401" s="3" t="n">
        <v>1</v>
      </c>
      <c r="D401" s="3" t="s">
        <v>929</v>
      </c>
      <c r="E401" s="3" t="n">
        <v>839.65</v>
      </c>
      <c r="F401" s="3" t="s">
        <v>929</v>
      </c>
      <c r="G401" s="3" t="n">
        <v>839.65</v>
      </c>
      <c r="H401" s="3" t="n">
        <v>1</v>
      </c>
      <c r="I401" s="3" t="s">
        <v>65</v>
      </c>
      <c r="J401" s="3" t="n">
        <v>-1.03</v>
      </c>
      <c r="K401" s="3" t="n">
        <v>9.03</v>
      </c>
      <c r="L401" s="3" t="n">
        <v>30.32</v>
      </c>
      <c r="M401" s="3" t="n">
        <v>45.08</v>
      </c>
      <c r="N401" s="3" t="s">
        <v>2391</v>
      </c>
      <c r="O401" s="3" t="n">
        <v>1093.9</v>
      </c>
      <c r="P401" s="3" t="n">
        <v>30.28</v>
      </c>
      <c r="Q401" s="3"/>
    </row>
    <row r="402" customFormat="false" ht="15" hidden="false" customHeight="false" outlineLevel="0" collapsed="false">
      <c r="A402" s="3" t="s">
        <v>300</v>
      </c>
      <c r="B402" s="3" t="s">
        <v>301</v>
      </c>
      <c r="C402" s="3" t="n">
        <v>4</v>
      </c>
      <c r="D402" s="3" t="s">
        <v>929</v>
      </c>
      <c r="E402" s="3" t="n">
        <v>1032.75</v>
      </c>
      <c r="F402" s="3" t="s">
        <v>929</v>
      </c>
      <c r="G402" s="3" t="n">
        <v>1032.75</v>
      </c>
      <c r="H402" s="3" t="n">
        <v>1</v>
      </c>
      <c r="I402" s="3" t="s">
        <v>65</v>
      </c>
      <c r="J402" s="3" t="n">
        <v>-0.23</v>
      </c>
      <c r="K402" s="3" t="n">
        <v>2.98</v>
      </c>
      <c r="L402" s="3" t="n">
        <v>6.12</v>
      </c>
      <c r="M402" s="3" t="n">
        <v>0.7</v>
      </c>
      <c r="N402" s="3" t="s">
        <v>2391</v>
      </c>
      <c r="O402" s="3" t="n">
        <v>962</v>
      </c>
      <c r="P402" s="3" t="n">
        <v>-6.85</v>
      </c>
      <c r="Q402" s="3"/>
    </row>
    <row r="403" customFormat="false" ht="15" hidden="false" customHeight="false" outlineLevel="0" collapsed="false">
      <c r="A403" s="3" t="s">
        <v>142</v>
      </c>
      <c r="B403" s="3" t="s">
        <v>143</v>
      </c>
      <c r="C403" s="3" t="n">
        <v>3</v>
      </c>
      <c r="D403" s="3" t="s">
        <v>929</v>
      </c>
      <c r="E403" s="3" t="n">
        <v>1055.2</v>
      </c>
      <c r="F403" s="3" t="s">
        <v>929</v>
      </c>
      <c r="G403" s="3" t="n">
        <v>1055.2</v>
      </c>
      <c r="H403" s="3" t="n">
        <v>1</v>
      </c>
      <c r="I403" s="3" t="s">
        <v>65</v>
      </c>
      <c r="J403" s="3" t="n">
        <v>0.64</v>
      </c>
      <c r="K403" s="3" t="n">
        <v>3.33</v>
      </c>
      <c r="L403" s="3" t="n">
        <v>9.19</v>
      </c>
      <c r="M403" s="3" t="n">
        <v>5.83</v>
      </c>
      <c r="N403" s="3" t="s">
        <v>2391</v>
      </c>
      <c r="O403" s="3" t="n">
        <v>960</v>
      </c>
      <c r="P403" s="3" t="n">
        <v>-9.02</v>
      </c>
      <c r="Q403" s="3"/>
    </row>
    <row r="404" customFormat="false" ht="15" hidden="false" customHeight="false" outlineLevel="0" collapsed="false">
      <c r="A404" s="3" t="s">
        <v>210</v>
      </c>
      <c r="B404" s="3" t="s">
        <v>211</v>
      </c>
      <c r="C404" s="3" t="n">
        <v>1</v>
      </c>
      <c r="D404" s="3" t="s">
        <v>939</v>
      </c>
      <c r="E404" s="3" t="n">
        <v>1684.4</v>
      </c>
      <c r="F404" s="3" t="s">
        <v>939</v>
      </c>
      <c r="G404" s="3" t="n">
        <v>1684.4</v>
      </c>
      <c r="H404" s="3" t="n">
        <v>1</v>
      </c>
      <c r="I404" s="3" t="s">
        <v>65</v>
      </c>
      <c r="J404" s="3" t="n">
        <v>5.95</v>
      </c>
      <c r="K404" s="3" t="n">
        <v>8.39</v>
      </c>
      <c r="L404" s="3" t="n">
        <v>8.32</v>
      </c>
      <c r="M404" s="3" t="n">
        <v>11.06</v>
      </c>
      <c r="N404" s="3" t="s">
        <v>2391</v>
      </c>
      <c r="O404" s="3" t="n">
        <v>1752</v>
      </c>
      <c r="P404" s="3" t="n">
        <v>4.01</v>
      </c>
      <c r="Q404" s="3"/>
    </row>
    <row r="405" customFormat="false" ht="15" hidden="false" customHeight="false" outlineLevel="0" collapsed="false">
      <c r="A405" s="3" t="s">
        <v>245</v>
      </c>
      <c r="B405" s="3" t="s">
        <v>246</v>
      </c>
      <c r="C405" s="3" t="n">
        <v>2</v>
      </c>
      <c r="D405" s="3" t="s">
        <v>939</v>
      </c>
      <c r="E405" s="3" t="n">
        <v>2110.6</v>
      </c>
      <c r="F405" s="3" t="s">
        <v>943</v>
      </c>
      <c r="G405" s="3" t="n">
        <v>2145.6</v>
      </c>
      <c r="H405" s="3" t="n">
        <v>2</v>
      </c>
      <c r="I405" s="3" t="s">
        <v>70</v>
      </c>
      <c r="J405" s="3" t="n">
        <v>1.66</v>
      </c>
      <c r="K405" s="3" t="n">
        <v>2.23</v>
      </c>
      <c r="L405" s="3" t="n">
        <v>7.66</v>
      </c>
      <c r="M405" s="3" t="n">
        <v>4.33</v>
      </c>
      <c r="N405" s="3" t="s">
        <v>2391</v>
      </c>
      <c r="O405" s="3" t="n">
        <v>1896</v>
      </c>
      <c r="P405" s="3" t="n">
        <v>-10.17</v>
      </c>
      <c r="Q405" s="3"/>
    </row>
    <row r="406" customFormat="false" ht="15" hidden="false" customHeight="false" outlineLevel="0" collapsed="false">
      <c r="A406" s="3" t="s">
        <v>175</v>
      </c>
      <c r="B406" s="3" t="s">
        <v>176</v>
      </c>
      <c r="C406" s="3" t="n">
        <v>5</v>
      </c>
      <c r="D406" s="3" t="s">
        <v>939</v>
      </c>
      <c r="E406" s="3" t="n">
        <v>1151.9</v>
      </c>
      <c r="F406" s="3" t="s">
        <v>939</v>
      </c>
      <c r="G406" s="3" t="n">
        <v>1151.9</v>
      </c>
      <c r="H406" s="3" t="n">
        <v>1</v>
      </c>
      <c r="I406" s="3" t="s">
        <v>65</v>
      </c>
      <c r="J406" s="3" t="n">
        <v>3.68</v>
      </c>
      <c r="K406" s="3" t="n">
        <v>5.79</v>
      </c>
      <c r="L406" s="3" t="n">
        <v>11.42</v>
      </c>
      <c r="M406" s="3" t="n">
        <v>7.93</v>
      </c>
      <c r="N406" s="3" t="s">
        <v>2391</v>
      </c>
      <c r="O406" s="3" t="n">
        <v>1264.1</v>
      </c>
      <c r="P406" s="3" t="n">
        <v>9.74</v>
      </c>
      <c r="Q406" s="3"/>
    </row>
    <row r="407" customFormat="false" ht="15" hidden="false" customHeight="false" outlineLevel="0" collapsed="false">
      <c r="A407" s="3" t="s">
        <v>708</v>
      </c>
      <c r="B407" s="3" t="s">
        <v>709</v>
      </c>
      <c r="C407" s="3" t="n">
        <v>1</v>
      </c>
      <c r="D407" s="3" t="s">
        <v>943</v>
      </c>
      <c r="E407" s="3" t="n">
        <v>6565</v>
      </c>
      <c r="F407" s="3" t="s">
        <v>976</v>
      </c>
      <c r="G407" s="3" t="n">
        <v>6859.5</v>
      </c>
      <c r="H407" s="3" t="n">
        <v>3</v>
      </c>
      <c r="I407" s="3" t="s">
        <v>70</v>
      </c>
      <c r="J407" s="3" t="n">
        <v>0.75</v>
      </c>
      <c r="K407" s="3" t="n">
        <v>4.85</v>
      </c>
      <c r="L407" s="3" t="n">
        <v>6.82</v>
      </c>
      <c r="M407" s="3" t="n">
        <v>6.29</v>
      </c>
      <c r="N407" s="3" t="s">
        <v>2391</v>
      </c>
      <c r="O407" s="3" t="n">
        <v>6972.5</v>
      </c>
      <c r="P407" s="3" t="n">
        <v>6.21</v>
      </c>
      <c r="Q407" s="3"/>
    </row>
    <row r="408" customFormat="false" ht="15" hidden="false" customHeight="false" outlineLevel="0" collapsed="false">
      <c r="A408" s="3" t="s">
        <v>380</v>
      </c>
      <c r="B408" s="3" t="s">
        <v>381</v>
      </c>
      <c r="C408" s="3" t="n">
        <v>3</v>
      </c>
      <c r="D408" s="3" t="s">
        <v>943</v>
      </c>
      <c r="E408" s="3" t="n">
        <v>1335.7</v>
      </c>
      <c r="F408" s="3" t="s">
        <v>943</v>
      </c>
      <c r="G408" s="3" t="n">
        <v>1335.7</v>
      </c>
      <c r="H408" s="3" t="n">
        <v>1</v>
      </c>
      <c r="I408" s="3" t="s">
        <v>65</v>
      </c>
      <c r="J408" s="3" t="n">
        <v>0.35</v>
      </c>
      <c r="K408" s="3" t="n">
        <v>3.8</v>
      </c>
      <c r="L408" s="3" t="n">
        <v>11.35</v>
      </c>
      <c r="M408" s="3" t="n">
        <v>18.52</v>
      </c>
      <c r="N408" s="3" t="s">
        <v>2391</v>
      </c>
      <c r="O408" s="3" t="n">
        <v>1697.5</v>
      </c>
      <c r="P408" s="3" t="n">
        <v>27.09</v>
      </c>
      <c r="Q408" s="3"/>
    </row>
    <row r="409" customFormat="false" ht="15" hidden="false" customHeight="false" outlineLevel="0" collapsed="false">
      <c r="A409" s="3" t="s">
        <v>328</v>
      </c>
      <c r="B409" s="3" t="s">
        <v>329</v>
      </c>
      <c r="C409" s="3" t="n">
        <v>4</v>
      </c>
      <c r="D409" s="3" t="s">
        <v>943</v>
      </c>
      <c r="E409" s="3" t="n">
        <v>5594.5</v>
      </c>
      <c r="F409" s="3" t="s">
        <v>943</v>
      </c>
      <c r="G409" s="3" t="n">
        <v>5594.5</v>
      </c>
      <c r="H409" s="3" t="n">
        <v>1</v>
      </c>
      <c r="I409" s="3" t="s">
        <v>65</v>
      </c>
      <c r="J409" s="3" t="n">
        <v>-2.14</v>
      </c>
      <c r="K409" s="3" t="n">
        <v>-0.15</v>
      </c>
      <c r="L409" s="3" t="n">
        <v>-1.33</v>
      </c>
      <c r="M409" s="3" t="n">
        <v>-2.64</v>
      </c>
      <c r="N409" s="3" t="s">
        <v>2391</v>
      </c>
      <c r="O409" s="3" t="n">
        <v>4915</v>
      </c>
      <c r="P409" s="3" t="n">
        <v>-12.15</v>
      </c>
      <c r="Q409" s="3"/>
    </row>
    <row r="410" customFormat="false" ht="15" hidden="false" customHeight="false" outlineLevel="0" collapsed="false">
      <c r="A410" s="3" t="s">
        <v>319</v>
      </c>
      <c r="B410" s="3" t="s">
        <v>320</v>
      </c>
      <c r="C410" s="3" t="n">
        <v>2</v>
      </c>
      <c r="D410" s="3" t="s">
        <v>943</v>
      </c>
      <c r="E410" s="3" t="n">
        <v>1554.3</v>
      </c>
      <c r="F410" s="3" t="s">
        <v>943</v>
      </c>
      <c r="G410" s="3" t="n">
        <v>1554.3</v>
      </c>
      <c r="H410" s="3" t="n">
        <v>1</v>
      </c>
      <c r="I410" s="3" t="s">
        <v>65</v>
      </c>
      <c r="J410" s="3" t="n">
        <v>-1.36</v>
      </c>
      <c r="K410" s="3" t="n">
        <v>1</v>
      </c>
      <c r="L410" s="3" t="n">
        <v>7.71</v>
      </c>
      <c r="M410" s="3" t="n">
        <v>19.24</v>
      </c>
      <c r="N410" s="3" t="s">
        <v>2391</v>
      </c>
      <c r="O410" s="3" t="n">
        <v>1634.2</v>
      </c>
      <c r="P410" s="3" t="n">
        <v>5.14</v>
      </c>
      <c r="Q410" s="3"/>
    </row>
    <row r="411" customFormat="false" ht="15" hidden="false" customHeight="false" outlineLevel="0" collapsed="false">
      <c r="A411" s="3" t="s">
        <v>216</v>
      </c>
      <c r="B411" s="3" t="s">
        <v>217</v>
      </c>
      <c r="C411" s="3" t="n">
        <v>4</v>
      </c>
      <c r="D411" s="3" t="s">
        <v>943</v>
      </c>
      <c r="E411" s="3" t="n">
        <v>1215.9</v>
      </c>
      <c r="F411" s="3" t="s">
        <v>943</v>
      </c>
      <c r="G411" s="3" t="n">
        <v>1215.9</v>
      </c>
      <c r="H411" s="3" t="n">
        <v>1</v>
      </c>
      <c r="I411" s="3" t="s">
        <v>65</v>
      </c>
      <c r="J411" s="3" t="n">
        <v>0.7</v>
      </c>
      <c r="K411" s="3" t="n">
        <v>1.2</v>
      </c>
      <c r="L411" s="3" t="n">
        <v>10.78</v>
      </c>
      <c r="M411" s="3" t="n">
        <v>19.4</v>
      </c>
      <c r="N411" s="3" t="s">
        <v>2391</v>
      </c>
      <c r="O411" s="3" t="n">
        <v>1383.7</v>
      </c>
      <c r="P411" s="3" t="n">
        <v>13.8</v>
      </c>
      <c r="Q411" s="3"/>
    </row>
    <row r="412" customFormat="false" ht="15" hidden="false" customHeight="false" outlineLevel="0" collapsed="false">
      <c r="A412" s="3" t="s">
        <v>522</v>
      </c>
      <c r="B412" s="3" t="s">
        <v>523</v>
      </c>
      <c r="C412" s="3" t="n">
        <v>1</v>
      </c>
      <c r="D412" s="3" t="s">
        <v>943</v>
      </c>
      <c r="E412" s="3" t="n">
        <v>246.05</v>
      </c>
      <c r="F412" s="3" t="s">
        <v>943</v>
      </c>
      <c r="G412" s="3" t="n">
        <v>246.05</v>
      </c>
      <c r="H412" s="3" t="n">
        <v>1</v>
      </c>
      <c r="I412" s="3" t="s">
        <v>65</v>
      </c>
      <c r="J412" s="3" t="n">
        <v>-3.31</v>
      </c>
      <c r="K412" s="3" t="n">
        <v>6.06</v>
      </c>
      <c r="L412" s="3" t="n">
        <v>19.2</v>
      </c>
      <c r="M412" s="3" t="n">
        <v>9.12</v>
      </c>
      <c r="N412" s="3" t="s">
        <v>2391</v>
      </c>
      <c r="O412" s="3" t="n">
        <v>218.8</v>
      </c>
      <c r="P412" s="3" t="n">
        <v>-11.07</v>
      </c>
      <c r="Q412" s="3"/>
    </row>
    <row r="413" customFormat="false" ht="15" hidden="false" customHeight="false" outlineLevel="0" collapsed="false">
      <c r="A413" s="3" t="s">
        <v>93</v>
      </c>
      <c r="B413" s="3" t="s">
        <v>94</v>
      </c>
      <c r="C413" s="3" t="n">
        <v>3</v>
      </c>
      <c r="D413" s="3" t="s">
        <v>943</v>
      </c>
      <c r="E413" s="3" t="n">
        <v>1922.6</v>
      </c>
      <c r="F413" s="3" t="s">
        <v>943</v>
      </c>
      <c r="G413" s="3" t="n">
        <v>1922.6</v>
      </c>
      <c r="H413" s="3" t="n">
        <v>1</v>
      </c>
      <c r="I413" s="3" t="s">
        <v>65</v>
      </c>
      <c r="J413" s="3" t="n">
        <v>-0.62</v>
      </c>
      <c r="K413" s="3" t="n">
        <v>2.71</v>
      </c>
      <c r="L413" s="3" t="n">
        <v>-5.15</v>
      </c>
      <c r="M413" s="3" t="n">
        <v>-6.96</v>
      </c>
      <c r="N413" s="3" t="s">
        <v>2391</v>
      </c>
      <c r="O413" s="3" t="n">
        <v>1651.6</v>
      </c>
      <c r="P413" s="3" t="n">
        <v>-14.1</v>
      </c>
      <c r="Q413" s="3"/>
    </row>
    <row r="414" customFormat="false" ht="15" hidden="false" customHeight="false" outlineLevel="0" collapsed="false">
      <c r="A414" s="3" t="s">
        <v>96</v>
      </c>
      <c r="B414" s="3" t="s">
        <v>97</v>
      </c>
      <c r="C414" s="3" t="n">
        <v>8</v>
      </c>
      <c r="D414" s="3" t="s">
        <v>943</v>
      </c>
      <c r="E414" s="3" t="n">
        <v>459.85</v>
      </c>
      <c r="F414" s="3" t="s">
        <v>943</v>
      </c>
      <c r="G414" s="3" t="n">
        <v>459.85</v>
      </c>
      <c r="H414" s="3" t="n">
        <v>1</v>
      </c>
      <c r="I414" s="3" t="s">
        <v>65</v>
      </c>
      <c r="J414" s="3" t="n">
        <v>2.17</v>
      </c>
      <c r="K414" s="3" t="n">
        <v>-0.02</v>
      </c>
      <c r="L414" s="3" t="n">
        <v>4.19</v>
      </c>
      <c r="M414" s="3" t="n">
        <v>12.62</v>
      </c>
      <c r="N414" s="3" t="s">
        <v>2391</v>
      </c>
      <c r="O414" s="3" t="n">
        <v>407.5</v>
      </c>
      <c r="P414" s="3" t="n">
        <v>-11.38</v>
      </c>
      <c r="Q414" s="3"/>
    </row>
    <row r="415" customFormat="false" ht="15" hidden="false" customHeight="false" outlineLevel="0" collapsed="false">
      <c r="A415" s="3" t="s">
        <v>337</v>
      </c>
      <c r="B415" s="3" t="s">
        <v>338</v>
      </c>
      <c r="C415" s="3" t="n">
        <v>1</v>
      </c>
      <c r="D415" s="3" t="s">
        <v>943</v>
      </c>
      <c r="E415" s="3" t="n">
        <v>7131</v>
      </c>
      <c r="F415" s="3" t="s">
        <v>943</v>
      </c>
      <c r="G415" s="3" t="n">
        <v>7131</v>
      </c>
      <c r="H415" s="3" t="n">
        <v>1</v>
      </c>
      <c r="I415" s="3" t="s">
        <v>65</v>
      </c>
      <c r="J415" s="3" t="n">
        <v>0.23</v>
      </c>
      <c r="K415" s="3" t="n">
        <v>0</v>
      </c>
      <c r="L415" s="3" t="n">
        <v>2.4</v>
      </c>
      <c r="M415" s="3" t="n">
        <v>5.68</v>
      </c>
      <c r="N415" s="3" t="s">
        <v>2391</v>
      </c>
      <c r="O415" s="3" t="n">
        <v>7213.5</v>
      </c>
      <c r="P415" s="3" t="n">
        <v>1.16</v>
      </c>
      <c r="Q415" s="3"/>
    </row>
    <row r="416" customFormat="false" ht="15" hidden="false" customHeight="false" outlineLevel="0" collapsed="false">
      <c r="A416" s="3" t="s">
        <v>257</v>
      </c>
      <c r="B416" s="3" t="s">
        <v>258</v>
      </c>
      <c r="C416" s="3" t="n">
        <v>2</v>
      </c>
      <c r="D416" s="3" t="s">
        <v>943</v>
      </c>
      <c r="E416" s="3" t="n">
        <v>153.3</v>
      </c>
      <c r="F416" s="3" t="s">
        <v>943</v>
      </c>
      <c r="G416" s="3" t="n">
        <v>153.3</v>
      </c>
      <c r="H416" s="3" t="n">
        <v>1</v>
      </c>
      <c r="I416" s="3" t="s">
        <v>65</v>
      </c>
      <c r="J416" s="3" t="n">
        <v>-0.7</v>
      </c>
      <c r="K416" s="3" t="n">
        <v>3.67</v>
      </c>
      <c r="L416" s="3" t="n">
        <v>8.6</v>
      </c>
      <c r="M416" s="3" t="n">
        <v>13.51</v>
      </c>
      <c r="N416" s="3" t="s">
        <v>2391</v>
      </c>
      <c r="O416" s="3" t="n">
        <v>172.45</v>
      </c>
      <c r="P416" s="3" t="n">
        <v>12.49</v>
      </c>
      <c r="Q416" s="3"/>
    </row>
    <row r="417" customFormat="false" ht="15" hidden="false" customHeight="false" outlineLevel="0" collapsed="false">
      <c r="A417" s="3" t="s">
        <v>496</v>
      </c>
      <c r="B417" s="3" t="s">
        <v>497</v>
      </c>
      <c r="C417" s="3" t="n">
        <v>1</v>
      </c>
      <c r="D417" s="3" t="s">
        <v>943</v>
      </c>
      <c r="E417" s="3" t="n">
        <v>1075.15</v>
      </c>
      <c r="F417" s="3" t="s">
        <v>943</v>
      </c>
      <c r="G417" s="3" t="n">
        <v>1075.15</v>
      </c>
      <c r="H417" s="3" t="n">
        <v>1</v>
      </c>
      <c r="I417" s="3" t="s">
        <v>65</v>
      </c>
      <c r="J417" s="3" t="n">
        <v>-1.1</v>
      </c>
      <c r="K417" s="3" t="n">
        <v>0.56</v>
      </c>
      <c r="L417" s="3" t="n">
        <v>-3.05</v>
      </c>
      <c r="M417" s="3" t="n">
        <v>2.05</v>
      </c>
      <c r="N417" s="3" t="s">
        <v>2391</v>
      </c>
      <c r="O417" s="3" t="n">
        <v>868</v>
      </c>
      <c r="P417" s="3" t="n">
        <v>-19.27</v>
      </c>
      <c r="Q417" s="3"/>
    </row>
    <row r="418" customFormat="false" ht="15" hidden="false" customHeight="false" outlineLevel="0" collapsed="false">
      <c r="A418" s="3" t="s">
        <v>591</v>
      </c>
      <c r="B418" s="3" t="s">
        <v>592</v>
      </c>
      <c r="C418" s="3" t="n">
        <v>3</v>
      </c>
      <c r="D418" s="3" t="s">
        <v>943</v>
      </c>
      <c r="E418" s="3" t="n">
        <v>1461</v>
      </c>
      <c r="F418" s="3" t="s">
        <v>943</v>
      </c>
      <c r="G418" s="3" t="n">
        <v>1461</v>
      </c>
      <c r="H418" s="3" t="n">
        <v>1</v>
      </c>
      <c r="I418" s="3" t="s">
        <v>65</v>
      </c>
      <c r="J418" s="3" t="n">
        <v>0.27</v>
      </c>
      <c r="K418" s="3" t="n">
        <v>-0.74</v>
      </c>
      <c r="L418" s="3" t="n">
        <v>-17.97</v>
      </c>
      <c r="M418" s="3" t="n">
        <v>-20.04</v>
      </c>
      <c r="N418" s="3" t="s">
        <v>2391</v>
      </c>
      <c r="O418" s="3" t="n">
        <v>1252.6</v>
      </c>
      <c r="P418" s="3" t="n">
        <v>-14.26</v>
      </c>
      <c r="Q418" s="3"/>
    </row>
    <row r="419" customFormat="false" ht="15" hidden="false" customHeight="false" outlineLevel="0" collapsed="false">
      <c r="A419" s="3" t="s">
        <v>868</v>
      </c>
      <c r="B419" s="3" t="s">
        <v>869</v>
      </c>
      <c r="C419" s="3" t="n">
        <v>1</v>
      </c>
      <c r="D419" s="3" t="s">
        <v>943</v>
      </c>
      <c r="E419" s="3" t="n">
        <v>5287.5</v>
      </c>
      <c r="F419" s="3" t="s">
        <v>943</v>
      </c>
      <c r="G419" s="3" t="n">
        <v>5287.5</v>
      </c>
      <c r="H419" s="3" t="n">
        <v>1</v>
      </c>
      <c r="I419" s="3" t="s">
        <v>65</v>
      </c>
      <c r="J419" s="3" t="n">
        <v>-0.07</v>
      </c>
      <c r="K419" s="3" t="n">
        <v>-2.42</v>
      </c>
      <c r="L419" s="3" t="n">
        <v>0.65</v>
      </c>
      <c r="M419" s="3" t="n">
        <v>-5.52</v>
      </c>
      <c r="N419" s="3" t="s">
        <v>2391</v>
      </c>
      <c r="O419" s="3" t="n">
        <v>5390</v>
      </c>
      <c r="P419" s="3" t="n">
        <v>1.94</v>
      </c>
      <c r="Q419" s="3"/>
    </row>
    <row r="420" customFormat="false" ht="15" hidden="false" customHeight="false" outlineLevel="0" collapsed="false">
      <c r="A420" s="3" t="s">
        <v>871</v>
      </c>
      <c r="B420" s="3" t="s">
        <v>872</v>
      </c>
      <c r="C420" s="3" t="n">
        <v>1</v>
      </c>
      <c r="D420" s="3" t="s">
        <v>943</v>
      </c>
      <c r="E420" s="3" t="n">
        <v>1346.2</v>
      </c>
      <c r="F420" s="3" t="s">
        <v>943</v>
      </c>
      <c r="G420" s="3" t="n">
        <v>1346.2</v>
      </c>
      <c r="H420" s="3" t="n">
        <v>1</v>
      </c>
      <c r="I420" s="3" t="s">
        <v>65</v>
      </c>
      <c r="J420" s="3" t="n">
        <v>-1.08</v>
      </c>
      <c r="K420" s="3" t="n">
        <v>-2.01</v>
      </c>
      <c r="L420" s="3" t="n">
        <v>-12.41</v>
      </c>
      <c r="M420" s="3" t="n">
        <v>-20.38</v>
      </c>
      <c r="N420" s="3" t="s">
        <v>2391</v>
      </c>
      <c r="O420" s="3" t="n">
        <v>1003.2</v>
      </c>
      <c r="P420" s="3" t="n">
        <v>-25.48</v>
      </c>
      <c r="Q420" s="3"/>
    </row>
    <row r="421" customFormat="false" ht="15" hidden="false" customHeight="false" outlineLevel="0" collapsed="false">
      <c r="A421" s="3" t="s">
        <v>501</v>
      </c>
      <c r="B421" s="3" t="s">
        <v>502</v>
      </c>
      <c r="C421" s="3" t="n">
        <v>2</v>
      </c>
      <c r="D421" s="3" t="s">
        <v>943</v>
      </c>
      <c r="E421" s="3" t="n">
        <v>4507.2</v>
      </c>
      <c r="F421" s="3" t="s">
        <v>943</v>
      </c>
      <c r="G421" s="3" t="n">
        <v>4507.2</v>
      </c>
      <c r="H421" s="3" t="n">
        <v>1</v>
      </c>
      <c r="I421" s="3" t="s">
        <v>65</v>
      </c>
      <c r="J421" s="3" t="n">
        <v>-2</v>
      </c>
      <c r="K421" s="3" t="n">
        <v>3.11</v>
      </c>
      <c r="L421" s="3" t="n">
        <v>13.14</v>
      </c>
      <c r="M421" s="3" t="n">
        <v>13.29</v>
      </c>
      <c r="N421" s="3" t="s">
        <v>2391</v>
      </c>
      <c r="O421" s="3" t="n">
        <v>4516</v>
      </c>
      <c r="P421" s="3" t="n">
        <v>0.2</v>
      </c>
      <c r="Q421" s="3"/>
    </row>
    <row r="422" customFormat="false" ht="15" hidden="false" customHeight="false" outlineLevel="0" collapsed="false">
      <c r="A422" s="3" t="s">
        <v>272</v>
      </c>
      <c r="B422" s="3" t="s">
        <v>273</v>
      </c>
      <c r="C422" s="3" t="n">
        <v>6</v>
      </c>
      <c r="D422" s="3" t="s">
        <v>943</v>
      </c>
      <c r="E422" s="3" t="n">
        <v>374.15</v>
      </c>
      <c r="F422" s="3" t="s">
        <v>970</v>
      </c>
      <c r="G422" s="3" t="n">
        <v>378.65</v>
      </c>
      <c r="H422" s="3" t="n">
        <v>2</v>
      </c>
      <c r="I422" s="3" t="s">
        <v>70</v>
      </c>
      <c r="J422" s="3" t="n">
        <v>1.2</v>
      </c>
      <c r="K422" s="3" t="n">
        <v>4.45</v>
      </c>
      <c r="L422" s="3" t="n">
        <v>7.48</v>
      </c>
      <c r="M422" s="3" t="n">
        <v>-5.33</v>
      </c>
      <c r="N422" s="3" t="s">
        <v>2391</v>
      </c>
      <c r="O422" s="3" t="n">
        <v>321.1</v>
      </c>
      <c r="P422" s="3" t="n">
        <v>-14.18</v>
      </c>
      <c r="Q422" s="3"/>
    </row>
    <row r="423" customFormat="false" ht="15" hidden="false" customHeight="false" outlineLevel="0" collapsed="false">
      <c r="A423" s="3" t="s">
        <v>117</v>
      </c>
      <c r="B423" s="3" t="s">
        <v>118</v>
      </c>
      <c r="C423" s="3" t="n">
        <v>3</v>
      </c>
      <c r="D423" s="3" t="s">
        <v>943</v>
      </c>
      <c r="E423" s="3" t="n">
        <v>270.41</v>
      </c>
      <c r="F423" s="3" t="s">
        <v>970</v>
      </c>
      <c r="G423" s="3" t="n">
        <v>271.37</v>
      </c>
      <c r="H423" s="3" t="n">
        <v>2</v>
      </c>
      <c r="I423" s="3" t="s">
        <v>70</v>
      </c>
      <c r="J423" s="3" t="n">
        <v>0.36</v>
      </c>
      <c r="K423" s="3" t="n">
        <v>0.4</v>
      </c>
      <c r="L423" s="3" t="n">
        <v>4.95</v>
      </c>
      <c r="M423" s="3" t="n">
        <v>3.4</v>
      </c>
      <c r="N423" s="3" t="s">
        <v>2391</v>
      </c>
      <c r="O423" s="3" t="n">
        <v>289.85</v>
      </c>
      <c r="P423" s="3" t="n">
        <v>7.19</v>
      </c>
      <c r="Q423" s="3"/>
    </row>
    <row r="424" customFormat="false" ht="15" hidden="false" customHeight="false" outlineLevel="0" collapsed="false">
      <c r="A424" s="3" t="s">
        <v>859</v>
      </c>
      <c r="B424" s="3" t="s">
        <v>860</v>
      </c>
      <c r="C424" s="3" t="n">
        <v>1</v>
      </c>
      <c r="D424" s="3" t="s">
        <v>943</v>
      </c>
      <c r="E424" s="3" t="n">
        <v>7600.5</v>
      </c>
      <c r="F424" s="3" t="s">
        <v>943</v>
      </c>
      <c r="G424" s="3" t="n">
        <v>7600.5</v>
      </c>
      <c r="H424" s="3" t="n">
        <v>1</v>
      </c>
      <c r="I424" s="3" t="s">
        <v>65</v>
      </c>
      <c r="J424" s="3" t="n">
        <v>0.09</v>
      </c>
      <c r="K424" s="3" t="n">
        <v>3.99</v>
      </c>
      <c r="L424" s="3" t="n">
        <v>19.51</v>
      </c>
      <c r="M424" s="3" t="n">
        <v>23.69</v>
      </c>
      <c r="N424" s="3" t="s">
        <v>2391</v>
      </c>
      <c r="O424" s="3" t="n">
        <v>8191</v>
      </c>
      <c r="P424" s="3" t="n">
        <v>7.77</v>
      </c>
      <c r="Q424" s="3"/>
    </row>
    <row r="425" customFormat="false" ht="15" hidden="false" customHeight="false" outlineLevel="0" collapsed="false">
      <c r="A425" s="3" t="s">
        <v>406</v>
      </c>
      <c r="B425" s="3" t="s">
        <v>407</v>
      </c>
      <c r="C425" s="3" t="n">
        <v>3</v>
      </c>
      <c r="D425" s="3" t="s">
        <v>943</v>
      </c>
      <c r="E425" s="3" t="n">
        <v>164.41</v>
      </c>
      <c r="F425" s="3" t="s">
        <v>943</v>
      </c>
      <c r="G425" s="3" t="n">
        <v>164.41</v>
      </c>
      <c r="H425" s="3" t="n">
        <v>1</v>
      </c>
      <c r="I425" s="3" t="s">
        <v>65</v>
      </c>
      <c r="J425" s="3" t="n">
        <v>-0.64</v>
      </c>
      <c r="K425" s="3" t="n">
        <v>4.2</v>
      </c>
      <c r="L425" s="3" t="n">
        <v>12.45</v>
      </c>
      <c r="M425" s="3" t="n">
        <v>0.76</v>
      </c>
      <c r="N425" s="3" t="s">
        <v>2391</v>
      </c>
      <c r="O425" s="3" t="n">
        <v>184.2</v>
      </c>
      <c r="P425" s="3" t="n">
        <v>12.04</v>
      </c>
      <c r="Q425" s="3"/>
    </row>
    <row r="426" customFormat="false" ht="15" hidden="false" customHeight="false" outlineLevel="0" collapsed="false">
      <c r="A426" s="3" t="s">
        <v>300</v>
      </c>
      <c r="B426" s="3" t="s">
        <v>301</v>
      </c>
      <c r="C426" s="3" t="n">
        <v>5</v>
      </c>
      <c r="D426" s="3" t="s">
        <v>943</v>
      </c>
      <c r="E426" s="3" t="n">
        <v>1061.45</v>
      </c>
      <c r="F426" s="3" t="s">
        <v>943</v>
      </c>
      <c r="G426" s="3" t="n">
        <v>1061.45</v>
      </c>
      <c r="H426" s="3" t="n">
        <v>1</v>
      </c>
      <c r="I426" s="3" t="s">
        <v>65</v>
      </c>
      <c r="J426" s="3" t="n">
        <v>-1.93</v>
      </c>
      <c r="K426" s="3" t="n">
        <v>0.54</v>
      </c>
      <c r="L426" s="3" t="n">
        <v>-3.97</v>
      </c>
      <c r="M426" s="3" t="n">
        <v>-2.2</v>
      </c>
      <c r="N426" s="3" t="s">
        <v>2391</v>
      </c>
      <c r="O426" s="3" t="n">
        <v>962</v>
      </c>
      <c r="P426" s="3" t="n">
        <v>-9.37</v>
      </c>
      <c r="Q426" s="3"/>
    </row>
    <row r="427" customFormat="false" ht="15" hidden="false" customHeight="false" outlineLevel="0" collapsed="false">
      <c r="A427" s="3" t="s">
        <v>453</v>
      </c>
      <c r="B427" s="3" t="s">
        <v>454</v>
      </c>
      <c r="C427" s="3" t="n">
        <v>4</v>
      </c>
      <c r="D427" s="3" t="s">
        <v>943</v>
      </c>
      <c r="E427" s="3" t="n">
        <v>533.7</v>
      </c>
      <c r="F427" s="3" t="s">
        <v>943</v>
      </c>
      <c r="G427" s="3" t="n">
        <v>533.7</v>
      </c>
      <c r="H427" s="3" t="n">
        <v>1</v>
      </c>
      <c r="I427" s="3" t="s">
        <v>65</v>
      </c>
      <c r="J427" s="3" t="n">
        <v>-2</v>
      </c>
      <c r="K427" s="3" t="n">
        <v>8.83</v>
      </c>
      <c r="L427" s="3" t="n">
        <v>8.54</v>
      </c>
      <c r="M427" s="3" t="n">
        <v>25.76</v>
      </c>
      <c r="N427" s="3" t="s">
        <v>2391</v>
      </c>
      <c r="O427" s="3" t="n">
        <v>807.9</v>
      </c>
      <c r="P427" s="3" t="n">
        <v>51.38</v>
      </c>
      <c r="Q427" s="3"/>
    </row>
    <row r="428" customFormat="false" ht="15" hidden="false" customHeight="false" outlineLevel="0" collapsed="false">
      <c r="A428" s="3" t="s">
        <v>83</v>
      </c>
      <c r="B428" s="3" t="s">
        <v>84</v>
      </c>
      <c r="C428" s="3" t="n">
        <v>4</v>
      </c>
      <c r="D428" s="3" t="s">
        <v>943</v>
      </c>
      <c r="E428" s="3" t="n">
        <v>2435.1</v>
      </c>
      <c r="F428" s="3" t="s">
        <v>943</v>
      </c>
      <c r="G428" s="3" t="n">
        <v>2435.1</v>
      </c>
      <c r="H428" s="3" t="n">
        <v>1</v>
      </c>
      <c r="I428" s="3" t="s">
        <v>65</v>
      </c>
      <c r="J428" s="3" t="n">
        <v>-1.45</v>
      </c>
      <c r="K428" s="3" t="n">
        <v>2.83</v>
      </c>
      <c r="L428" s="3" t="n">
        <v>14.2</v>
      </c>
      <c r="M428" s="3" t="n">
        <v>15.42</v>
      </c>
      <c r="N428" s="3" t="s">
        <v>2391</v>
      </c>
      <c r="O428" s="3" t="n">
        <v>2491.5</v>
      </c>
      <c r="P428" s="3" t="n">
        <v>2.32</v>
      </c>
      <c r="Q428" s="3"/>
    </row>
    <row r="429" customFormat="false" ht="15" hidden="false" customHeight="false" outlineLevel="0" collapsed="false">
      <c r="A429" s="3" t="s">
        <v>923</v>
      </c>
      <c r="B429" s="3" t="s">
        <v>924</v>
      </c>
      <c r="C429" s="3" t="n">
        <v>1</v>
      </c>
      <c r="D429" s="3" t="s">
        <v>943</v>
      </c>
      <c r="E429" s="3" t="n">
        <v>2559.2</v>
      </c>
      <c r="F429" s="3" t="s">
        <v>943</v>
      </c>
      <c r="G429" s="3" t="n">
        <v>2559.2</v>
      </c>
      <c r="H429" s="3" t="n">
        <v>1</v>
      </c>
      <c r="I429" s="3" t="s">
        <v>65</v>
      </c>
      <c r="J429" s="3" t="n">
        <v>1.16</v>
      </c>
      <c r="K429" s="3" t="n">
        <v>0.69</v>
      </c>
      <c r="L429" s="3" t="n">
        <v>-6.44</v>
      </c>
      <c r="M429" s="3" t="n">
        <v>-18.1</v>
      </c>
      <c r="N429" s="3" t="s">
        <v>2391</v>
      </c>
      <c r="O429" s="3" t="n">
        <v>2070.7</v>
      </c>
      <c r="P429" s="3" t="n">
        <v>-19.09</v>
      </c>
      <c r="Q429" s="3"/>
    </row>
    <row r="430" customFormat="false" ht="15" hidden="false" customHeight="false" outlineLevel="0" collapsed="false">
      <c r="A430" s="3" t="s">
        <v>156</v>
      </c>
      <c r="B430" s="3" t="s">
        <v>157</v>
      </c>
      <c r="C430" s="3" t="n">
        <v>4</v>
      </c>
      <c r="D430" s="3" t="s">
        <v>943</v>
      </c>
      <c r="E430" s="3" t="n">
        <v>1090.2</v>
      </c>
      <c r="F430" s="3" t="s">
        <v>943</v>
      </c>
      <c r="G430" s="3" t="n">
        <v>1090.2</v>
      </c>
      <c r="H430" s="3" t="n">
        <v>1</v>
      </c>
      <c r="I430" s="3" t="s">
        <v>65</v>
      </c>
      <c r="J430" s="3" t="n">
        <v>-3.27</v>
      </c>
      <c r="K430" s="3" t="n">
        <v>1.76</v>
      </c>
      <c r="L430" s="3" t="n">
        <v>8.14</v>
      </c>
      <c r="M430" s="3" t="n">
        <v>3.58</v>
      </c>
      <c r="N430" s="3" t="s">
        <v>2391</v>
      </c>
      <c r="O430" s="3" t="n">
        <v>1173</v>
      </c>
      <c r="P430" s="3" t="n">
        <v>7.59</v>
      </c>
      <c r="Q430" s="3"/>
    </row>
    <row r="431" customFormat="false" ht="15" hidden="false" customHeight="false" outlineLevel="0" collapsed="false">
      <c r="A431" s="3" t="s">
        <v>279</v>
      </c>
      <c r="B431" s="3" t="s">
        <v>280</v>
      </c>
      <c r="C431" s="3" t="n">
        <v>1</v>
      </c>
      <c r="D431" s="3" t="s">
        <v>943</v>
      </c>
      <c r="E431" s="3" t="n">
        <v>640.25</v>
      </c>
      <c r="F431" s="3" t="s">
        <v>943</v>
      </c>
      <c r="G431" s="3" t="n">
        <v>640.25</v>
      </c>
      <c r="H431" s="3" t="n">
        <v>1</v>
      </c>
      <c r="I431" s="3" t="s">
        <v>65</v>
      </c>
      <c r="J431" s="3" t="n">
        <v>0.27</v>
      </c>
      <c r="K431" s="3" t="n">
        <v>3.08</v>
      </c>
      <c r="L431" s="3" t="n">
        <v>0.9</v>
      </c>
      <c r="M431" s="3" t="n">
        <v>-6.15</v>
      </c>
      <c r="N431" s="3" t="s">
        <v>2391</v>
      </c>
      <c r="O431" s="3" t="n">
        <v>549.5</v>
      </c>
      <c r="P431" s="3" t="n">
        <v>-14.17</v>
      </c>
      <c r="Q431" s="3"/>
    </row>
    <row r="432" customFormat="false" ht="15" hidden="false" customHeight="false" outlineLevel="0" collapsed="false">
      <c r="A432" s="3" t="s">
        <v>207</v>
      </c>
      <c r="B432" s="3" t="s">
        <v>208</v>
      </c>
      <c r="C432" s="3" t="n">
        <v>1</v>
      </c>
      <c r="D432" s="3" t="s">
        <v>970</v>
      </c>
      <c r="E432" s="3" t="n">
        <v>998.1</v>
      </c>
      <c r="F432" s="3" t="s">
        <v>970</v>
      </c>
      <c r="G432" s="3" t="n">
        <v>998.1</v>
      </c>
      <c r="H432" s="3" t="n">
        <v>1</v>
      </c>
      <c r="I432" s="3" t="s">
        <v>65</v>
      </c>
      <c r="J432" s="3" t="n">
        <v>1.46</v>
      </c>
      <c r="K432" s="3" t="n">
        <v>11.54</v>
      </c>
      <c r="L432" s="3" t="n">
        <v>11.74</v>
      </c>
      <c r="M432" s="3" t="n">
        <v>9.38</v>
      </c>
      <c r="N432" s="3" t="s">
        <v>2391</v>
      </c>
      <c r="O432" s="3" t="n">
        <v>1045</v>
      </c>
      <c r="P432" s="3" t="n">
        <v>4.7</v>
      </c>
      <c r="Q432" s="3"/>
    </row>
    <row r="433" customFormat="false" ht="15" hidden="false" customHeight="false" outlineLevel="0" collapsed="false">
      <c r="A433" s="3" t="s">
        <v>142</v>
      </c>
      <c r="B433" s="3" t="s">
        <v>143</v>
      </c>
      <c r="C433" s="3" t="n">
        <v>4</v>
      </c>
      <c r="D433" s="3" t="s">
        <v>970</v>
      </c>
      <c r="E433" s="3" t="n">
        <v>1078</v>
      </c>
      <c r="F433" s="3" t="s">
        <v>970</v>
      </c>
      <c r="G433" s="3" t="n">
        <v>1078</v>
      </c>
      <c r="H433" s="3" t="n">
        <v>1</v>
      </c>
      <c r="I433" s="3" t="s">
        <v>65</v>
      </c>
      <c r="J433" s="3" t="n">
        <v>1.46</v>
      </c>
      <c r="K433" s="3" t="n">
        <v>3.27</v>
      </c>
      <c r="L433" s="3" t="n">
        <v>17.9</v>
      </c>
      <c r="M433" s="3" t="n">
        <v>1.09</v>
      </c>
      <c r="N433" s="3" t="s">
        <v>2391</v>
      </c>
      <c r="O433" s="3" t="n">
        <v>960</v>
      </c>
      <c r="P433" s="3" t="n">
        <v>-10.95</v>
      </c>
      <c r="Q433" s="3"/>
    </row>
    <row r="434" customFormat="false" ht="15" hidden="false" customHeight="false" outlineLevel="0" collapsed="false">
      <c r="A434" s="3" t="s">
        <v>182</v>
      </c>
      <c r="B434" s="3" t="s">
        <v>183</v>
      </c>
      <c r="C434" s="3" t="n">
        <v>4</v>
      </c>
      <c r="D434" s="3" t="s">
        <v>976</v>
      </c>
      <c r="E434" s="3" t="n">
        <v>1630</v>
      </c>
      <c r="F434" s="3" t="s">
        <v>976</v>
      </c>
      <c r="G434" s="3" t="n">
        <v>1630</v>
      </c>
      <c r="H434" s="3" t="n">
        <v>1</v>
      </c>
      <c r="I434" s="3" t="s">
        <v>65</v>
      </c>
      <c r="J434" s="3" t="n">
        <v>-0.3</v>
      </c>
      <c r="K434" s="3" t="n">
        <v>-2.37</v>
      </c>
      <c r="L434" s="3" t="n">
        <v>-6.28</v>
      </c>
      <c r="M434" s="3" t="n">
        <v>-19.2</v>
      </c>
      <c r="N434" s="3" t="s">
        <v>2391</v>
      </c>
      <c r="O434" s="3" t="n">
        <v>1370.5</v>
      </c>
      <c r="P434" s="3" t="n">
        <v>-15.92</v>
      </c>
      <c r="Q434" s="3"/>
    </row>
    <row r="435" customFormat="false" ht="15" hidden="false" customHeight="false" outlineLevel="0" collapsed="false">
      <c r="A435" s="3" t="s">
        <v>309</v>
      </c>
      <c r="B435" s="3" t="s">
        <v>310</v>
      </c>
      <c r="C435" s="3" t="n">
        <v>2</v>
      </c>
      <c r="D435" s="3" t="s">
        <v>976</v>
      </c>
      <c r="E435" s="3" t="n">
        <v>5138.7</v>
      </c>
      <c r="F435" s="3" t="s">
        <v>976</v>
      </c>
      <c r="G435" s="3" t="n">
        <v>5138.7</v>
      </c>
      <c r="H435" s="3" t="n">
        <v>1</v>
      </c>
      <c r="I435" s="3" t="s">
        <v>65</v>
      </c>
      <c r="J435" s="3" t="n">
        <v>-2.87</v>
      </c>
      <c r="K435" s="3" t="n">
        <v>1.2</v>
      </c>
      <c r="L435" s="3" t="n">
        <v>0.41</v>
      </c>
      <c r="M435" s="3" t="n">
        <v>7.86</v>
      </c>
      <c r="N435" s="3" t="s">
        <v>2391</v>
      </c>
      <c r="O435" s="3" t="n">
        <v>4855</v>
      </c>
      <c r="P435" s="3" t="n">
        <v>-5.52</v>
      </c>
      <c r="Q435" s="3"/>
    </row>
    <row r="436" customFormat="false" ht="15" hidden="false" customHeight="false" outlineLevel="0" collapsed="false">
      <c r="A436" s="3" t="s">
        <v>868</v>
      </c>
      <c r="B436" s="3" t="s">
        <v>869</v>
      </c>
      <c r="C436" s="3" t="n">
        <v>2</v>
      </c>
      <c r="D436" s="3" t="s">
        <v>976</v>
      </c>
      <c r="E436" s="3" t="n">
        <v>5466.5</v>
      </c>
      <c r="F436" s="3" t="s">
        <v>976</v>
      </c>
      <c r="G436" s="3" t="n">
        <v>5466.5</v>
      </c>
      <c r="H436" s="3" t="n">
        <v>1</v>
      </c>
      <c r="I436" s="3" t="s">
        <v>65</v>
      </c>
      <c r="J436" s="3" t="n">
        <v>-4.02</v>
      </c>
      <c r="K436" s="3" t="n">
        <v>-3.37</v>
      </c>
      <c r="L436" s="3" t="n">
        <v>-7.02</v>
      </c>
      <c r="M436" s="3" t="n">
        <v>-10.39</v>
      </c>
      <c r="N436" s="3" t="s">
        <v>2391</v>
      </c>
      <c r="O436" s="3" t="n">
        <v>5390</v>
      </c>
      <c r="P436" s="3" t="n">
        <v>-1.4</v>
      </c>
      <c r="Q436" s="3"/>
    </row>
    <row r="437" customFormat="false" ht="15" hidden="false" customHeight="false" outlineLevel="0" collapsed="false">
      <c r="A437" s="3" t="s">
        <v>901</v>
      </c>
      <c r="B437" s="3" t="s">
        <v>902</v>
      </c>
      <c r="C437" s="3" t="n">
        <v>2</v>
      </c>
      <c r="D437" s="3" t="s">
        <v>976</v>
      </c>
      <c r="E437" s="3" t="n">
        <v>955.25</v>
      </c>
      <c r="F437" s="3" t="s">
        <v>976</v>
      </c>
      <c r="G437" s="3" t="n">
        <v>955.25</v>
      </c>
      <c r="H437" s="3" t="n">
        <v>1</v>
      </c>
      <c r="I437" s="3" t="s">
        <v>65</v>
      </c>
      <c r="J437" s="3" t="n">
        <v>-4.17</v>
      </c>
      <c r="K437" s="3" t="n">
        <v>5</v>
      </c>
      <c r="L437" s="3" t="n">
        <v>8.67</v>
      </c>
      <c r="M437" s="3" t="n">
        <v>27.53</v>
      </c>
      <c r="N437" s="3" t="s">
        <v>2391</v>
      </c>
      <c r="O437" s="3" t="n">
        <v>1093.9</v>
      </c>
      <c r="P437" s="3" t="n">
        <v>14.51</v>
      </c>
      <c r="Q437" s="3"/>
    </row>
    <row r="438" customFormat="false" ht="15" hidden="false" customHeight="false" outlineLevel="0" collapsed="false">
      <c r="A438" s="3" t="s">
        <v>237</v>
      </c>
      <c r="B438" s="3" t="s">
        <v>238</v>
      </c>
      <c r="C438" s="3" t="n">
        <v>4</v>
      </c>
      <c r="D438" s="3" t="s">
        <v>976</v>
      </c>
      <c r="E438" s="3" t="n">
        <v>1763.5</v>
      </c>
      <c r="F438" s="3" t="s">
        <v>976</v>
      </c>
      <c r="G438" s="3" t="n">
        <v>1763.5</v>
      </c>
      <c r="H438" s="3" t="n">
        <v>1</v>
      </c>
      <c r="I438" s="3" t="s">
        <v>65</v>
      </c>
      <c r="J438" s="3" t="n">
        <v>-0.77</v>
      </c>
      <c r="K438" s="3" t="n">
        <v>0.25</v>
      </c>
      <c r="L438" s="3" t="n">
        <v>-1.84</v>
      </c>
      <c r="M438" s="3" t="n">
        <v>18.4</v>
      </c>
      <c r="N438" s="3" t="s">
        <v>2391</v>
      </c>
      <c r="O438" s="3" t="n">
        <v>1952.2</v>
      </c>
      <c r="P438" s="3" t="n">
        <v>10.7</v>
      </c>
      <c r="Q438" s="3"/>
    </row>
    <row r="439" customFormat="false" ht="15" hidden="false" customHeight="false" outlineLevel="0" collapsed="false">
      <c r="A439" s="3" t="s">
        <v>164</v>
      </c>
      <c r="B439" s="3" t="s">
        <v>165</v>
      </c>
      <c r="C439" s="3" t="n">
        <v>4</v>
      </c>
      <c r="D439" s="3" t="s">
        <v>976</v>
      </c>
      <c r="E439" s="3" t="n">
        <v>1357.1</v>
      </c>
      <c r="F439" s="3" t="s">
        <v>976</v>
      </c>
      <c r="G439" s="3" t="n">
        <v>1357.1</v>
      </c>
      <c r="H439" s="3" t="n">
        <v>1</v>
      </c>
      <c r="I439" s="3" t="s">
        <v>65</v>
      </c>
      <c r="J439" s="3" t="n">
        <v>-2.25</v>
      </c>
      <c r="K439" s="3" t="n">
        <v>2.46</v>
      </c>
      <c r="L439" s="3" t="n">
        <v>7.07</v>
      </c>
      <c r="M439" s="3" t="n">
        <v>17.19</v>
      </c>
      <c r="N439" s="3" t="s">
        <v>2391</v>
      </c>
      <c r="O439" s="3" t="n">
        <v>1503</v>
      </c>
      <c r="P439" s="3" t="n">
        <v>10.75</v>
      </c>
      <c r="Q439" s="3"/>
    </row>
    <row r="440" customFormat="false" ht="15" hidden="false" customHeight="false" outlineLevel="0" collapsed="false">
      <c r="A440" s="3" t="s">
        <v>984</v>
      </c>
      <c r="B440" s="3" t="s">
        <v>985</v>
      </c>
      <c r="C440" s="3" t="n">
        <v>0</v>
      </c>
      <c r="D440" s="3" t="s">
        <v>976</v>
      </c>
      <c r="E440" s="3" t="n">
        <v>1268.2</v>
      </c>
      <c r="F440" s="3" t="s">
        <v>976</v>
      </c>
      <c r="G440" s="3" t="n">
        <v>1268.2</v>
      </c>
      <c r="H440" s="3" t="n">
        <v>1</v>
      </c>
      <c r="I440" s="3" t="s">
        <v>65</v>
      </c>
      <c r="J440" s="3" t="n">
        <v>-2.89</v>
      </c>
      <c r="K440" s="3" t="n">
        <v>3.11</v>
      </c>
      <c r="L440" s="3" t="n">
        <v>-1.63</v>
      </c>
      <c r="M440" s="3" t="n">
        <v>8.91</v>
      </c>
      <c r="N440" s="3" t="s">
        <v>2391</v>
      </c>
      <c r="O440" s="3" t="n">
        <v>1415.4</v>
      </c>
      <c r="P440" s="3" t="n">
        <v>11.61</v>
      </c>
      <c r="Q440" s="3"/>
    </row>
    <row r="441" customFormat="false" ht="15" hidden="false" customHeight="false" outlineLevel="0" collapsed="false">
      <c r="A441" s="3" t="s">
        <v>207</v>
      </c>
      <c r="B441" s="3" t="s">
        <v>208</v>
      </c>
      <c r="C441" s="3" t="n">
        <v>2</v>
      </c>
      <c r="D441" s="3" t="s">
        <v>987</v>
      </c>
      <c r="E441" s="3" t="n">
        <v>1056</v>
      </c>
      <c r="F441" s="3" t="s">
        <v>987</v>
      </c>
      <c r="G441" s="3" t="n">
        <v>1056</v>
      </c>
      <c r="H441" s="3" t="n">
        <v>1</v>
      </c>
      <c r="I441" s="3" t="s">
        <v>65</v>
      </c>
      <c r="J441" s="3" t="n">
        <v>1.94</v>
      </c>
      <c r="K441" s="3" t="n">
        <v>-0.1</v>
      </c>
      <c r="L441" s="3" t="n">
        <v>4.37</v>
      </c>
      <c r="M441" s="3" t="n">
        <v>5.87</v>
      </c>
      <c r="N441" s="3" t="s">
        <v>2391</v>
      </c>
      <c r="O441" s="3" t="n">
        <v>1045</v>
      </c>
      <c r="P441" s="3" t="n">
        <v>-1.04</v>
      </c>
      <c r="Q441" s="3"/>
    </row>
    <row r="442" customFormat="false" ht="15" hidden="false" customHeight="false" outlineLevel="0" collapsed="false">
      <c r="A442" s="3" t="s">
        <v>708</v>
      </c>
      <c r="B442" s="3" t="s">
        <v>709</v>
      </c>
      <c r="C442" s="3" t="n">
        <v>2</v>
      </c>
      <c r="D442" s="3" t="s">
        <v>987</v>
      </c>
      <c r="E442" s="3" t="n">
        <v>6873</v>
      </c>
      <c r="F442" s="3" t="s">
        <v>987</v>
      </c>
      <c r="G442" s="3" t="n">
        <v>6873</v>
      </c>
      <c r="H442" s="3" t="n">
        <v>1</v>
      </c>
      <c r="I442" s="3" t="s">
        <v>65</v>
      </c>
      <c r="J442" s="3" t="n">
        <v>0.15</v>
      </c>
      <c r="K442" s="3" t="n">
        <v>10.39</v>
      </c>
      <c r="L442" s="3" t="n">
        <v>-6.46</v>
      </c>
      <c r="M442" s="3" t="n">
        <v>-0.96</v>
      </c>
      <c r="N442" s="3" t="s">
        <v>2391</v>
      </c>
      <c r="O442" s="3" t="n">
        <v>6972.5</v>
      </c>
      <c r="P442" s="3" t="n">
        <v>1.45</v>
      </c>
      <c r="Q442" s="3"/>
    </row>
    <row r="443" customFormat="false" ht="15" hidden="false" customHeight="false" outlineLevel="0" collapsed="false">
      <c r="A443" s="3" t="s">
        <v>333</v>
      </c>
      <c r="B443" s="3" t="s">
        <v>334</v>
      </c>
      <c r="C443" s="3" t="n">
        <v>4</v>
      </c>
      <c r="D443" s="3" t="s">
        <v>987</v>
      </c>
      <c r="E443" s="3" t="n">
        <v>5575.5</v>
      </c>
      <c r="F443" s="3" t="s">
        <v>987</v>
      </c>
      <c r="G443" s="3" t="n">
        <v>5575.5</v>
      </c>
      <c r="H443" s="3" t="n">
        <v>1</v>
      </c>
      <c r="I443" s="3" t="s">
        <v>65</v>
      </c>
      <c r="J443" s="3" t="n">
        <v>-0.1</v>
      </c>
      <c r="K443" s="3" t="n">
        <v>0.92</v>
      </c>
      <c r="L443" s="3" t="n">
        <v>0.02</v>
      </c>
      <c r="M443" s="3" t="n">
        <v>-0.15</v>
      </c>
      <c r="N443" s="3" t="s">
        <v>2391</v>
      </c>
      <c r="O443" s="3" t="n">
        <v>5175</v>
      </c>
      <c r="P443" s="3" t="n">
        <v>-7.18</v>
      </c>
      <c r="Q443" s="3"/>
    </row>
    <row r="444" customFormat="false" ht="15" hidden="false" customHeight="false" outlineLevel="0" collapsed="false">
      <c r="A444" s="3" t="s">
        <v>490</v>
      </c>
      <c r="B444" s="3" t="s">
        <v>491</v>
      </c>
      <c r="C444" s="3" t="n">
        <v>3</v>
      </c>
      <c r="D444" s="3" t="s">
        <v>987</v>
      </c>
      <c r="E444" s="3" t="n">
        <v>310.45</v>
      </c>
      <c r="F444" s="3" t="s">
        <v>987</v>
      </c>
      <c r="G444" s="3" t="n">
        <v>310.45</v>
      </c>
      <c r="H444" s="3" t="n">
        <v>1</v>
      </c>
      <c r="I444" s="3" t="s">
        <v>65</v>
      </c>
      <c r="J444" s="3" t="n">
        <v>-0.81</v>
      </c>
      <c r="K444" s="3" t="n">
        <v>1.27</v>
      </c>
      <c r="L444" s="3" t="n">
        <v>-4.98</v>
      </c>
      <c r="M444" s="3" t="n">
        <v>-0.93</v>
      </c>
      <c r="N444" s="3" t="s">
        <v>2391</v>
      </c>
      <c r="O444" s="3" t="n">
        <v>302.25</v>
      </c>
      <c r="P444" s="3" t="n">
        <v>-2.64</v>
      </c>
      <c r="Q444" s="3"/>
    </row>
    <row r="445" customFormat="false" ht="15" hidden="false" customHeight="false" outlineLevel="0" collapsed="false">
      <c r="A445" s="3" t="s">
        <v>130</v>
      </c>
      <c r="B445" s="3" t="s">
        <v>131</v>
      </c>
      <c r="C445" s="3" t="n">
        <v>2</v>
      </c>
      <c r="D445" s="3" t="s">
        <v>987</v>
      </c>
      <c r="E445" s="3" t="n">
        <v>728.05</v>
      </c>
      <c r="F445" s="3" t="s">
        <v>987</v>
      </c>
      <c r="G445" s="3" t="n">
        <v>728.05</v>
      </c>
      <c r="H445" s="3" t="n">
        <v>1</v>
      </c>
      <c r="I445" s="3" t="s">
        <v>65</v>
      </c>
      <c r="J445" s="3" t="n">
        <v>1.42</v>
      </c>
      <c r="K445" s="3" t="n">
        <v>3.78</v>
      </c>
      <c r="L445" s="3" t="n">
        <v>7.94</v>
      </c>
      <c r="M445" s="3" t="n">
        <v>7.93</v>
      </c>
      <c r="N445" s="3" t="s">
        <v>2391</v>
      </c>
      <c r="O445" s="3" t="n">
        <v>691.55</v>
      </c>
      <c r="P445" s="3" t="n">
        <v>-5.01</v>
      </c>
      <c r="Q445" s="3"/>
    </row>
    <row r="446" customFormat="false" ht="15" hidden="false" customHeight="false" outlineLevel="0" collapsed="false">
      <c r="A446" s="3" t="s">
        <v>809</v>
      </c>
      <c r="B446" s="3" t="s">
        <v>810</v>
      </c>
      <c r="C446" s="3" t="n">
        <v>1</v>
      </c>
      <c r="D446" s="3" t="s">
        <v>987</v>
      </c>
      <c r="E446" s="3" t="n">
        <v>748</v>
      </c>
      <c r="F446" s="3" t="s">
        <v>987</v>
      </c>
      <c r="G446" s="3" t="n">
        <v>748</v>
      </c>
      <c r="H446" s="3" t="n">
        <v>1</v>
      </c>
      <c r="I446" s="3" t="s">
        <v>65</v>
      </c>
      <c r="J446" s="3" t="n">
        <v>1.06</v>
      </c>
      <c r="K446" s="3" t="n">
        <v>10.21</v>
      </c>
      <c r="L446" s="3" t="n">
        <v>13.4</v>
      </c>
      <c r="M446" s="3" t="n">
        <v>21.06</v>
      </c>
      <c r="N446" s="3" t="s">
        <v>2391</v>
      </c>
      <c r="O446" s="3" t="n">
        <v>865</v>
      </c>
      <c r="P446" s="3" t="n">
        <v>15.64</v>
      </c>
      <c r="Q446" s="3"/>
    </row>
    <row r="447" customFormat="false" ht="15" hidden="false" customHeight="false" outlineLevel="0" collapsed="false">
      <c r="A447" s="3" t="s">
        <v>93</v>
      </c>
      <c r="B447" s="3" t="s">
        <v>94</v>
      </c>
      <c r="C447" s="3" t="n">
        <v>4</v>
      </c>
      <c r="D447" s="3" t="s">
        <v>987</v>
      </c>
      <c r="E447" s="3" t="n">
        <v>1974.6</v>
      </c>
      <c r="F447" s="3" t="s">
        <v>987</v>
      </c>
      <c r="G447" s="3" t="n">
        <v>1974.6</v>
      </c>
      <c r="H447" s="3" t="n">
        <v>1</v>
      </c>
      <c r="I447" s="3" t="s">
        <v>65</v>
      </c>
      <c r="J447" s="3" t="n">
        <v>0.01</v>
      </c>
      <c r="K447" s="3" t="n">
        <v>0.92</v>
      </c>
      <c r="L447" s="3" t="n">
        <v>-10.63</v>
      </c>
      <c r="M447" s="3" t="n">
        <v>-11.01</v>
      </c>
      <c r="N447" s="3" t="s">
        <v>2391</v>
      </c>
      <c r="O447" s="3" t="n">
        <v>1651.6</v>
      </c>
      <c r="P447" s="3" t="n">
        <v>-16.36</v>
      </c>
      <c r="Q447" s="3"/>
    </row>
    <row r="448" customFormat="false" ht="15" hidden="false" customHeight="false" outlineLevel="0" collapsed="false">
      <c r="A448" s="3" t="s">
        <v>74</v>
      </c>
      <c r="B448" s="3" t="s">
        <v>75</v>
      </c>
      <c r="C448" s="3" t="n">
        <v>2</v>
      </c>
      <c r="D448" s="3" t="s">
        <v>987</v>
      </c>
      <c r="E448" s="3" t="n">
        <v>1858</v>
      </c>
      <c r="F448" s="3" t="s">
        <v>987</v>
      </c>
      <c r="G448" s="3" t="n">
        <v>1858</v>
      </c>
      <c r="H448" s="3" t="n">
        <v>1</v>
      </c>
      <c r="I448" s="3" t="s">
        <v>65</v>
      </c>
      <c r="J448" s="3" t="n">
        <v>1.54</v>
      </c>
      <c r="K448" s="3" t="n">
        <v>-1.56</v>
      </c>
      <c r="L448" s="3" t="n">
        <v>-0.49</v>
      </c>
      <c r="M448" s="3" t="n">
        <v>-3.81</v>
      </c>
      <c r="N448" s="3" t="s">
        <v>2391</v>
      </c>
      <c r="O448" s="3" t="n">
        <v>1540</v>
      </c>
      <c r="P448" s="3" t="n">
        <v>-17.12</v>
      </c>
      <c r="Q448" s="3"/>
    </row>
    <row r="449" customFormat="false" ht="15" hidden="false" customHeight="false" outlineLevel="0" collapsed="false">
      <c r="A449" s="3" t="s">
        <v>917</v>
      </c>
      <c r="B449" s="3" t="s">
        <v>918</v>
      </c>
      <c r="C449" s="3" t="n">
        <v>1</v>
      </c>
      <c r="D449" s="3" t="s">
        <v>987</v>
      </c>
      <c r="E449" s="3" t="n">
        <v>4628.7</v>
      </c>
      <c r="F449" s="3" t="s">
        <v>1005</v>
      </c>
      <c r="G449" s="3" t="n">
        <v>4730</v>
      </c>
      <c r="H449" s="3" t="n">
        <v>2</v>
      </c>
      <c r="I449" s="3" t="s">
        <v>70</v>
      </c>
      <c r="J449" s="3" t="n">
        <v>2.19</v>
      </c>
      <c r="K449" s="3" t="n">
        <v>-0.53</v>
      </c>
      <c r="L449" s="3" t="n">
        <v>-15.31</v>
      </c>
      <c r="M449" s="3" t="n">
        <v>-10.9</v>
      </c>
      <c r="N449" s="3" t="s">
        <v>2391</v>
      </c>
      <c r="O449" s="3" t="n">
        <v>4091.4</v>
      </c>
      <c r="P449" s="3" t="n">
        <v>-11.61</v>
      </c>
      <c r="Q449" s="3"/>
    </row>
    <row r="450" customFormat="false" ht="15" hidden="false" customHeight="false" outlineLevel="0" collapsed="false">
      <c r="A450" s="3" t="s">
        <v>633</v>
      </c>
      <c r="B450" s="3" t="s">
        <v>634</v>
      </c>
      <c r="C450" s="3" t="n">
        <v>2</v>
      </c>
      <c r="D450" s="3" t="s">
        <v>987</v>
      </c>
      <c r="E450" s="3" t="n">
        <v>36530</v>
      </c>
      <c r="F450" s="3" t="s">
        <v>987</v>
      </c>
      <c r="G450" s="3" t="n">
        <v>36530</v>
      </c>
      <c r="H450" s="3" t="n">
        <v>1</v>
      </c>
      <c r="I450" s="3" t="s">
        <v>65</v>
      </c>
      <c r="J450" s="3" t="n">
        <v>1.23</v>
      </c>
      <c r="K450" s="3" t="n">
        <v>3.63</v>
      </c>
      <c r="L450" s="3" t="n">
        <v>-1.11</v>
      </c>
      <c r="M450" s="3" t="n">
        <v>9.38</v>
      </c>
      <c r="N450" s="3" t="s">
        <v>2391</v>
      </c>
      <c r="O450" s="3" t="n">
        <v>37500</v>
      </c>
      <c r="P450" s="3" t="n">
        <v>2.66</v>
      </c>
      <c r="Q450" s="3"/>
    </row>
    <row r="451" customFormat="false" ht="15" hidden="false" customHeight="false" outlineLevel="0" collapsed="false">
      <c r="A451" s="3" t="s">
        <v>275</v>
      </c>
      <c r="B451" s="3" t="s">
        <v>276</v>
      </c>
      <c r="C451" s="3" t="n">
        <v>2</v>
      </c>
      <c r="D451" s="3" t="s">
        <v>987</v>
      </c>
      <c r="E451" s="3" t="n">
        <v>464.7</v>
      </c>
      <c r="F451" s="3" t="s">
        <v>987</v>
      </c>
      <c r="G451" s="3" t="n">
        <v>464.7</v>
      </c>
      <c r="H451" s="3" t="n">
        <v>1</v>
      </c>
      <c r="I451" s="3" t="s">
        <v>65</v>
      </c>
      <c r="J451" s="3" t="n">
        <v>0.05</v>
      </c>
      <c r="K451" s="3" t="n">
        <v>1.59</v>
      </c>
      <c r="L451" s="3" t="n">
        <v>-3.17</v>
      </c>
      <c r="M451" s="3" t="n">
        <v>-12.02</v>
      </c>
      <c r="N451" s="3" t="s">
        <v>2391</v>
      </c>
      <c r="O451" s="3" t="n">
        <v>390.8</v>
      </c>
      <c r="P451" s="3" t="n">
        <v>-15.9</v>
      </c>
      <c r="Q451" s="3"/>
    </row>
    <row r="452" customFormat="false" ht="15" hidden="false" customHeight="false" outlineLevel="0" collapsed="false">
      <c r="A452" s="3" t="s">
        <v>876</v>
      </c>
      <c r="B452" s="3" t="s">
        <v>877</v>
      </c>
      <c r="C452" s="3" t="n">
        <v>1</v>
      </c>
      <c r="D452" s="3" t="s">
        <v>987</v>
      </c>
      <c r="E452" s="3" t="n">
        <v>3042.1</v>
      </c>
      <c r="F452" s="3" t="s">
        <v>987</v>
      </c>
      <c r="G452" s="3" t="n">
        <v>3042.1</v>
      </c>
      <c r="H452" s="3" t="n">
        <v>1</v>
      </c>
      <c r="I452" s="3" t="s">
        <v>65</v>
      </c>
      <c r="J452" s="3" t="n">
        <v>2.3</v>
      </c>
      <c r="K452" s="3" t="n">
        <v>0.5</v>
      </c>
      <c r="L452" s="3" t="n">
        <v>2.02</v>
      </c>
      <c r="M452" s="3" t="n">
        <v>-15.55</v>
      </c>
      <c r="N452" s="3" t="s">
        <v>2391</v>
      </c>
      <c r="O452" s="3" t="n">
        <v>2349</v>
      </c>
      <c r="P452" s="3" t="n">
        <v>-22.78</v>
      </c>
      <c r="Q452" s="3"/>
    </row>
    <row r="453" customFormat="false" ht="15" hidden="false" customHeight="false" outlineLevel="0" collapsed="false">
      <c r="A453" s="3" t="s">
        <v>441</v>
      </c>
      <c r="B453" s="3" t="s">
        <v>442</v>
      </c>
      <c r="C453" s="3" t="n">
        <v>3</v>
      </c>
      <c r="D453" s="3" t="s">
        <v>987</v>
      </c>
      <c r="E453" s="3" t="n">
        <v>866.55</v>
      </c>
      <c r="F453" s="3" t="s">
        <v>987</v>
      </c>
      <c r="G453" s="3" t="n">
        <v>866.55</v>
      </c>
      <c r="H453" s="3" t="n">
        <v>1</v>
      </c>
      <c r="I453" s="3" t="s">
        <v>65</v>
      </c>
      <c r="J453" s="3" t="n">
        <v>3.14</v>
      </c>
      <c r="K453" s="3" t="n">
        <v>14.27</v>
      </c>
      <c r="L453" s="3" t="n">
        <v>23.44</v>
      </c>
      <c r="M453" s="3" t="n">
        <v>29.51</v>
      </c>
      <c r="N453" s="3" t="s">
        <v>2391</v>
      </c>
      <c r="O453" s="3" t="n">
        <v>1085</v>
      </c>
      <c r="P453" s="3" t="n">
        <v>25.21</v>
      </c>
      <c r="Q453" s="3"/>
    </row>
    <row r="454" customFormat="false" ht="15" hidden="false" customHeight="false" outlineLevel="0" collapsed="false">
      <c r="A454" s="3" t="s">
        <v>550</v>
      </c>
      <c r="B454" s="3" t="s">
        <v>551</v>
      </c>
      <c r="C454" s="3" t="n">
        <v>2</v>
      </c>
      <c r="D454" s="3" t="s">
        <v>987</v>
      </c>
      <c r="E454" s="3" t="n">
        <v>1342.4</v>
      </c>
      <c r="F454" s="3" t="s">
        <v>987</v>
      </c>
      <c r="G454" s="3" t="n">
        <v>1342.4</v>
      </c>
      <c r="H454" s="3" t="n">
        <v>1</v>
      </c>
      <c r="I454" s="3" t="s">
        <v>65</v>
      </c>
      <c r="J454" s="3" t="n">
        <v>-0.34</v>
      </c>
      <c r="K454" s="3" t="n">
        <v>4.7</v>
      </c>
      <c r="L454" s="3" t="n">
        <v>2.04</v>
      </c>
      <c r="M454" s="3" t="n">
        <v>28.45</v>
      </c>
      <c r="N454" s="3" t="s">
        <v>2391</v>
      </c>
      <c r="O454" s="3" t="n">
        <v>1470.8</v>
      </c>
      <c r="P454" s="3" t="n">
        <v>9.56</v>
      </c>
      <c r="Q454" s="3"/>
    </row>
    <row r="455" customFormat="false" ht="15" hidden="false" customHeight="false" outlineLevel="0" collapsed="false">
      <c r="A455" s="3" t="s">
        <v>422</v>
      </c>
      <c r="B455" s="3" t="s">
        <v>423</v>
      </c>
      <c r="C455" s="3" t="n">
        <v>1</v>
      </c>
      <c r="D455" s="3" t="s">
        <v>987</v>
      </c>
      <c r="E455" s="3" t="n">
        <v>24965</v>
      </c>
      <c r="F455" s="3" t="s">
        <v>987</v>
      </c>
      <c r="G455" s="3" t="n">
        <v>24965</v>
      </c>
      <c r="H455" s="3" t="n">
        <v>1</v>
      </c>
      <c r="I455" s="3" t="s">
        <v>65</v>
      </c>
      <c r="J455" s="3" t="n">
        <v>0.58</v>
      </c>
      <c r="K455" s="3" t="n">
        <v>3.08</v>
      </c>
      <c r="L455" s="3" t="n">
        <v>0.24</v>
      </c>
      <c r="M455" s="3" t="n">
        <v>5.83</v>
      </c>
      <c r="N455" s="3" t="s">
        <v>2391</v>
      </c>
      <c r="O455" s="3" t="n">
        <v>22170</v>
      </c>
      <c r="P455" s="3" t="n">
        <v>-11.2</v>
      </c>
      <c r="Q455" s="3"/>
    </row>
    <row r="456" customFormat="false" ht="15" hidden="false" customHeight="false" outlineLevel="0" collapsed="false">
      <c r="A456" s="3" t="s">
        <v>156</v>
      </c>
      <c r="B456" s="3" t="s">
        <v>157</v>
      </c>
      <c r="C456" s="3" t="n">
        <v>5</v>
      </c>
      <c r="D456" s="3" t="s">
        <v>987</v>
      </c>
      <c r="E456" s="3" t="n">
        <v>1100.1</v>
      </c>
      <c r="F456" s="3" t="s">
        <v>987</v>
      </c>
      <c r="G456" s="3" t="n">
        <v>1100.1</v>
      </c>
      <c r="H456" s="3" t="n">
        <v>1</v>
      </c>
      <c r="I456" s="3" t="s">
        <v>65</v>
      </c>
      <c r="J456" s="3" t="n">
        <v>0.85</v>
      </c>
      <c r="K456" s="3" t="n">
        <v>4.65</v>
      </c>
      <c r="L456" s="3" t="n">
        <v>2.02</v>
      </c>
      <c r="M456" s="3" t="n">
        <v>4.75</v>
      </c>
      <c r="N456" s="3" t="s">
        <v>2391</v>
      </c>
      <c r="O456" s="3" t="n">
        <v>1173</v>
      </c>
      <c r="P456" s="3" t="n">
        <v>6.63</v>
      </c>
      <c r="Q456" s="3"/>
    </row>
    <row r="457" customFormat="false" ht="15" hidden="false" customHeight="false" outlineLevel="0" collapsed="false">
      <c r="A457" s="3" t="s">
        <v>223</v>
      </c>
      <c r="B457" s="3" t="s">
        <v>224</v>
      </c>
      <c r="C457" s="3" t="n">
        <v>3</v>
      </c>
      <c r="D457" s="3" t="s">
        <v>987</v>
      </c>
      <c r="E457" s="3" t="n">
        <v>209.75</v>
      </c>
      <c r="F457" s="3" t="s">
        <v>987</v>
      </c>
      <c r="G457" s="3" t="n">
        <v>209.75</v>
      </c>
      <c r="H457" s="3" t="n">
        <v>1</v>
      </c>
      <c r="I457" s="3" t="s">
        <v>65</v>
      </c>
      <c r="J457" s="3" t="n">
        <v>0.24</v>
      </c>
      <c r="K457" s="3" t="n">
        <v>-2.74</v>
      </c>
      <c r="L457" s="3" t="n">
        <v>-10.23</v>
      </c>
      <c r="M457" s="3" t="n">
        <v>-14.93</v>
      </c>
      <c r="N457" s="3" t="s">
        <v>2391</v>
      </c>
      <c r="O457" s="3" t="n">
        <v>161.56</v>
      </c>
      <c r="P457" s="3" t="n">
        <v>-22.97</v>
      </c>
      <c r="Q457" s="3"/>
    </row>
    <row r="458" customFormat="false" ht="15" hidden="false" customHeight="false" outlineLevel="0" collapsed="false">
      <c r="A458" s="3" t="s">
        <v>487</v>
      </c>
      <c r="B458" s="3" t="s">
        <v>488</v>
      </c>
      <c r="C458" s="3" t="n">
        <v>1</v>
      </c>
      <c r="D458" s="3" t="s">
        <v>1005</v>
      </c>
      <c r="E458" s="3" t="n">
        <v>10205</v>
      </c>
      <c r="F458" s="3" t="s">
        <v>1005</v>
      </c>
      <c r="G458" s="3" t="n">
        <v>10205</v>
      </c>
      <c r="H458" s="3" t="n">
        <v>1</v>
      </c>
      <c r="I458" s="3" t="s">
        <v>65</v>
      </c>
      <c r="J458" s="3" t="n">
        <v>1.47</v>
      </c>
      <c r="K458" s="3" t="n">
        <v>1.68</v>
      </c>
      <c r="L458" s="3" t="n">
        <v>1.01</v>
      </c>
      <c r="M458" s="3" t="n">
        <v>2.75</v>
      </c>
      <c r="N458" s="3" t="s">
        <v>2391</v>
      </c>
      <c r="O458" s="3" t="n">
        <v>10800</v>
      </c>
      <c r="P458" s="3" t="n">
        <v>5.83</v>
      </c>
      <c r="Q458" s="3"/>
    </row>
    <row r="459" customFormat="false" ht="15" hidden="false" customHeight="false" outlineLevel="0" collapsed="false">
      <c r="A459" s="3" t="s">
        <v>1007</v>
      </c>
      <c r="B459" s="3" t="s">
        <v>1008</v>
      </c>
      <c r="C459" s="3" t="n">
        <v>0</v>
      </c>
      <c r="D459" s="3" t="s">
        <v>1005</v>
      </c>
      <c r="E459" s="3" t="n">
        <v>309.26</v>
      </c>
      <c r="F459" s="3" t="s">
        <v>1005</v>
      </c>
      <c r="G459" s="3" t="n">
        <v>309.26</v>
      </c>
      <c r="H459" s="3" t="n">
        <v>1</v>
      </c>
      <c r="I459" s="3" t="s">
        <v>65</v>
      </c>
      <c r="J459" s="3" t="n">
        <v>2.43</v>
      </c>
      <c r="K459" s="3" t="n">
        <v>9.16</v>
      </c>
      <c r="L459" s="3" t="n">
        <v>28.79</v>
      </c>
      <c r="M459" s="3" t="n">
        <v>30.6</v>
      </c>
      <c r="N459" s="3" t="s">
        <v>2391</v>
      </c>
      <c r="O459" s="3" t="n">
        <v>411.9</v>
      </c>
      <c r="P459" s="3" t="n">
        <v>33.19</v>
      </c>
      <c r="Q459" s="3"/>
    </row>
    <row r="460" customFormat="false" ht="15" hidden="false" customHeight="false" outlineLevel="0" collapsed="false">
      <c r="A460" s="3" t="s">
        <v>388</v>
      </c>
      <c r="B460" s="3" t="s">
        <v>389</v>
      </c>
      <c r="C460" s="3" t="n">
        <v>1</v>
      </c>
      <c r="D460" s="3" t="s">
        <v>1005</v>
      </c>
      <c r="E460" s="3" t="n">
        <v>1550.5</v>
      </c>
      <c r="F460" s="3" t="s">
        <v>1005</v>
      </c>
      <c r="G460" s="3" t="n">
        <v>1550.5</v>
      </c>
      <c r="H460" s="3" t="n">
        <v>1</v>
      </c>
      <c r="I460" s="3" t="s">
        <v>65</v>
      </c>
      <c r="J460" s="3" t="n">
        <v>3.23</v>
      </c>
      <c r="K460" s="3" t="n">
        <v>7.76</v>
      </c>
      <c r="L460" s="3" t="n">
        <v>8.89</v>
      </c>
      <c r="M460" s="3" t="n">
        <v>1.06</v>
      </c>
      <c r="N460" s="3" t="s">
        <v>2391</v>
      </c>
      <c r="O460" s="3" t="n">
        <v>1151.3</v>
      </c>
      <c r="P460" s="3" t="n">
        <v>-25.75</v>
      </c>
      <c r="Q460" s="3"/>
    </row>
    <row r="461" customFormat="false" ht="15" hidden="false" customHeight="false" outlineLevel="0" collapsed="false">
      <c r="A461" s="3" t="s">
        <v>207</v>
      </c>
      <c r="B461" s="3" t="s">
        <v>208</v>
      </c>
      <c r="C461" s="3" t="n">
        <v>3</v>
      </c>
      <c r="D461" s="3" t="s">
        <v>1012</v>
      </c>
      <c r="E461" s="3" t="n">
        <v>1113.3</v>
      </c>
      <c r="F461" s="3" t="s">
        <v>1012</v>
      </c>
      <c r="G461" s="3" t="n">
        <v>1113.3</v>
      </c>
      <c r="H461" s="3" t="n">
        <v>1</v>
      </c>
      <c r="I461" s="3" t="s">
        <v>65</v>
      </c>
      <c r="J461" s="3" t="n">
        <v>-0.36</v>
      </c>
      <c r="K461" s="3" t="n">
        <v>-6.62</v>
      </c>
      <c r="L461" s="3" t="n">
        <v>-0.75</v>
      </c>
      <c r="M461" s="3" t="n">
        <v>-1.32</v>
      </c>
      <c r="N461" s="3" t="s">
        <v>2391</v>
      </c>
      <c r="O461" s="3" t="n">
        <v>1045</v>
      </c>
      <c r="P461" s="3" t="n">
        <v>-6.13</v>
      </c>
      <c r="Q461" s="3"/>
    </row>
    <row r="462" customFormat="false" ht="15" hidden="false" customHeight="false" outlineLevel="0" collapsed="false">
      <c r="A462" s="3" t="s">
        <v>1014</v>
      </c>
      <c r="B462" s="3" t="s">
        <v>1015</v>
      </c>
      <c r="C462" s="3" t="n">
        <v>0</v>
      </c>
      <c r="D462" s="3" t="s">
        <v>1012</v>
      </c>
      <c r="E462" s="3" t="n">
        <v>1259.8</v>
      </c>
      <c r="F462" s="3" t="s">
        <v>1012</v>
      </c>
      <c r="G462" s="3" t="n">
        <v>1259.8</v>
      </c>
      <c r="H462" s="3" t="n">
        <v>1</v>
      </c>
      <c r="I462" s="3" t="s">
        <v>65</v>
      </c>
      <c r="J462" s="3" t="n">
        <v>-0.03</v>
      </c>
      <c r="K462" s="3" t="n">
        <v>12.08</v>
      </c>
      <c r="L462" s="3" t="n">
        <v>5.44</v>
      </c>
      <c r="M462" s="3" t="n">
        <v>33.2</v>
      </c>
      <c r="N462" s="3" t="s">
        <v>2391</v>
      </c>
      <c r="O462" s="3" t="n">
        <v>1287.9</v>
      </c>
      <c r="P462" s="3" t="n">
        <v>2.23</v>
      </c>
      <c r="Q462" s="3"/>
    </row>
    <row r="463" customFormat="false" ht="15" hidden="false" customHeight="false" outlineLevel="0" collapsed="false">
      <c r="A463" s="3" t="s">
        <v>182</v>
      </c>
      <c r="B463" s="3" t="s">
        <v>183</v>
      </c>
      <c r="C463" s="3" t="n">
        <v>5</v>
      </c>
      <c r="D463" s="3" t="s">
        <v>1012</v>
      </c>
      <c r="E463" s="3" t="n">
        <v>1605</v>
      </c>
      <c r="F463" s="3" t="s">
        <v>1012</v>
      </c>
      <c r="G463" s="3" t="n">
        <v>1605</v>
      </c>
      <c r="H463" s="3" t="n">
        <v>1</v>
      </c>
      <c r="I463" s="3" t="s">
        <v>65</v>
      </c>
      <c r="J463" s="3" t="n">
        <v>-0.85</v>
      </c>
      <c r="K463" s="3" t="n">
        <v>-2.6</v>
      </c>
      <c r="L463" s="3" t="n">
        <v>-3.69</v>
      </c>
      <c r="M463" s="3" t="n">
        <v>-15.28</v>
      </c>
      <c r="N463" s="3" t="s">
        <v>2391</v>
      </c>
      <c r="O463" s="3" t="n">
        <v>1370.5</v>
      </c>
      <c r="P463" s="3" t="n">
        <v>-14.61</v>
      </c>
      <c r="Q463" s="3"/>
    </row>
    <row r="464" customFormat="false" ht="15" hidden="false" customHeight="false" outlineLevel="0" collapsed="false">
      <c r="A464" s="3" t="s">
        <v>216</v>
      </c>
      <c r="B464" s="3" t="s">
        <v>217</v>
      </c>
      <c r="C464" s="3" t="n">
        <v>5</v>
      </c>
      <c r="D464" s="3" t="s">
        <v>1012</v>
      </c>
      <c r="E464" s="3" t="n">
        <v>1240.8</v>
      </c>
      <c r="F464" s="3" t="s">
        <v>1012</v>
      </c>
      <c r="G464" s="3" t="n">
        <v>1240.8</v>
      </c>
      <c r="H464" s="3" t="n">
        <v>1</v>
      </c>
      <c r="I464" s="3" t="s">
        <v>65</v>
      </c>
      <c r="J464" s="3" t="n">
        <v>-0.91</v>
      </c>
      <c r="K464" s="3" t="n">
        <v>4.37</v>
      </c>
      <c r="L464" s="3" t="n">
        <v>14.94</v>
      </c>
      <c r="M464" s="3" t="n">
        <v>15.89</v>
      </c>
      <c r="N464" s="3" t="s">
        <v>2391</v>
      </c>
      <c r="O464" s="3" t="n">
        <v>1383.7</v>
      </c>
      <c r="P464" s="3" t="n">
        <v>11.52</v>
      </c>
      <c r="Q464" s="3"/>
    </row>
    <row r="465" customFormat="false" ht="15" hidden="false" customHeight="false" outlineLevel="0" collapsed="false">
      <c r="A465" s="3" t="s">
        <v>168</v>
      </c>
      <c r="B465" s="3" t="s">
        <v>169</v>
      </c>
      <c r="C465" s="3" t="n">
        <v>1</v>
      </c>
      <c r="D465" s="3" t="s">
        <v>1012</v>
      </c>
      <c r="E465" s="3" t="n">
        <v>1235.7</v>
      </c>
      <c r="F465" s="3" t="s">
        <v>1012</v>
      </c>
      <c r="G465" s="3" t="n">
        <v>1235.7</v>
      </c>
      <c r="H465" s="3" t="n">
        <v>1</v>
      </c>
      <c r="I465" s="3" t="s">
        <v>65</v>
      </c>
      <c r="J465" s="3" t="n">
        <v>-0.25</v>
      </c>
      <c r="K465" s="3" t="n">
        <v>6.59</v>
      </c>
      <c r="L465" s="3" t="n">
        <v>7.73</v>
      </c>
      <c r="M465" s="3" t="n">
        <v>-0.5</v>
      </c>
      <c r="N465" s="3" t="s">
        <v>2391</v>
      </c>
      <c r="O465" s="3" t="n">
        <v>1221</v>
      </c>
      <c r="P465" s="3" t="n">
        <v>-1.19</v>
      </c>
      <c r="Q465" s="3"/>
    </row>
    <row r="466" customFormat="false" ht="15" hidden="false" customHeight="false" outlineLevel="0" collapsed="false">
      <c r="A466" s="3" t="s">
        <v>101</v>
      </c>
      <c r="B466" s="3" t="s">
        <v>102</v>
      </c>
      <c r="C466" s="3" t="n">
        <v>4</v>
      </c>
      <c r="D466" s="3" t="s">
        <v>1012</v>
      </c>
      <c r="E466" s="3" t="n">
        <v>2792.4</v>
      </c>
      <c r="F466" s="3" t="s">
        <v>1012</v>
      </c>
      <c r="G466" s="3" t="n">
        <v>2792.4</v>
      </c>
      <c r="H466" s="3" t="n">
        <v>1</v>
      </c>
      <c r="I466" s="3" t="s">
        <v>65</v>
      </c>
      <c r="J466" s="3" t="n">
        <v>-0.87</v>
      </c>
      <c r="K466" s="3" t="n">
        <v>-2.06</v>
      </c>
      <c r="L466" s="3" t="n">
        <v>-5.99</v>
      </c>
      <c r="M466" s="3" t="n">
        <v>-2.26</v>
      </c>
      <c r="N466" s="3" t="s">
        <v>2391</v>
      </c>
      <c r="O466" s="3" t="n">
        <v>2302.3</v>
      </c>
      <c r="P466" s="3" t="n">
        <v>-17.55</v>
      </c>
      <c r="Q466" s="3"/>
    </row>
    <row r="467" customFormat="false" ht="15" hidden="false" customHeight="false" outlineLevel="0" collapsed="false">
      <c r="A467" s="3" t="s">
        <v>1021</v>
      </c>
      <c r="B467" s="3" t="s">
        <v>1022</v>
      </c>
      <c r="C467" s="3" t="n">
        <v>0</v>
      </c>
      <c r="D467" s="3" t="s">
        <v>1012</v>
      </c>
      <c r="E467" s="3" t="n">
        <v>1902.8</v>
      </c>
      <c r="F467" s="3" t="s">
        <v>1012</v>
      </c>
      <c r="G467" s="3" t="n">
        <v>1902.8</v>
      </c>
      <c r="H467" s="3" t="n">
        <v>1</v>
      </c>
      <c r="I467" s="3" t="s">
        <v>65</v>
      </c>
      <c r="J467" s="3" t="n">
        <v>-0.88</v>
      </c>
      <c r="K467" s="3" t="n">
        <v>-6.26</v>
      </c>
      <c r="L467" s="3" t="n">
        <v>-6.35</v>
      </c>
      <c r="M467" s="3" t="n">
        <v>5.26</v>
      </c>
      <c r="N467" s="3" t="s">
        <v>2391</v>
      </c>
      <c r="O467" s="3" t="n">
        <v>2050.7</v>
      </c>
      <c r="P467" s="3" t="n">
        <v>7.77</v>
      </c>
      <c r="Q467" s="3"/>
    </row>
    <row r="468" customFormat="false" ht="15" hidden="false" customHeight="false" outlineLevel="0" collapsed="false">
      <c r="A468" s="3" t="s">
        <v>364</v>
      </c>
      <c r="B468" s="3" t="s">
        <v>365</v>
      </c>
      <c r="C468" s="3" t="n">
        <v>6</v>
      </c>
      <c r="D468" s="3" t="s">
        <v>1012</v>
      </c>
      <c r="E468" s="3" t="n">
        <v>562</v>
      </c>
      <c r="F468" s="3" t="s">
        <v>1012</v>
      </c>
      <c r="G468" s="3" t="n">
        <v>562</v>
      </c>
      <c r="H468" s="3" t="n">
        <v>1</v>
      </c>
      <c r="I468" s="3" t="s">
        <v>65</v>
      </c>
      <c r="J468" s="3" t="n">
        <v>-0.73</v>
      </c>
      <c r="K468" s="3" t="n">
        <v>-8.51</v>
      </c>
      <c r="L468" s="3" t="n">
        <v>-8.29</v>
      </c>
      <c r="M468" s="3" t="n">
        <v>-6.56</v>
      </c>
      <c r="N468" s="3" t="s">
        <v>2391</v>
      </c>
      <c r="O468" s="3" t="n">
        <v>458.7</v>
      </c>
      <c r="P468" s="3" t="n">
        <v>-18.38</v>
      </c>
      <c r="Q468" s="3"/>
    </row>
    <row r="469" customFormat="false" ht="15" hidden="false" customHeight="false" outlineLevel="0" collapsed="false">
      <c r="A469" s="3" t="s">
        <v>525</v>
      </c>
      <c r="B469" s="3" t="s">
        <v>526</v>
      </c>
      <c r="C469" s="3" t="n">
        <v>2</v>
      </c>
      <c r="D469" s="3" t="s">
        <v>1012</v>
      </c>
      <c r="E469" s="3" t="n">
        <v>243.86</v>
      </c>
      <c r="F469" s="3" t="s">
        <v>1012</v>
      </c>
      <c r="G469" s="3" t="n">
        <v>243.86</v>
      </c>
      <c r="H469" s="3" t="n">
        <v>1</v>
      </c>
      <c r="I469" s="3" t="s">
        <v>65</v>
      </c>
      <c r="J469" s="3" t="n">
        <v>-2.75</v>
      </c>
      <c r="K469" s="3" t="n">
        <v>0.77</v>
      </c>
      <c r="L469" s="3" t="n">
        <v>-4.61</v>
      </c>
      <c r="M469" s="3" t="n">
        <v>-2.98</v>
      </c>
      <c r="N469" s="3" t="s">
        <v>2391</v>
      </c>
      <c r="O469" s="3" t="n">
        <v>220.5</v>
      </c>
      <c r="P469" s="3" t="n">
        <v>-9.58</v>
      </c>
      <c r="Q469" s="3"/>
    </row>
    <row r="470" customFormat="false" ht="15" hidden="false" customHeight="false" outlineLevel="0" collapsed="false">
      <c r="A470" s="3" t="s">
        <v>901</v>
      </c>
      <c r="B470" s="3" t="s">
        <v>902</v>
      </c>
      <c r="C470" s="3" t="n">
        <v>3</v>
      </c>
      <c r="D470" s="3" t="s">
        <v>1012</v>
      </c>
      <c r="E470" s="3" t="n">
        <v>1015.05</v>
      </c>
      <c r="F470" s="3" t="s">
        <v>1012</v>
      </c>
      <c r="G470" s="3" t="n">
        <v>1015.05</v>
      </c>
      <c r="H470" s="3" t="n">
        <v>1</v>
      </c>
      <c r="I470" s="3" t="s">
        <v>65</v>
      </c>
      <c r="J470" s="3" t="n">
        <v>-1.19</v>
      </c>
      <c r="K470" s="3" t="n">
        <v>-3.52</v>
      </c>
      <c r="L470" s="3" t="n">
        <v>6.69</v>
      </c>
      <c r="M470" s="3" t="n">
        <v>17.86</v>
      </c>
      <c r="N470" s="3" t="s">
        <v>2391</v>
      </c>
      <c r="O470" s="3" t="n">
        <v>1093.9</v>
      </c>
      <c r="P470" s="3" t="n">
        <v>7.77</v>
      </c>
      <c r="Q470" s="3"/>
    </row>
    <row r="471" customFormat="false" ht="15" hidden="false" customHeight="false" outlineLevel="0" collapsed="false">
      <c r="A471" s="3" t="s">
        <v>845</v>
      </c>
      <c r="B471" s="3" t="s">
        <v>846</v>
      </c>
      <c r="C471" s="3" t="n">
        <v>1</v>
      </c>
      <c r="D471" s="3" t="s">
        <v>1012</v>
      </c>
      <c r="E471" s="3" t="n">
        <v>83.56</v>
      </c>
      <c r="F471" s="3" t="s">
        <v>1012</v>
      </c>
      <c r="G471" s="3" t="n">
        <v>83.56</v>
      </c>
      <c r="H471" s="3" t="n">
        <v>1</v>
      </c>
      <c r="I471" s="3" t="s">
        <v>65</v>
      </c>
      <c r="J471" s="3" t="n">
        <v>-0.55</v>
      </c>
      <c r="K471" s="3" t="n">
        <v>-3.47</v>
      </c>
      <c r="L471" s="3" t="n">
        <v>-7</v>
      </c>
      <c r="M471" s="3" t="n">
        <v>-5.35</v>
      </c>
      <c r="N471" s="3" t="s">
        <v>2391</v>
      </c>
      <c r="O471" s="3" t="n">
        <v>74.5</v>
      </c>
      <c r="P471" s="3" t="n">
        <v>-10.84</v>
      </c>
      <c r="Q471" s="3"/>
    </row>
    <row r="472" customFormat="false" ht="15" hidden="false" customHeight="false" outlineLevel="0" collapsed="false">
      <c r="A472" s="3" t="s">
        <v>275</v>
      </c>
      <c r="B472" s="3" t="s">
        <v>276</v>
      </c>
      <c r="C472" s="3" t="n">
        <v>3</v>
      </c>
      <c r="D472" s="3" t="s">
        <v>1012</v>
      </c>
      <c r="E472" s="3" t="n">
        <v>468.3</v>
      </c>
      <c r="F472" s="3" t="s">
        <v>1012</v>
      </c>
      <c r="G472" s="3" t="n">
        <v>468.3</v>
      </c>
      <c r="H472" s="3" t="n">
        <v>1</v>
      </c>
      <c r="I472" s="3" t="s">
        <v>65</v>
      </c>
      <c r="J472" s="3" t="n">
        <v>-1.85</v>
      </c>
      <c r="K472" s="3" t="n">
        <v>-1.14</v>
      </c>
      <c r="L472" s="3" t="n">
        <v>-2.47</v>
      </c>
      <c r="M472" s="3" t="n">
        <v>-25.71</v>
      </c>
      <c r="N472" s="3" t="s">
        <v>2391</v>
      </c>
      <c r="O472" s="3" t="n">
        <v>390.8</v>
      </c>
      <c r="P472" s="3" t="n">
        <v>-16.55</v>
      </c>
      <c r="Q472" s="3"/>
    </row>
    <row r="473" customFormat="false" ht="15" hidden="false" customHeight="false" outlineLevel="0" collapsed="false">
      <c r="A473" s="3" t="s">
        <v>876</v>
      </c>
      <c r="B473" s="3" t="s">
        <v>877</v>
      </c>
      <c r="C473" s="3" t="n">
        <v>2</v>
      </c>
      <c r="D473" s="3" t="s">
        <v>1012</v>
      </c>
      <c r="E473" s="3" t="n">
        <v>3139.7</v>
      </c>
      <c r="F473" s="3" t="s">
        <v>1012</v>
      </c>
      <c r="G473" s="3" t="n">
        <v>3139.7</v>
      </c>
      <c r="H473" s="3" t="n">
        <v>1</v>
      </c>
      <c r="I473" s="3" t="s">
        <v>65</v>
      </c>
      <c r="J473" s="3" t="n">
        <v>-3.27</v>
      </c>
      <c r="K473" s="3" t="n">
        <v>-1.86</v>
      </c>
      <c r="L473" s="3" t="n">
        <v>-1.38</v>
      </c>
      <c r="M473" s="3" t="n">
        <v>-16.57</v>
      </c>
      <c r="N473" s="3" t="s">
        <v>2391</v>
      </c>
      <c r="O473" s="3" t="n">
        <v>2349</v>
      </c>
      <c r="P473" s="3" t="n">
        <v>-25.18</v>
      </c>
      <c r="Q473" s="3"/>
    </row>
    <row r="474" customFormat="false" ht="15" hidden="false" customHeight="false" outlineLevel="0" collapsed="false">
      <c r="A474" s="3" t="s">
        <v>907</v>
      </c>
      <c r="B474" s="3" t="s">
        <v>908</v>
      </c>
      <c r="C474" s="3" t="n">
        <v>1</v>
      </c>
      <c r="D474" s="3" t="s">
        <v>1012</v>
      </c>
      <c r="E474" s="3" t="n">
        <v>1034.6</v>
      </c>
      <c r="F474" s="3" t="s">
        <v>1012</v>
      </c>
      <c r="G474" s="3" t="n">
        <v>1034.6</v>
      </c>
      <c r="H474" s="3" t="n">
        <v>1</v>
      </c>
      <c r="I474" s="3" t="s">
        <v>65</v>
      </c>
      <c r="J474" s="3" t="n">
        <v>-2.31</v>
      </c>
      <c r="K474" s="3" t="n">
        <v>-2.61</v>
      </c>
      <c r="L474" s="3" t="n">
        <v>-4.61</v>
      </c>
      <c r="M474" s="3" t="n">
        <v>5.42</v>
      </c>
      <c r="N474" s="3" t="s">
        <v>2391</v>
      </c>
      <c r="O474" s="3" t="n">
        <v>906</v>
      </c>
      <c r="P474" s="3" t="n">
        <v>-12.43</v>
      </c>
      <c r="Q474" s="3"/>
    </row>
    <row r="475" customFormat="false" ht="15" hidden="false" customHeight="false" outlineLevel="0" collapsed="false">
      <c r="A475" s="3" t="s">
        <v>740</v>
      </c>
      <c r="B475" s="3" t="s">
        <v>741</v>
      </c>
      <c r="C475" s="3" t="n">
        <v>3</v>
      </c>
      <c r="D475" s="3" t="s">
        <v>1012</v>
      </c>
      <c r="E475" s="3" t="n">
        <v>3709</v>
      </c>
      <c r="F475" s="3" t="s">
        <v>1012</v>
      </c>
      <c r="G475" s="3" t="n">
        <v>3709</v>
      </c>
      <c r="H475" s="3" t="n">
        <v>1</v>
      </c>
      <c r="I475" s="3" t="s">
        <v>65</v>
      </c>
      <c r="J475" s="3" t="n">
        <v>0.08</v>
      </c>
      <c r="K475" s="3" t="n">
        <v>-1.21</v>
      </c>
      <c r="L475" s="3" t="n">
        <v>-5.52</v>
      </c>
      <c r="M475" s="3" t="n">
        <v>-6.77</v>
      </c>
      <c r="N475" s="3" t="s">
        <v>2391</v>
      </c>
      <c r="O475" s="3" t="n">
        <v>3499.8</v>
      </c>
      <c r="P475" s="3" t="n">
        <v>-5.64</v>
      </c>
      <c r="Q475" s="3"/>
    </row>
    <row r="476" customFormat="false" ht="15" hidden="false" customHeight="false" outlineLevel="0" collapsed="false">
      <c r="A476" s="3" t="s">
        <v>1032</v>
      </c>
      <c r="B476" s="3" t="s">
        <v>1033</v>
      </c>
      <c r="C476" s="3" t="n">
        <v>0</v>
      </c>
      <c r="D476" s="3" t="s">
        <v>1012</v>
      </c>
      <c r="E476" s="3" t="n">
        <v>118.95</v>
      </c>
      <c r="F476" s="3" t="s">
        <v>1012</v>
      </c>
      <c r="G476" s="3" t="n">
        <v>118.95</v>
      </c>
      <c r="H476" s="3" t="n">
        <v>1</v>
      </c>
      <c r="I476" s="3" t="s">
        <v>65</v>
      </c>
      <c r="J476" s="3" t="n">
        <v>-0.29</v>
      </c>
      <c r="K476" s="3" t="n">
        <v>3.69</v>
      </c>
      <c r="L476" s="3" t="n">
        <v>2.25</v>
      </c>
      <c r="M476" s="3" t="n">
        <v>-4.21</v>
      </c>
      <c r="N476" s="3" t="s">
        <v>2391</v>
      </c>
      <c r="O476" s="3" t="n">
        <v>100.81</v>
      </c>
      <c r="P476" s="3" t="n">
        <v>-15.25</v>
      </c>
      <c r="Q476" s="3"/>
    </row>
    <row r="477" customFormat="false" ht="15" hidden="false" customHeight="false" outlineLevel="0" collapsed="false">
      <c r="A477" s="3" t="s">
        <v>1036</v>
      </c>
      <c r="B477" s="3" t="s">
        <v>1037</v>
      </c>
      <c r="C477" s="3" t="n">
        <v>0</v>
      </c>
      <c r="D477" s="3" t="s">
        <v>1035</v>
      </c>
      <c r="E477" s="3" t="n">
        <v>8082.5</v>
      </c>
      <c r="F477" s="3" t="s">
        <v>1035</v>
      </c>
      <c r="G477" s="3" t="n">
        <v>8082.5</v>
      </c>
      <c r="H477" s="3" t="n">
        <v>1</v>
      </c>
      <c r="I477" s="3" t="s">
        <v>65</v>
      </c>
      <c r="J477" s="3" t="n">
        <v>-1.87</v>
      </c>
      <c r="K477" s="3" t="n">
        <v>15.81</v>
      </c>
      <c r="L477" s="3" t="n">
        <v>19.34</v>
      </c>
      <c r="M477" s="3" t="n">
        <v>44.52</v>
      </c>
      <c r="N477" s="3" t="s">
        <v>2391</v>
      </c>
      <c r="O477" s="3" t="n">
        <v>10800</v>
      </c>
      <c r="P477" s="3" t="n">
        <v>33.62</v>
      </c>
      <c r="Q477" s="3"/>
    </row>
    <row r="478" customFormat="false" ht="15" hidden="false" customHeight="false" outlineLevel="0" collapsed="false">
      <c r="A478" s="3" t="s">
        <v>245</v>
      </c>
      <c r="B478" s="3" t="s">
        <v>246</v>
      </c>
      <c r="C478" s="3" t="n">
        <v>3</v>
      </c>
      <c r="D478" s="3" t="s">
        <v>1039</v>
      </c>
      <c r="E478" s="3" t="n">
        <v>2310.7</v>
      </c>
      <c r="F478" s="3" t="s">
        <v>1039</v>
      </c>
      <c r="G478" s="3" t="n">
        <v>2310.7</v>
      </c>
      <c r="H478" s="3" t="n">
        <v>1</v>
      </c>
      <c r="I478" s="3" t="s">
        <v>65</v>
      </c>
      <c r="J478" s="3" t="n">
        <v>2.51</v>
      </c>
      <c r="K478" s="3" t="n">
        <v>-0.92</v>
      </c>
      <c r="L478" s="3" t="n">
        <v>-4.39</v>
      </c>
      <c r="M478" s="3" t="n">
        <v>-7.22</v>
      </c>
      <c r="N478" s="3" t="s">
        <v>2391</v>
      </c>
      <c r="O478" s="3" t="n">
        <v>1896</v>
      </c>
      <c r="P478" s="3" t="n">
        <v>-17.95</v>
      </c>
      <c r="Q478" s="3"/>
    </row>
    <row r="479" customFormat="false" ht="15" hidden="false" customHeight="false" outlineLevel="0" collapsed="false">
      <c r="A479" s="3" t="s">
        <v>901</v>
      </c>
      <c r="B479" s="3" t="s">
        <v>902</v>
      </c>
      <c r="C479" s="3" t="n">
        <v>4</v>
      </c>
      <c r="D479" s="3" t="s">
        <v>1039</v>
      </c>
      <c r="E479" s="3" t="n">
        <v>1055.35</v>
      </c>
      <c r="F479" s="3" t="s">
        <v>1039</v>
      </c>
      <c r="G479" s="3" t="n">
        <v>1055.35</v>
      </c>
      <c r="H479" s="3" t="n">
        <v>1</v>
      </c>
      <c r="I479" s="3" t="s">
        <v>65</v>
      </c>
      <c r="J479" s="3" t="n">
        <v>0.45</v>
      </c>
      <c r="K479" s="3" t="n">
        <v>-3.04</v>
      </c>
      <c r="L479" s="3" t="n">
        <v>4.52</v>
      </c>
      <c r="M479" s="3" t="n">
        <v>12.43</v>
      </c>
      <c r="N479" s="3" t="s">
        <v>2391</v>
      </c>
      <c r="O479" s="3" t="n">
        <v>1093.9</v>
      </c>
      <c r="P479" s="3" t="n">
        <v>3.65</v>
      </c>
      <c r="Q479" s="3"/>
    </row>
    <row r="480" customFormat="false" ht="15" hidden="false" customHeight="false" outlineLevel="0" collapsed="false">
      <c r="A480" s="3" t="s">
        <v>237</v>
      </c>
      <c r="B480" s="3" t="s">
        <v>238</v>
      </c>
      <c r="C480" s="3" t="n">
        <v>5</v>
      </c>
      <c r="D480" s="3" t="s">
        <v>1039</v>
      </c>
      <c r="E480" s="3" t="n">
        <v>1807</v>
      </c>
      <c r="F480" s="3" t="s">
        <v>1039</v>
      </c>
      <c r="G480" s="3" t="n">
        <v>1807</v>
      </c>
      <c r="H480" s="3" t="n">
        <v>1</v>
      </c>
      <c r="I480" s="3" t="s">
        <v>65</v>
      </c>
      <c r="J480" s="3" t="n">
        <v>0.13</v>
      </c>
      <c r="K480" s="3" t="n">
        <v>-2.5</v>
      </c>
      <c r="L480" s="3" t="n">
        <v>-3.41</v>
      </c>
      <c r="M480" s="3" t="n">
        <v>14.88</v>
      </c>
      <c r="N480" s="3" t="s">
        <v>2391</v>
      </c>
      <c r="O480" s="3" t="n">
        <v>1952.2</v>
      </c>
      <c r="P480" s="3" t="n">
        <v>8.04</v>
      </c>
      <c r="Q480" s="3"/>
    </row>
    <row r="481" customFormat="false" ht="15" hidden="false" customHeight="false" outlineLevel="0" collapsed="false">
      <c r="A481" s="3" t="s">
        <v>403</v>
      </c>
      <c r="B481" s="3" t="s">
        <v>404</v>
      </c>
      <c r="C481" s="3" t="n">
        <v>2</v>
      </c>
      <c r="D481" s="3" t="s">
        <v>1043</v>
      </c>
      <c r="E481" s="3" t="n">
        <v>562.15</v>
      </c>
      <c r="F481" s="3" t="s">
        <v>1043</v>
      </c>
      <c r="G481" s="3" t="n">
        <v>562.15</v>
      </c>
      <c r="H481" s="3" t="n">
        <v>1</v>
      </c>
      <c r="I481" s="3" t="s">
        <v>65</v>
      </c>
      <c r="J481" s="3" t="n">
        <v>-1.33</v>
      </c>
      <c r="K481" s="3" t="n">
        <v>4.3</v>
      </c>
      <c r="L481" s="3" t="n">
        <v>-5.16</v>
      </c>
      <c r="M481" s="3" t="n">
        <v>-1.85</v>
      </c>
      <c r="N481" s="3" t="s">
        <v>2391</v>
      </c>
      <c r="O481" s="3" t="n">
        <v>564.15</v>
      </c>
      <c r="P481" s="3" t="n">
        <v>0.36</v>
      </c>
      <c r="Q481" s="3"/>
    </row>
    <row r="482" customFormat="false" ht="15" hidden="false" customHeight="false" outlineLevel="0" collapsed="false">
      <c r="A482" s="3" t="s">
        <v>623</v>
      </c>
      <c r="B482" s="3" t="s">
        <v>624</v>
      </c>
      <c r="C482" s="3" t="n">
        <v>5</v>
      </c>
      <c r="D482" s="3" t="s">
        <v>1043</v>
      </c>
      <c r="E482" s="3" t="n">
        <v>1778.7</v>
      </c>
      <c r="F482" s="3" t="s">
        <v>1043</v>
      </c>
      <c r="G482" s="3" t="n">
        <v>1778.7</v>
      </c>
      <c r="H482" s="3" t="n">
        <v>1</v>
      </c>
      <c r="I482" s="3" t="s">
        <v>65</v>
      </c>
      <c r="J482" s="3" t="n">
        <v>1.66</v>
      </c>
      <c r="K482" s="3" t="n">
        <v>3.13</v>
      </c>
      <c r="L482" s="3" t="n">
        <v>1.15</v>
      </c>
      <c r="M482" s="3" t="n">
        <v>10.96</v>
      </c>
      <c r="N482" s="3" t="s">
        <v>2391</v>
      </c>
      <c r="O482" s="3" t="n">
        <v>1838</v>
      </c>
      <c r="P482" s="3" t="n">
        <v>3.33</v>
      </c>
      <c r="Q482" s="3"/>
    </row>
    <row r="483" customFormat="false" ht="15" hidden="false" customHeight="false" outlineLevel="0" collapsed="false">
      <c r="A483" s="3" t="s">
        <v>319</v>
      </c>
      <c r="B483" s="3" t="s">
        <v>320</v>
      </c>
      <c r="C483" s="3" t="n">
        <v>3</v>
      </c>
      <c r="D483" s="3" t="s">
        <v>1046</v>
      </c>
      <c r="E483" s="3" t="n">
        <v>1562.9</v>
      </c>
      <c r="F483" s="3" t="s">
        <v>1046</v>
      </c>
      <c r="G483" s="3" t="n">
        <v>1562.9</v>
      </c>
      <c r="H483" s="3" t="n">
        <v>1</v>
      </c>
      <c r="I483" s="3" t="s">
        <v>65</v>
      </c>
      <c r="J483" s="3" t="n">
        <v>4.9</v>
      </c>
      <c r="K483" s="3" t="n">
        <v>7.11</v>
      </c>
      <c r="L483" s="3" t="n">
        <v>-4.48</v>
      </c>
      <c r="M483" s="3" t="n">
        <v>12.16</v>
      </c>
      <c r="N483" s="3" t="s">
        <v>2391</v>
      </c>
      <c r="O483" s="3" t="n">
        <v>1634.2</v>
      </c>
      <c r="P483" s="3" t="n">
        <v>4.56</v>
      </c>
      <c r="Q483" s="3"/>
    </row>
    <row r="484" customFormat="false" ht="15" hidden="false" customHeight="false" outlineLevel="0" collapsed="false">
      <c r="A484" s="3" t="s">
        <v>234</v>
      </c>
      <c r="B484" s="3" t="s">
        <v>235</v>
      </c>
      <c r="C484" s="3" t="n">
        <v>1</v>
      </c>
      <c r="D484" s="3" t="s">
        <v>1046</v>
      </c>
      <c r="E484" s="3" t="n">
        <v>383.3</v>
      </c>
      <c r="F484" s="3" t="s">
        <v>1046</v>
      </c>
      <c r="G484" s="3" t="n">
        <v>383.3</v>
      </c>
      <c r="H484" s="3" t="n">
        <v>1</v>
      </c>
      <c r="I484" s="3" t="s">
        <v>65</v>
      </c>
      <c r="J484" s="3" t="n">
        <v>-3.04</v>
      </c>
      <c r="K484" s="3" t="n">
        <v>-0.65</v>
      </c>
      <c r="L484" s="3" t="n">
        <v>-1.54</v>
      </c>
      <c r="M484" s="3" t="n">
        <v>0.52</v>
      </c>
      <c r="N484" s="3" t="s">
        <v>2391</v>
      </c>
      <c r="O484" s="3" t="n">
        <v>401.55</v>
      </c>
      <c r="P484" s="3" t="n">
        <v>4.76</v>
      </c>
      <c r="Q484" s="3"/>
    </row>
    <row r="485" customFormat="false" ht="15" hidden="false" customHeight="false" outlineLevel="0" collapsed="false">
      <c r="A485" s="3" t="s">
        <v>207</v>
      </c>
      <c r="B485" s="3" t="s">
        <v>208</v>
      </c>
      <c r="C485" s="3" t="n">
        <v>4</v>
      </c>
      <c r="D485" s="3" t="s">
        <v>1049</v>
      </c>
      <c r="E485" s="3" t="n">
        <v>1066.5</v>
      </c>
      <c r="F485" s="3" t="s">
        <v>1049</v>
      </c>
      <c r="G485" s="3" t="n">
        <v>1066.5</v>
      </c>
      <c r="H485" s="3" t="n">
        <v>1</v>
      </c>
      <c r="I485" s="3" t="s">
        <v>65</v>
      </c>
      <c r="J485" s="3" t="n">
        <v>0.39</v>
      </c>
      <c r="K485" s="3" t="n">
        <v>4.58</v>
      </c>
      <c r="L485" s="3" t="n">
        <v>2.13</v>
      </c>
      <c r="M485" s="3" t="n">
        <v>8.89</v>
      </c>
      <c r="N485" s="3" t="s">
        <v>2391</v>
      </c>
      <c r="O485" s="3" t="n">
        <v>1045</v>
      </c>
      <c r="P485" s="3" t="n">
        <v>-2.02</v>
      </c>
      <c r="Q485" s="3"/>
    </row>
    <row r="486" customFormat="false" ht="15" hidden="false" customHeight="false" outlineLevel="0" collapsed="false">
      <c r="A486" s="3" t="s">
        <v>210</v>
      </c>
      <c r="B486" s="3" t="s">
        <v>211</v>
      </c>
      <c r="C486" s="3" t="n">
        <v>2</v>
      </c>
      <c r="D486" s="3" t="s">
        <v>1049</v>
      </c>
      <c r="E486" s="3" t="n">
        <v>1770.4</v>
      </c>
      <c r="F486" s="3" t="s">
        <v>1049</v>
      </c>
      <c r="G486" s="3" t="n">
        <v>1770.4</v>
      </c>
      <c r="H486" s="3" t="n">
        <v>1</v>
      </c>
      <c r="I486" s="3" t="s">
        <v>65</v>
      </c>
      <c r="J486" s="3" t="n">
        <v>1.37</v>
      </c>
      <c r="K486" s="3" t="n">
        <v>1.34</v>
      </c>
      <c r="L486" s="3" t="n">
        <v>-1.64</v>
      </c>
      <c r="M486" s="3" t="n">
        <v>8.7</v>
      </c>
      <c r="N486" s="3" t="s">
        <v>2391</v>
      </c>
      <c r="O486" s="3" t="n">
        <v>1752</v>
      </c>
      <c r="P486" s="3" t="n">
        <v>-1.04</v>
      </c>
      <c r="Q486" s="3"/>
    </row>
    <row r="487" customFormat="false" ht="15" hidden="false" customHeight="false" outlineLevel="0" collapsed="false">
      <c r="A487" s="3" t="s">
        <v>260</v>
      </c>
      <c r="B487" s="3" t="s">
        <v>261</v>
      </c>
      <c r="C487" s="3" t="n">
        <v>5</v>
      </c>
      <c r="D487" s="3" t="s">
        <v>1049</v>
      </c>
      <c r="E487" s="3" t="n">
        <v>98.9</v>
      </c>
      <c r="F487" s="3" t="s">
        <v>1049</v>
      </c>
      <c r="G487" s="3" t="n">
        <v>98.9</v>
      </c>
      <c r="H487" s="3" t="n">
        <v>1</v>
      </c>
      <c r="I487" s="3" t="s">
        <v>65</v>
      </c>
      <c r="J487" s="3" t="n">
        <v>-1.95</v>
      </c>
      <c r="K487" s="3" t="n">
        <v>-0.81</v>
      </c>
      <c r="L487" s="3" t="n">
        <v>-0.78</v>
      </c>
      <c r="M487" s="3" t="n">
        <v>8.29</v>
      </c>
      <c r="N487" s="3" t="s">
        <v>2391</v>
      </c>
      <c r="O487" s="3" t="n">
        <v>94.75</v>
      </c>
      <c r="P487" s="3" t="n">
        <v>-4.2</v>
      </c>
      <c r="Q487" s="3"/>
    </row>
    <row r="488" customFormat="false" ht="15" hidden="false" customHeight="false" outlineLevel="0" collapsed="false">
      <c r="A488" s="3" t="s">
        <v>501</v>
      </c>
      <c r="B488" s="3" t="s">
        <v>502</v>
      </c>
      <c r="C488" s="3" t="n">
        <v>3</v>
      </c>
      <c r="D488" s="3" t="s">
        <v>1049</v>
      </c>
      <c r="E488" s="3" t="n">
        <v>5058.3</v>
      </c>
      <c r="F488" s="3" t="s">
        <v>1049</v>
      </c>
      <c r="G488" s="3" t="n">
        <v>5058.3</v>
      </c>
      <c r="H488" s="3" t="n">
        <v>1</v>
      </c>
      <c r="I488" s="3" t="s">
        <v>65</v>
      </c>
      <c r="J488" s="3" t="n">
        <v>-0.79</v>
      </c>
      <c r="K488" s="3" t="n">
        <v>1.22</v>
      </c>
      <c r="L488" s="3" t="n">
        <v>4.02</v>
      </c>
      <c r="M488" s="3" t="n">
        <v>-4.05</v>
      </c>
      <c r="N488" s="3" t="s">
        <v>2391</v>
      </c>
      <c r="O488" s="3" t="n">
        <v>4516</v>
      </c>
      <c r="P488" s="3" t="n">
        <v>-10.72</v>
      </c>
      <c r="Q488" s="3"/>
    </row>
    <row r="489" customFormat="false" ht="15" hidden="false" customHeight="false" outlineLevel="0" collapsed="false">
      <c r="A489" s="3" t="s">
        <v>203</v>
      </c>
      <c r="B489" s="3" t="s">
        <v>204</v>
      </c>
      <c r="C489" s="3" t="n">
        <v>2</v>
      </c>
      <c r="D489" s="3" t="s">
        <v>1049</v>
      </c>
      <c r="E489" s="3" t="n">
        <v>1166.4</v>
      </c>
      <c r="F489" s="3" t="s">
        <v>1049</v>
      </c>
      <c r="G489" s="3" t="n">
        <v>1166.4</v>
      </c>
      <c r="H489" s="3" t="n">
        <v>1</v>
      </c>
      <c r="I489" s="3" t="s">
        <v>65</v>
      </c>
      <c r="J489" s="3" t="n">
        <v>-0.2</v>
      </c>
      <c r="K489" s="3" t="n">
        <v>8.61</v>
      </c>
      <c r="L489" s="3" t="n">
        <v>18.54</v>
      </c>
      <c r="M489" s="3" t="n">
        <v>52.72</v>
      </c>
      <c r="N489" s="3" t="s">
        <v>2391</v>
      </c>
      <c r="O489" s="3" t="n">
        <v>2010.7</v>
      </c>
      <c r="P489" s="3" t="n">
        <v>72.39</v>
      </c>
      <c r="Q489" s="3"/>
    </row>
    <row r="490" customFormat="false" ht="15" hidden="false" customHeight="false" outlineLevel="0" collapsed="false">
      <c r="A490" s="3" t="s">
        <v>284</v>
      </c>
      <c r="B490" s="3" t="s">
        <v>285</v>
      </c>
      <c r="C490" s="3" t="n">
        <v>3</v>
      </c>
      <c r="D490" s="3" t="s">
        <v>1055</v>
      </c>
      <c r="E490" s="3" t="n">
        <v>2417.9</v>
      </c>
      <c r="F490" s="3" t="s">
        <v>1055</v>
      </c>
      <c r="G490" s="3" t="n">
        <v>2417.9</v>
      </c>
      <c r="H490" s="3" t="n">
        <v>1</v>
      </c>
      <c r="I490" s="3" t="s">
        <v>65</v>
      </c>
      <c r="J490" s="3" t="n">
        <v>-1.67</v>
      </c>
      <c r="K490" s="3" t="n">
        <v>-6.65</v>
      </c>
      <c r="L490" s="3" t="n">
        <v>-10.09</v>
      </c>
      <c r="M490" s="3" t="n">
        <v>-9.41</v>
      </c>
      <c r="N490" s="3" t="s">
        <v>2391</v>
      </c>
      <c r="O490" s="3" t="n">
        <v>2325.7</v>
      </c>
      <c r="P490" s="3" t="n">
        <v>-3.81</v>
      </c>
      <c r="Q490" s="3"/>
    </row>
    <row r="491" customFormat="false" ht="15" hidden="false" customHeight="false" outlineLevel="0" collapsed="false">
      <c r="A491" s="3" t="s">
        <v>414</v>
      </c>
      <c r="B491" s="3" t="s">
        <v>415</v>
      </c>
      <c r="C491" s="3" t="n">
        <v>2</v>
      </c>
      <c r="D491" s="3" t="s">
        <v>1055</v>
      </c>
      <c r="E491" s="3" t="n">
        <v>1351.1</v>
      </c>
      <c r="F491" s="3" t="s">
        <v>1055</v>
      </c>
      <c r="G491" s="3" t="n">
        <v>1351.1</v>
      </c>
      <c r="H491" s="3" t="n">
        <v>1</v>
      </c>
      <c r="I491" s="3" t="s">
        <v>65</v>
      </c>
      <c r="J491" s="3" t="n">
        <v>4.63</v>
      </c>
      <c r="K491" s="3" t="n">
        <v>14.59</v>
      </c>
      <c r="L491" s="3" t="n">
        <v>15.32</v>
      </c>
      <c r="M491" s="3" t="n">
        <v>32.74</v>
      </c>
      <c r="N491" s="3" t="s">
        <v>2391</v>
      </c>
      <c r="O491" s="3" t="n">
        <v>1640.6</v>
      </c>
      <c r="P491" s="3" t="n">
        <v>21.43</v>
      </c>
      <c r="Q491" s="3"/>
    </row>
    <row r="492" customFormat="false" ht="15" hidden="false" customHeight="false" outlineLevel="0" collapsed="false">
      <c r="A492" s="3" t="s">
        <v>207</v>
      </c>
      <c r="B492" s="3" t="s">
        <v>208</v>
      </c>
      <c r="C492" s="3" t="n">
        <v>5</v>
      </c>
      <c r="D492" s="3" t="s">
        <v>1058</v>
      </c>
      <c r="E492" s="3" t="n">
        <v>1084.1</v>
      </c>
      <c r="F492" s="3" t="s">
        <v>1058</v>
      </c>
      <c r="G492" s="3" t="n">
        <v>1084.1</v>
      </c>
      <c r="H492" s="3" t="n">
        <v>1</v>
      </c>
      <c r="I492" s="3" t="s">
        <v>65</v>
      </c>
      <c r="J492" s="3" t="n">
        <v>2.55</v>
      </c>
      <c r="K492" s="3" t="n">
        <v>-0.61</v>
      </c>
      <c r="L492" s="3" t="n">
        <v>-1.13</v>
      </c>
      <c r="M492" s="3" t="n">
        <v>4.72</v>
      </c>
      <c r="N492" s="3" t="s">
        <v>2391</v>
      </c>
      <c r="O492" s="3" t="n">
        <v>1045</v>
      </c>
      <c r="P492" s="3" t="n">
        <v>-3.61</v>
      </c>
      <c r="Q492" s="3"/>
    </row>
    <row r="493" customFormat="false" ht="15" hidden="false" customHeight="false" outlineLevel="0" collapsed="false">
      <c r="A493" s="3" t="s">
        <v>513</v>
      </c>
      <c r="B493" s="3" t="s">
        <v>514</v>
      </c>
      <c r="C493" s="3" t="n">
        <v>2</v>
      </c>
      <c r="D493" s="3" t="s">
        <v>1058</v>
      </c>
      <c r="E493" s="3" t="n">
        <v>270.3</v>
      </c>
      <c r="F493" s="3" t="s">
        <v>1058</v>
      </c>
      <c r="G493" s="3" t="n">
        <v>270.3</v>
      </c>
      <c r="H493" s="3" t="n">
        <v>1</v>
      </c>
      <c r="I493" s="3" t="s">
        <v>65</v>
      </c>
      <c r="J493" s="3" t="n">
        <v>0.02</v>
      </c>
      <c r="K493" s="3" t="n">
        <v>-3.2</v>
      </c>
      <c r="L493" s="3" t="n">
        <v>0.37</v>
      </c>
      <c r="M493" s="3" t="n">
        <v>-10.25</v>
      </c>
      <c r="N493" s="3" t="s">
        <v>2391</v>
      </c>
      <c r="O493" s="3" t="n">
        <v>227.5</v>
      </c>
      <c r="P493" s="3" t="n">
        <v>-15.83</v>
      </c>
      <c r="Q493" s="3"/>
    </row>
    <row r="494" customFormat="false" ht="15" hidden="false" customHeight="false" outlineLevel="0" collapsed="false">
      <c r="A494" s="3" t="s">
        <v>399</v>
      </c>
      <c r="B494" s="3" t="s">
        <v>400</v>
      </c>
      <c r="C494" s="3" t="n">
        <v>4</v>
      </c>
      <c r="D494" s="3" t="s">
        <v>1058</v>
      </c>
      <c r="E494" s="3" t="n">
        <v>606.35</v>
      </c>
      <c r="F494" s="3" t="s">
        <v>1074</v>
      </c>
      <c r="G494" s="3" t="n">
        <v>625.4</v>
      </c>
      <c r="H494" s="3" t="n">
        <v>2</v>
      </c>
      <c r="I494" s="3" t="s">
        <v>70</v>
      </c>
      <c r="J494" s="3" t="n">
        <v>3.14</v>
      </c>
      <c r="K494" s="3" t="n">
        <v>-0.59</v>
      </c>
      <c r="L494" s="3" t="n">
        <v>-5.38</v>
      </c>
      <c r="M494" s="3" t="n">
        <v>-9.54</v>
      </c>
      <c r="N494" s="3" t="s">
        <v>2391</v>
      </c>
      <c r="O494" s="3" t="n">
        <v>531.6</v>
      </c>
      <c r="P494" s="3" t="n">
        <v>-12.33</v>
      </c>
      <c r="Q494" s="3"/>
    </row>
    <row r="495" customFormat="false" ht="15" hidden="false" customHeight="false" outlineLevel="0" collapsed="false">
      <c r="A495" s="3" t="s">
        <v>104</v>
      </c>
      <c r="B495" s="3" t="s">
        <v>105</v>
      </c>
      <c r="C495" s="3" t="n">
        <v>3</v>
      </c>
      <c r="D495" s="3" t="s">
        <v>1058</v>
      </c>
      <c r="E495" s="3" t="n">
        <v>399.2</v>
      </c>
      <c r="F495" s="3" t="s">
        <v>1058</v>
      </c>
      <c r="G495" s="3" t="n">
        <v>399.2</v>
      </c>
      <c r="H495" s="3" t="n">
        <v>1</v>
      </c>
      <c r="I495" s="3" t="s">
        <v>65</v>
      </c>
      <c r="J495" s="3" t="n">
        <v>-0.68</v>
      </c>
      <c r="K495" s="3" t="n">
        <v>-2.28</v>
      </c>
      <c r="L495" s="3" t="n">
        <v>-3.06</v>
      </c>
      <c r="M495" s="3" t="n">
        <v>-2.37</v>
      </c>
      <c r="N495" s="3" t="s">
        <v>2391</v>
      </c>
      <c r="O495" s="3" t="n">
        <v>342.45</v>
      </c>
      <c r="P495" s="3" t="n">
        <v>-14.22</v>
      </c>
      <c r="Q495" s="3"/>
    </row>
    <row r="496" customFormat="false" ht="15" hidden="false" customHeight="false" outlineLevel="0" collapsed="false">
      <c r="A496" s="3" t="s">
        <v>1063</v>
      </c>
      <c r="B496" s="3" t="s">
        <v>1064</v>
      </c>
      <c r="C496" s="3" t="n">
        <v>0</v>
      </c>
      <c r="D496" s="3" t="s">
        <v>1058</v>
      </c>
      <c r="E496" s="3" t="n">
        <v>634.6</v>
      </c>
      <c r="F496" s="3" t="s">
        <v>1058</v>
      </c>
      <c r="G496" s="3" t="n">
        <v>634.6</v>
      </c>
      <c r="H496" s="3" t="n">
        <v>1</v>
      </c>
      <c r="I496" s="3" t="s">
        <v>65</v>
      </c>
      <c r="J496" s="3" t="n">
        <v>0.31</v>
      </c>
      <c r="K496" s="3" t="n">
        <v>5.12</v>
      </c>
      <c r="L496" s="3" t="n">
        <v>-4.85</v>
      </c>
      <c r="M496" s="3" t="n">
        <v>-15.03</v>
      </c>
      <c r="N496" s="3" t="s">
        <v>2391</v>
      </c>
      <c r="O496" s="3" t="n">
        <v>573</v>
      </c>
      <c r="P496" s="3" t="n">
        <v>-9.71</v>
      </c>
      <c r="Q496" s="3"/>
    </row>
    <row r="497" customFormat="false" ht="15" hidden="false" customHeight="false" outlineLevel="0" collapsed="false">
      <c r="A497" s="3" t="s">
        <v>187</v>
      </c>
      <c r="B497" s="3" t="s">
        <v>188</v>
      </c>
      <c r="C497" s="3" t="n">
        <v>1</v>
      </c>
      <c r="D497" s="3" t="s">
        <v>1058</v>
      </c>
      <c r="E497" s="3" t="n">
        <v>69.59</v>
      </c>
      <c r="F497" s="3" t="s">
        <v>1058</v>
      </c>
      <c r="G497" s="3" t="n">
        <v>69.59</v>
      </c>
      <c r="H497" s="3" t="n">
        <v>1</v>
      </c>
      <c r="I497" s="3" t="s">
        <v>65</v>
      </c>
      <c r="J497" s="3" t="n">
        <v>1.15</v>
      </c>
      <c r="K497" s="3" t="n">
        <v>-1.85</v>
      </c>
      <c r="L497" s="3" t="n">
        <v>3.69</v>
      </c>
      <c r="M497" s="3" t="n">
        <v>21.68</v>
      </c>
      <c r="N497" s="3" t="s">
        <v>2391</v>
      </c>
      <c r="O497" s="3" t="n">
        <v>80.55</v>
      </c>
      <c r="P497" s="3" t="n">
        <v>15.75</v>
      </c>
      <c r="Q497" s="3"/>
    </row>
    <row r="498" customFormat="false" ht="15" hidden="false" customHeight="false" outlineLevel="0" collapsed="false">
      <c r="A498" s="3" t="s">
        <v>203</v>
      </c>
      <c r="B498" s="3" t="s">
        <v>204</v>
      </c>
      <c r="C498" s="3" t="n">
        <v>3</v>
      </c>
      <c r="D498" s="3" t="s">
        <v>1058</v>
      </c>
      <c r="E498" s="3" t="n">
        <v>1177.6</v>
      </c>
      <c r="F498" s="3" t="s">
        <v>1074</v>
      </c>
      <c r="G498" s="3" t="n">
        <v>1206.5</v>
      </c>
      <c r="H498" s="3" t="n">
        <v>2</v>
      </c>
      <c r="I498" s="3" t="s">
        <v>70</v>
      </c>
      <c r="J498" s="3" t="n">
        <v>2.45</v>
      </c>
      <c r="K498" s="3" t="n">
        <v>8.74</v>
      </c>
      <c r="L498" s="3" t="n">
        <v>21.2</v>
      </c>
      <c r="M498" s="3" t="n">
        <v>54.23</v>
      </c>
      <c r="N498" s="3" t="s">
        <v>2391</v>
      </c>
      <c r="O498" s="3" t="n">
        <v>2010.7</v>
      </c>
      <c r="P498" s="3" t="n">
        <v>70.75</v>
      </c>
      <c r="Q498" s="3"/>
    </row>
    <row r="499" customFormat="false" ht="15" hidden="false" customHeight="false" outlineLevel="0" collapsed="false">
      <c r="A499" s="3" t="s">
        <v>296</v>
      </c>
      <c r="B499" s="3" t="s">
        <v>297</v>
      </c>
      <c r="C499" s="3" t="n">
        <v>4</v>
      </c>
      <c r="D499" s="3" t="s">
        <v>1058</v>
      </c>
      <c r="E499" s="3" t="n">
        <v>2442.9</v>
      </c>
      <c r="F499" s="3" t="s">
        <v>1058</v>
      </c>
      <c r="G499" s="3" t="n">
        <v>2442.9</v>
      </c>
      <c r="H499" s="3" t="n">
        <v>1</v>
      </c>
      <c r="I499" s="3" t="s">
        <v>65</v>
      </c>
      <c r="J499" s="3" t="n">
        <v>0.7</v>
      </c>
      <c r="K499" s="3" t="n">
        <v>-9.3</v>
      </c>
      <c r="L499" s="3" t="n">
        <v>-7.9</v>
      </c>
      <c r="M499" s="3" t="n">
        <v>-1.14</v>
      </c>
      <c r="N499" s="3" t="s">
        <v>2391</v>
      </c>
      <c r="O499" s="3" t="n">
        <v>2062</v>
      </c>
      <c r="P499" s="3" t="n">
        <v>-15.59</v>
      </c>
      <c r="Q499" s="3"/>
    </row>
    <row r="500" customFormat="false" ht="15" hidden="false" customHeight="false" outlineLevel="0" collapsed="false">
      <c r="A500" s="3" t="s">
        <v>859</v>
      </c>
      <c r="B500" s="3" t="s">
        <v>860</v>
      </c>
      <c r="C500" s="3" t="n">
        <v>2</v>
      </c>
      <c r="D500" s="3" t="s">
        <v>1058</v>
      </c>
      <c r="E500" s="3" t="n">
        <v>8415.5</v>
      </c>
      <c r="F500" s="3" t="s">
        <v>1058</v>
      </c>
      <c r="G500" s="3" t="n">
        <v>8415.5</v>
      </c>
      <c r="H500" s="3" t="n">
        <v>1</v>
      </c>
      <c r="I500" s="3" t="s">
        <v>65</v>
      </c>
      <c r="J500" s="3" t="n">
        <v>6.98</v>
      </c>
      <c r="K500" s="3" t="n">
        <v>5.61</v>
      </c>
      <c r="L500" s="3" t="n">
        <v>15.47</v>
      </c>
      <c r="M500" s="3" t="n">
        <v>8.21</v>
      </c>
      <c r="N500" s="3" t="s">
        <v>2391</v>
      </c>
      <c r="O500" s="3" t="n">
        <v>8191</v>
      </c>
      <c r="P500" s="3" t="n">
        <v>-2.67</v>
      </c>
      <c r="Q500" s="3"/>
    </row>
    <row r="501" customFormat="false" ht="15" hidden="false" customHeight="false" outlineLevel="0" collapsed="false">
      <c r="A501" s="3" t="s">
        <v>1070</v>
      </c>
      <c r="B501" s="3" t="s">
        <v>1071</v>
      </c>
      <c r="C501" s="3" t="n">
        <v>0</v>
      </c>
      <c r="D501" s="3" t="s">
        <v>1058</v>
      </c>
      <c r="E501" s="3" t="n">
        <v>649.65</v>
      </c>
      <c r="F501" s="3" t="s">
        <v>1058</v>
      </c>
      <c r="G501" s="3" t="n">
        <v>649.65</v>
      </c>
      <c r="H501" s="3" t="n">
        <v>1</v>
      </c>
      <c r="I501" s="3" t="s">
        <v>65</v>
      </c>
      <c r="J501" s="3" t="n">
        <v>-0.23</v>
      </c>
      <c r="K501" s="3" t="n">
        <v>-2.39</v>
      </c>
      <c r="L501" s="3" t="n">
        <v>-9.26</v>
      </c>
      <c r="M501" s="3" t="n">
        <v>1.62</v>
      </c>
      <c r="N501" s="3" t="s">
        <v>2391</v>
      </c>
      <c r="O501" s="3" t="n">
        <v>591</v>
      </c>
      <c r="P501" s="3" t="n">
        <v>-9.03</v>
      </c>
      <c r="Q501" s="3"/>
    </row>
    <row r="502" customFormat="false" ht="15" hidden="false" customHeight="false" outlineLevel="0" collapsed="false">
      <c r="A502" s="3" t="s">
        <v>422</v>
      </c>
      <c r="B502" s="3" t="s">
        <v>423</v>
      </c>
      <c r="C502" s="3" t="n">
        <v>2</v>
      </c>
      <c r="D502" s="3" t="s">
        <v>1058</v>
      </c>
      <c r="E502" s="3" t="n">
        <v>24975</v>
      </c>
      <c r="F502" s="3" t="s">
        <v>1058</v>
      </c>
      <c r="G502" s="3" t="n">
        <v>24975</v>
      </c>
      <c r="H502" s="3" t="n">
        <v>1</v>
      </c>
      <c r="I502" s="3" t="s">
        <v>65</v>
      </c>
      <c r="J502" s="3" t="n">
        <v>2.48</v>
      </c>
      <c r="K502" s="3" t="n">
        <v>0.08</v>
      </c>
      <c r="L502" s="3" t="n">
        <v>-1.96</v>
      </c>
      <c r="M502" s="3" t="n">
        <v>4.32</v>
      </c>
      <c r="N502" s="3" t="s">
        <v>2391</v>
      </c>
      <c r="O502" s="3" t="n">
        <v>22170</v>
      </c>
      <c r="P502" s="3" t="n">
        <v>-11.23</v>
      </c>
      <c r="Q502" s="3"/>
    </row>
    <row r="503" customFormat="false" ht="15" hidden="false" customHeight="false" outlineLevel="0" collapsed="false">
      <c r="A503" s="3" t="s">
        <v>260</v>
      </c>
      <c r="B503" s="3" t="s">
        <v>261</v>
      </c>
      <c r="C503" s="3" t="n">
        <v>6</v>
      </c>
      <c r="D503" s="3" t="s">
        <v>1074</v>
      </c>
      <c r="E503" s="3" t="n">
        <v>100.66</v>
      </c>
      <c r="F503" s="3" t="s">
        <v>1074</v>
      </c>
      <c r="G503" s="3" t="n">
        <v>100.66</v>
      </c>
      <c r="H503" s="3" t="n">
        <v>1</v>
      </c>
      <c r="I503" s="3" t="s">
        <v>65</v>
      </c>
      <c r="J503" s="3" t="n">
        <v>0.66</v>
      </c>
      <c r="K503" s="3" t="n">
        <v>-3.84</v>
      </c>
      <c r="L503" s="3" t="n">
        <v>1.36</v>
      </c>
      <c r="M503" s="3" t="n">
        <v>4.86</v>
      </c>
      <c r="N503" s="3" t="s">
        <v>2391</v>
      </c>
      <c r="O503" s="3" t="n">
        <v>94.75</v>
      </c>
      <c r="P503" s="3" t="n">
        <v>-5.87</v>
      </c>
      <c r="Q503" s="3"/>
    </row>
    <row r="504" customFormat="false" ht="15" hidden="false" customHeight="false" outlineLevel="0" collapsed="false">
      <c r="A504" s="3" t="s">
        <v>480</v>
      </c>
      <c r="B504" s="3" t="s">
        <v>481</v>
      </c>
      <c r="C504" s="3" t="n">
        <v>1</v>
      </c>
      <c r="D504" s="3" t="s">
        <v>1074</v>
      </c>
      <c r="E504" s="3" t="n">
        <v>13770</v>
      </c>
      <c r="F504" s="3" t="s">
        <v>1074</v>
      </c>
      <c r="G504" s="3" t="n">
        <v>13770</v>
      </c>
      <c r="H504" s="3" t="n">
        <v>1</v>
      </c>
      <c r="I504" s="3" t="s">
        <v>65</v>
      </c>
      <c r="J504" s="3" t="n">
        <v>-0.32</v>
      </c>
      <c r="K504" s="3" t="n">
        <v>-5.05</v>
      </c>
      <c r="L504" s="3" t="n">
        <v>-5.23</v>
      </c>
      <c r="M504" s="3" t="n">
        <v>2.76</v>
      </c>
      <c r="N504" s="3" t="s">
        <v>2391</v>
      </c>
      <c r="O504" s="3" t="n">
        <v>12008</v>
      </c>
      <c r="P504" s="3" t="n">
        <v>-12.8</v>
      </c>
      <c r="Q504" s="3"/>
    </row>
    <row r="505" customFormat="false" ht="15" hidden="false" customHeight="false" outlineLevel="0" collapsed="false">
      <c r="A505" s="3" t="s">
        <v>414</v>
      </c>
      <c r="B505" s="3" t="s">
        <v>415</v>
      </c>
      <c r="C505" s="3" t="n">
        <v>3</v>
      </c>
      <c r="D505" s="3" t="s">
        <v>1074</v>
      </c>
      <c r="E505" s="3" t="n">
        <v>1474.5</v>
      </c>
      <c r="F505" s="3" t="s">
        <v>1074</v>
      </c>
      <c r="G505" s="3" t="n">
        <v>1474.5</v>
      </c>
      <c r="H505" s="3" t="n">
        <v>1</v>
      </c>
      <c r="I505" s="3" t="s">
        <v>65</v>
      </c>
      <c r="J505" s="3" t="n">
        <v>10.65</v>
      </c>
      <c r="K505" s="3" t="n">
        <v>0.23</v>
      </c>
      <c r="L505" s="3" t="n">
        <v>6.78</v>
      </c>
      <c r="M505" s="3" t="n">
        <v>19.75</v>
      </c>
      <c r="N505" s="3" t="s">
        <v>2391</v>
      </c>
      <c r="O505" s="3" t="n">
        <v>1640.6</v>
      </c>
      <c r="P505" s="3" t="n">
        <v>11.26</v>
      </c>
      <c r="Q505" s="3"/>
    </row>
    <row r="506" customFormat="false" ht="15" hidden="false" customHeight="false" outlineLevel="0" collapsed="false">
      <c r="A506" s="3" t="s">
        <v>164</v>
      </c>
      <c r="B506" s="3" t="s">
        <v>165</v>
      </c>
      <c r="C506" s="3" t="n">
        <v>5</v>
      </c>
      <c r="D506" s="3" t="s">
        <v>1074</v>
      </c>
      <c r="E506" s="3" t="n">
        <v>1450.4</v>
      </c>
      <c r="F506" s="3" t="s">
        <v>1074</v>
      </c>
      <c r="G506" s="3" t="n">
        <v>1450.4</v>
      </c>
      <c r="H506" s="3" t="n">
        <v>1</v>
      </c>
      <c r="I506" s="3" t="s">
        <v>65</v>
      </c>
      <c r="J506" s="3" t="n">
        <v>1.77</v>
      </c>
      <c r="K506" s="3" t="n">
        <v>2.3</v>
      </c>
      <c r="L506" s="3" t="n">
        <v>1.81</v>
      </c>
      <c r="M506" s="3" t="n">
        <v>13.24</v>
      </c>
      <c r="N506" s="3" t="s">
        <v>2391</v>
      </c>
      <c r="O506" s="3" t="n">
        <v>1503</v>
      </c>
      <c r="P506" s="3" t="n">
        <v>3.63</v>
      </c>
      <c r="Q506" s="3"/>
    </row>
    <row r="507" customFormat="false" ht="15" hidden="false" customHeight="false" outlineLevel="0" collapsed="false">
      <c r="A507" s="3" t="s">
        <v>71</v>
      </c>
      <c r="B507" s="3" t="s">
        <v>72</v>
      </c>
      <c r="C507" s="3" t="n">
        <v>1</v>
      </c>
      <c r="D507" s="3" t="s">
        <v>1081</v>
      </c>
      <c r="E507" s="3" t="n">
        <v>952.35</v>
      </c>
      <c r="F507" s="3" t="s">
        <v>1081</v>
      </c>
      <c r="G507" s="3" t="n">
        <v>952.35</v>
      </c>
      <c r="H507" s="3" t="n">
        <v>1</v>
      </c>
      <c r="I507" s="3" t="s">
        <v>65</v>
      </c>
      <c r="J507" s="3" t="n">
        <v>2.29</v>
      </c>
      <c r="K507" s="3" t="n">
        <v>1.19</v>
      </c>
      <c r="L507" s="3" t="n">
        <v>3.86</v>
      </c>
      <c r="M507" s="3" t="n">
        <v>-2.05</v>
      </c>
      <c r="N507" s="3" t="s">
        <v>2391</v>
      </c>
      <c r="O507" s="3" t="n">
        <v>830.75</v>
      </c>
      <c r="P507" s="3" t="n">
        <v>-12.77</v>
      </c>
      <c r="Q507" s="3"/>
    </row>
    <row r="508" customFormat="false" ht="15" hidden="false" customHeight="false" outlineLevel="0" collapsed="false">
      <c r="A508" s="3" t="s">
        <v>142</v>
      </c>
      <c r="B508" s="3" t="s">
        <v>143</v>
      </c>
      <c r="C508" s="3" t="n">
        <v>5</v>
      </c>
      <c r="D508" s="3" t="s">
        <v>1081</v>
      </c>
      <c r="E508" s="3" t="n">
        <v>1176.2</v>
      </c>
      <c r="F508" s="3" t="s">
        <v>1081</v>
      </c>
      <c r="G508" s="3" t="n">
        <v>1176.2</v>
      </c>
      <c r="H508" s="3" t="n">
        <v>1</v>
      </c>
      <c r="I508" s="3" t="s">
        <v>65</v>
      </c>
      <c r="J508" s="3" t="n">
        <v>8.06</v>
      </c>
      <c r="K508" s="3" t="n">
        <v>4.91</v>
      </c>
      <c r="L508" s="3" t="n">
        <v>-5.88</v>
      </c>
      <c r="M508" s="3" t="n">
        <v>-7.16</v>
      </c>
      <c r="N508" s="3" t="s">
        <v>2391</v>
      </c>
      <c r="O508" s="3" t="n">
        <v>960</v>
      </c>
      <c r="P508" s="3" t="n">
        <v>-18.38</v>
      </c>
      <c r="Q508" s="3"/>
    </row>
    <row r="509" customFormat="false" ht="15" hidden="false" customHeight="false" outlineLevel="0" collapsed="false">
      <c r="A509" s="3" t="s">
        <v>199</v>
      </c>
      <c r="B509" s="3" t="s">
        <v>200</v>
      </c>
      <c r="C509" s="3" t="n">
        <v>7</v>
      </c>
      <c r="D509" s="3" t="s">
        <v>1084</v>
      </c>
      <c r="E509" s="3" t="n">
        <v>390.45</v>
      </c>
      <c r="F509" s="3" t="s">
        <v>1084</v>
      </c>
      <c r="G509" s="3" t="n">
        <v>390.45</v>
      </c>
      <c r="H509" s="3" t="n">
        <v>1</v>
      </c>
      <c r="I509" s="3" t="s">
        <v>65</v>
      </c>
      <c r="J509" s="3" t="n">
        <v>3.07</v>
      </c>
      <c r="K509" s="3" t="n">
        <v>9.17</v>
      </c>
      <c r="L509" s="3" t="n">
        <v>6.63</v>
      </c>
      <c r="M509" s="3" t="n">
        <v>8.9</v>
      </c>
      <c r="N509" s="3" t="s">
        <v>2391</v>
      </c>
      <c r="O509" s="3" t="n">
        <v>374.9</v>
      </c>
      <c r="P509" s="3" t="n">
        <v>-3.98</v>
      </c>
      <c r="Q509" s="3"/>
    </row>
    <row r="510" customFormat="false" ht="15" hidden="false" customHeight="false" outlineLevel="0" collapsed="false">
      <c r="A510" s="3" t="s">
        <v>139</v>
      </c>
      <c r="B510" s="3" t="s">
        <v>140</v>
      </c>
      <c r="C510" s="3" t="n">
        <v>5</v>
      </c>
      <c r="D510" s="3" t="s">
        <v>1084</v>
      </c>
      <c r="E510" s="3" t="n">
        <v>2468.8</v>
      </c>
      <c r="F510" s="3" t="s">
        <v>1084</v>
      </c>
      <c r="G510" s="3" t="n">
        <v>2468.8</v>
      </c>
      <c r="H510" s="3" t="n">
        <v>1</v>
      </c>
      <c r="I510" s="3" t="s">
        <v>65</v>
      </c>
      <c r="J510" s="3" t="n">
        <v>-3.64</v>
      </c>
      <c r="K510" s="3" t="n">
        <v>1.09</v>
      </c>
      <c r="L510" s="3" t="n">
        <v>-3.15</v>
      </c>
      <c r="M510" s="3" t="n">
        <v>-1.34</v>
      </c>
      <c r="N510" s="3" t="s">
        <v>2391</v>
      </c>
      <c r="O510" s="3" t="n">
        <v>2435.6</v>
      </c>
      <c r="P510" s="3" t="n">
        <v>-1.34</v>
      </c>
      <c r="Q510" s="3"/>
    </row>
    <row r="511" customFormat="false" ht="15" hidden="false" customHeight="false" outlineLevel="0" collapsed="false">
      <c r="A511" s="3" t="s">
        <v>453</v>
      </c>
      <c r="B511" s="3" t="s">
        <v>454</v>
      </c>
      <c r="C511" s="3" t="n">
        <v>5</v>
      </c>
      <c r="D511" s="3" t="s">
        <v>1084</v>
      </c>
      <c r="E511" s="3" t="n">
        <v>593.55</v>
      </c>
      <c r="F511" s="3" t="s">
        <v>1084</v>
      </c>
      <c r="G511" s="3" t="n">
        <v>593.55</v>
      </c>
      <c r="H511" s="3" t="n">
        <v>1</v>
      </c>
      <c r="I511" s="3" t="s">
        <v>65</v>
      </c>
      <c r="J511" s="3" t="n">
        <v>-1.59</v>
      </c>
      <c r="K511" s="3" t="n">
        <v>-4.38</v>
      </c>
      <c r="L511" s="3" t="n">
        <v>1.4</v>
      </c>
      <c r="M511" s="3" t="n">
        <v>37.24</v>
      </c>
      <c r="N511" s="3" t="s">
        <v>2391</v>
      </c>
      <c r="O511" s="3" t="n">
        <v>807.9</v>
      </c>
      <c r="P511" s="3" t="n">
        <v>36.11</v>
      </c>
      <c r="Q511" s="3"/>
    </row>
    <row r="512" customFormat="false" ht="15" hidden="false" customHeight="false" outlineLevel="0" collapsed="false">
      <c r="A512" s="3" t="s">
        <v>126</v>
      </c>
      <c r="B512" s="3" t="s">
        <v>127</v>
      </c>
      <c r="C512" s="3" t="n">
        <v>2</v>
      </c>
      <c r="D512" s="3" t="s">
        <v>1088</v>
      </c>
      <c r="E512" s="3" t="n">
        <v>305.05</v>
      </c>
      <c r="F512" s="3" t="s">
        <v>1088</v>
      </c>
      <c r="G512" s="3" t="n">
        <v>305.05</v>
      </c>
      <c r="H512" s="3" t="n">
        <v>1</v>
      </c>
      <c r="I512" s="3" t="s">
        <v>65</v>
      </c>
      <c r="J512" s="3" t="n">
        <v>6</v>
      </c>
      <c r="K512" s="3" t="n">
        <v>10.69</v>
      </c>
      <c r="L512" s="3" t="n">
        <v>-1.88</v>
      </c>
      <c r="M512" s="3" t="n">
        <v>-9.85</v>
      </c>
      <c r="N512" s="3" t="s">
        <v>2391</v>
      </c>
      <c r="O512" s="3" t="n">
        <v>259</v>
      </c>
      <c r="P512" s="3" t="n">
        <v>-15.1</v>
      </c>
      <c r="Q512" s="3"/>
    </row>
    <row r="513" customFormat="false" ht="15" hidden="false" customHeight="false" outlineLevel="0" collapsed="false">
      <c r="A513" s="3" t="s">
        <v>380</v>
      </c>
      <c r="B513" s="3" t="s">
        <v>381</v>
      </c>
      <c r="C513" s="3" t="n">
        <v>4</v>
      </c>
      <c r="D513" s="3" t="s">
        <v>1090</v>
      </c>
      <c r="E513" s="3" t="n">
        <v>1497.5</v>
      </c>
      <c r="F513" s="3" t="s">
        <v>1090</v>
      </c>
      <c r="G513" s="3" t="n">
        <v>1497.5</v>
      </c>
      <c r="H513" s="3" t="n">
        <v>1</v>
      </c>
      <c r="I513" s="3" t="s">
        <v>65</v>
      </c>
      <c r="J513" s="3" t="n">
        <v>0.89</v>
      </c>
      <c r="K513" s="3" t="n">
        <v>1.34</v>
      </c>
      <c r="L513" s="3" t="n">
        <v>-2.23</v>
      </c>
      <c r="M513" s="3" t="n">
        <v>10.72</v>
      </c>
      <c r="N513" s="3" t="s">
        <v>2391</v>
      </c>
      <c r="O513" s="3" t="n">
        <v>1697.5</v>
      </c>
      <c r="P513" s="3" t="n">
        <v>13.36</v>
      </c>
      <c r="Q513" s="3"/>
    </row>
    <row r="514" customFormat="false" ht="15" hidden="false" customHeight="false" outlineLevel="0" collapsed="false">
      <c r="A514" s="3" t="s">
        <v>66</v>
      </c>
      <c r="B514" s="3" t="s">
        <v>67</v>
      </c>
      <c r="C514" s="3" t="n">
        <v>3</v>
      </c>
      <c r="D514" s="3" t="s">
        <v>1090</v>
      </c>
      <c r="E514" s="3" t="n">
        <v>6796</v>
      </c>
      <c r="F514" s="3" t="s">
        <v>1090</v>
      </c>
      <c r="G514" s="3" t="n">
        <v>6796</v>
      </c>
      <c r="H514" s="3" t="n">
        <v>1</v>
      </c>
      <c r="I514" s="3" t="s">
        <v>65</v>
      </c>
      <c r="J514" s="3" t="n">
        <v>1.85</v>
      </c>
      <c r="K514" s="3" t="n">
        <v>1.43</v>
      </c>
      <c r="L514" s="3" t="n">
        <v>-2.07</v>
      </c>
      <c r="M514" s="3" t="n">
        <v>21.76</v>
      </c>
      <c r="N514" s="3" t="s">
        <v>2391</v>
      </c>
      <c r="O514" s="3" t="n">
        <v>9550</v>
      </c>
      <c r="P514" s="3" t="n">
        <v>40.52</v>
      </c>
      <c r="Q514" s="3"/>
    </row>
    <row r="515" customFormat="false" ht="15" hidden="false" customHeight="false" outlineLevel="0" collapsed="false">
      <c r="A515" s="3" t="s">
        <v>562</v>
      </c>
      <c r="B515" s="3" t="s">
        <v>563</v>
      </c>
      <c r="C515" s="3" t="n">
        <v>3</v>
      </c>
      <c r="D515" s="3" t="s">
        <v>1090</v>
      </c>
      <c r="E515" s="3" t="n">
        <v>2945.6</v>
      </c>
      <c r="F515" s="3" t="s">
        <v>1090</v>
      </c>
      <c r="G515" s="3" t="n">
        <v>2945.6</v>
      </c>
      <c r="H515" s="3" t="n">
        <v>1</v>
      </c>
      <c r="I515" s="3" t="s">
        <v>65</v>
      </c>
      <c r="J515" s="3" t="n">
        <v>-0.23</v>
      </c>
      <c r="K515" s="3" t="n">
        <v>0.87</v>
      </c>
      <c r="L515" s="3" t="n">
        <v>4.89</v>
      </c>
      <c r="M515" s="3" t="n">
        <v>12.81</v>
      </c>
      <c r="N515" s="3" t="s">
        <v>2391</v>
      </c>
      <c r="O515" s="3" t="n">
        <v>3150</v>
      </c>
      <c r="P515" s="3" t="n">
        <v>6.94</v>
      </c>
      <c r="Q515" s="3"/>
    </row>
    <row r="516" customFormat="false" ht="15" hidden="false" customHeight="false" outlineLevel="0" collapsed="false">
      <c r="A516" s="3" t="s">
        <v>403</v>
      </c>
      <c r="B516" s="3" t="s">
        <v>404</v>
      </c>
      <c r="C516" s="3" t="n">
        <v>3</v>
      </c>
      <c r="D516" s="3" t="s">
        <v>1090</v>
      </c>
      <c r="E516" s="3" t="n">
        <v>585.65</v>
      </c>
      <c r="F516" s="3" t="s">
        <v>1090</v>
      </c>
      <c r="G516" s="3" t="n">
        <v>585.65</v>
      </c>
      <c r="H516" s="3" t="n">
        <v>1</v>
      </c>
      <c r="I516" s="3" t="s">
        <v>65</v>
      </c>
      <c r="J516" s="3" t="n">
        <v>-4.31</v>
      </c>
      <c r="K516" s="3" t="n">
        <v>-6.63</v>
      </c>
      <c r="L516" s="3" t="n">
        <v>-8.49</v>
      </c>
      <c r="M516" s="3" t="n">
        <v>-13.9</v>
      </c>
      <c r="N516" s="3" t="s">
        <v>2391</v>
      </c>
      <c r="O516" s="3" t="n">
        <v>564.15</v>
      </c>
      <c r="P516" s="3" t="n">
        <v>-3.67</v>
      </c>
      <c r="Q516" s="3"/>
    </row>
    <row r="517" customFormat="false" ht="15" hidden="false" customHeight="false" outlineLevel="0" collapsed="false">
      <c r="A517" s="3" t="s">
        <v>541</v>
      </c>
      <c r="B517" s="3" t="s">
        <v>542</v>
      </c>
      <c r="C517" s="3" t="n">
        <v>2</v>
      </c>
      <c r="D517" s="3" t="s">
        <v>1090</v>
      </c>
      <c r="E517" s="3" t="n">
        <v>3506.4</v>
      </c>
      <c r="F517" s="3" t="s">
        <v>1090</v>
      </c>
      <c r="G517" s="3" t="n">
        <v>3506.4</v>
      </c>
      <c r="H517" s="3" t="n">
        <v>1</v>
      </c>
      <c r="I517" s="3" t="s">
        <v>65</v>
      </c>
      <c r="J517" s="3" t="n">
        <v>0.7</v>
      </c>
      <c r="K517" s="3" t="n">
        <v>-5.62</v>
      </c>
      <c r="L517" s="3" t="n">
        <v>-17.58</v>
      </c>
      <c r="M517" s="3" t="n">
        <v>-17.58</v>
      </c>
      <c r="N517" s="3" t="s">
        <v>2391</v>
      </c>
      <c r="O517" s="3" t="n">
        <v>2760</v>
      </c>
      <c r="P517" s="3" t="n">
        <v>-21.29</v>
      </c>
      <c r="Q517" s="3"/>
    </row>
    <row r="518" customFormat="false" ht="15" hidden="false" customHeight="false" outlineLevel="0" collapsed="false">
      <c r="A518" s="3" t="s">
        <v>114</v>
      </c>
      <c r="B518" s="3" t="s">
        <v>115</v>
      </c>
      <c r="C518" s="3" t="n">
        <v>5</v>
      </c>
      <c r="D518" s="3" t="s">
        <v>1090</v>
      </c>
      <c r="E518" s="3" t="n">
        <v>91.11</v>
      </c>
      <c r="F518" s="3" t="s">
        <v>1090</v>
      </c>
      <c r="G518" s="3" t="n">
        <v>91.11</v>
      </c>
      <c r="H518" s="3" t="n">
        <v>1</v>
      </c>
      <c r="I518" s="3" t="s">
        <v>65</v>
      </c>
      <c r="J518" s="3" t="n">
        <v>2.3</v>
      </c>
      <c r="K518" s="3" t="n">
        <v>-2.89</v>
      </c>
      <c r="L518" s="3" t="n">
        <v>-2.9</v>
      </c>
      <c r="M518" s="3" t="n">
        <v>-6.79</v>
      </c>
      <c r="N518" s="3" t="s">
        <v>2391</v>
      </c>
      <c r="O518" s="3" t="n">
        <v>77.43</v>
      </c>
      <c r="P518" s="3" t="n">
        <v>-15.01</v>
      </c>
      <c r="Q518" s="3"/>
    </row>
    <row r="519" customFormat="false" ht="15" hidden="false" customHeight="false" outlineLevel="0" collapsed="false">
      <c r="A519" s="3" t="s">
        <v>275</v>
      </c>
      <c r="B519" s="3" t="s">
        <v>276</v>
      </c>
      <c r="C519" s="3" t="n">
        <v>4</v>
      </c>
      <c r="D519" s="3" t="s">
        <v>1090</v>
      </c>
      <c r="E519" s="3" t="n">
        <v>446.65</v>
      </c>
      <c r="F519" s="3" t="s">
        <v>1090</v>
      </c>
      <c r="G519" s="3" t="n">
        <v>446.65</v>
      </c>
      <c r="H519" s="3" t="n">
        <v>1</v>
      </c>
      <c r="I519" s="3" t="s">
        <v>65</v>
      </c>
      <c r="J519" s="3" t="n">
        <v>0.74</v>
      </c>
      <c r="K519" s="3" t="n">
        <v>4.59</v>
      </c>
      <c r="L519" s="3" t="n">
        <v>-6.17</v>
      </c>
      <c r="M519" s="3" t="n">
        <v>-19.96</v>
      </c>
      <c r="N519" s="3" t="s">
        <v>2391</v>
      </c>
      <c r="O519" s="3" t="n">
        <v>390.8</v>
      </c>
      <c r="P519" s="3" t="n">
        <v>-12.5</v>
      </c>
      <c r="Q519" s="3"/>
    </row>
    <row r="520" customFormat="false" ht="15" hidden="false" customHeight="false" outlineLevel="0" collapsed="false">
      <c r="A520" s="3" t="s">
        <v>199</v>
      </c>
      <c r="B520" s="3" t="s">
        <v>200</v>
      </c>
      <c r="C520" s="3" t="n">
        <v>8</v>
      </c>
      <c r="D520" s="3" t="s">
        <v>1098</v>
      </c>
      <c r="E520" s="3" t="n">
        <v>419</v>
      </c>
      <c r="F520" s="3" t="s">
        <v>1098</v>
      </c>
      <c r="G520" s="3" t="n">
        <v>419</v>
      </c>
      <c r="H520" s="3" t="n">
        <v>1</v>
      </c>
      <c r="I520" s="3" t="s">
        <v>65</v>
      </c>
      <c r="J520" s="3" t="n">
        <v>2.65</v>
      </c>
      <c r="K520" s="3" t="n">
        <v>2.83</v>
      </c>
      <c r="L520" s="3" t="n">
        <v>0</v>
      </c>
      <c r="M520" s="3" t="n">
        <v>1.69</v>
      </c>
      <c r="N520" s="3" t="s">
        <v>2391</v>
      </c>
      <c r="O520" s="3" t="n">
        <v>374.9</v>
      </c>
      <c r="P520" s="3" t="n">
        <v>-10.53</v>
      </c>
      <c r="Q520" s="3"/>
    </row>
    <row r="521" customFormat="false" ht="15" hidden="false" customHeight="false" outlineLevel="0" collapsed="false">
      <c r="A521" s="3" t="s">
        <v>187</v>
      </c>
      <c r="B521" s="3" t="s">
        <v>188</v>
      </c>
      <c r="C521" s="3" t="n">
        <v>2</v>
      </c>
      <c r="D521" s="3" t="s">
        <v>1098</v>
      </c>
      <c r="E521" s="3" t="n">
        <v>68.54</v>
      </c>
      <c r="F521" s="3" t="s">
        <v>1098</v>
      </c>
      <c r="G521" s="3" t="n">
        <v>68.54</v>
      </c>
      <c r="H521" s="3" t="n">
        <v>1</v>
      </c>
      <c r="I521" s="3" t="s">
        <v>65</v>
      </c>
      <c r="J521" s="3" t="n">
        <v>-1.3</v>
      </c>
      <c r="K521" s="3" t="n">
        <v>-0.35</v>
      </c>
      <c r="L521" s="3" t="n">
        <v>11.61</v>
      </c>
      <c r="M521" s="3" t="n">
        <v>24.16</v>
      </c>
      <c r="N521" s="3" t="s">
        <v>2391</v>
      </c>
      <c r="O521" s="3" t="n">
        <v>80.55</v>
      </c>
      <c r="P521" s="3" t="n">
        <v>17.52</v>
      </c>
      <c r="Q521" s="3"/>
    </row>
    <row r="522" customFormat="false" ht="15" hidden="false" customHeight="false" outlineLevel="0" collapsed="false">
      <c r="A522" s="3" t="s">
        <v>765</v>
      </c>
      <c r="B522" s="3" t="s">
        <v>766</v>
      </c>
      <c r="C522" s="3" t="n">
        <v>2</v>
      </c>
      <c r="D522" s="3" t="s">
        <v>1098</v>
      </c>
      <c r="E522" s="3" t="n">
        <v>273</v>
      </c>
      <c r="F522" s="3" t="s">
        <v>1098</v>
      </c>
      <c r="G522" s="3" t="n">
        <v>273</v>
      </c>
      <c r="H522" s="3" t="n">
        <v>1</v>
      </c>
      <c r="I522" s="3" t="s">
        <v>65</v>
      </c>
      <c r="J522" s="3" t="n">
        <v>-0.22</v>
      </c>
      <c r="K522" s="3" t="n">
        <v>0.55</v>
      </c>
      <c r="L522" s="3" t="n">
        <v>0.18</v>
      </c>
      <c r="M522" s="3" t="n">
        <v>18.57</v>
      </c>
      <c r="N522" s="3" t="s">
        <v>2391</v>
      </c>
      <c r="O522" s="3" t="n">
        <v>325.5</v>
      </c>
      <c r="P522" s="3" t="n">
        <v>19.23</v>
      </c>
      <c r="Q522" s="3"/>
    </row>
    <row r="523" customFormat="false" ht="15" hidden="false" customHeight="false" outlineLevel="0" collapsed="false">
      <c r="A523" s="3" t="s">
        <v>96</v>
      </c>
      <c r="B523" s="3" t="s">
        <v>97</v>
      </c>
      <c r="C523" s="3" t="n">
        <v>9</v>
      </c>
      <c r="D523" s="3" t="s">
        <v>1102</v>
      </c>
      <c r="E523" s="3" t="n">
        <v>475.75</v>
      </c>
      <c r="F523" s="3" t="s">
        <v>1102</v>
      </c>
      <c r="G523" s="3" t="n">
        <v>475.75</v>
      </c>
      <c r="H523" s="3" t="n">
        <v>1</v>
      </c>
      <c r="I523" s="3" t="s">
        <v>65</v>
      </c>
      <c r="J523" s="3" t="n">
        <v>-4.2</v>
      </c>
      <c r="K523" s="3" t="n">
        <v>-5.92</v>
      </c>
      <c r="L523" s="3" t="n">
        <v>-4.67</v>
      </c>
      <c r="M523" s="3" t="n">
        <v>-0.48</v>
      </c>
      <c r="N523" s="3" t="s">
        <v>2391</v>
      </c>
      <c r="O523" s="3" t="n">
        <v>407.5</v>
      </c>
      <c r="P523" s="3" t="n">
        <v>-14.35</v>
      </c>
      <c r="Q523" s="3"/>
    </row>
    <row r="524" customFormat="false" ht="15" hidden="false" customHeight="false" outlineLevel="0" collapsed="false">
      <c r="A524" s="3" t="s">
        <v>139</v>
      </c>
      <c r="B524" s="3" t="s">
        <v>140</v>
      </c>
      <c r="C524" s="3" t="n">
        <v>6</v>
      </c>
      <c r="D524" s="3" t="s">
        <v>1102</v>
      </c>
      <c r="E524" s="3" t="n">
        <v>2503</v>
      </c>
      <c r="F524" s="3" t="s">
        <v>1102</v>
      </c>
      <c r="G524" s="3" t="n">
        <v>2503</v>
      </c>
      <c r="H524" s="3" t="n">
        <v>1</v>
      </c>
      <c r="I524" s="3" t="s">
        <v>65</v>
      </c>
      <c r="J524" s="3" t="n">
        <v>-0.29</v>
      </c>
      <c r="K524" s="3" t="n">
        <v>-0.94</v>
      </c>
      <c r="L524" s="3" t="n">
        <v>-4.9</v>
      </c>
      <c r="M524" s="3" t="n">
        <v>-3.12</v>
      </c>
      <c r="N524" s="3" t="s">
        <v>2391</v>
      </c>
      <c r="O524" s="3" t="n">
        <v>2435.6</v>
      </c>
      <c r="P524" s="3" t="n">
        <v>-2.69</v>
      </c>
      <c r="Q524" s="3"/>
    </row>
    <row r="525" customFormat="false" ht="15" hidden="false" customHeight="false" outlineLevel="0" collapsed="false">
      <c r="A525" s="3" t="s">
        <v>388</v>
      </c>
      <c r="B525" s="3" t="s">
        <v>389</v>
      </c>
      <c r="C525" s="3" t="n">
        <v>2</v>
      </c>
      <c r="D525" s="3" t="s">
        <v>1105</v>
      </c>
      <c r="E525" s="3" t="n">
        <v>1748.3</v>
      </c>
      <c r="F525" s="3" t="s">
        <v>1113</v>
      </c>
      <c r="G525" s="3" t="n">
        <v>1830</v>
      </c>
      <c r="H525" s="3" t="n">
        <v>3</v>
      </c>
      <c r="I525" s="3" t="s">
        <v>70</v>
      </c>
      <c r="J525" s="3" t="n">
        <v>3.23</v>
      </c>
      <c r="K525" s="3" t="n">
        <v>2.47</v>
      </c>
      <c r="L525" s="3" t="n">
        <v>-8.67</v>
      </c>
      <c r="M525" s="3" t="n">
        <v>-0.53</v>
      </c>
      <c r="N525" s="3" t="s">
        <v>2391</v>
      </c>
      <c r="O525" s="3" t="n">
        <v>1151.3</v>
      </c>
      <c r="P525" s="3" t="n">
        <v>-34.15</v>
      </c>
      <c r="Q525" s="3"/>
    </row>
    <row r="526" customFormat="false" ht="15" hidden="false" customHeight="false" outlineLevel="0" collapsed="false">
      <c r="A526" s="3" t="s">
        <v>871</v>
      </c>
      <c r="B526" s="3" t="s">
        <v>872</v>
      </c>
      <c r="C526" s="3" t="n">
        <v>2</v>
      </c>
      <c r="D526" s="3" t="s">
        <v>1107</v>
      </c>
      <c r="E526" s="3" t="n">
        <v>1196.9</v>
      </c>
      <c r="F526" s="3" t="s">
        <v>1107</v>
      </c>
      <c r="G526" s="3" t="n">
        <v>1196.9</v>
      </c>
      <c r="H526" s="3" t="n">
        <v>1</v>
      </c>
      <c r="I526" s="3" t="s">
        <v>65</v>
      </c>
      <c r="J526" s="3" t="n">
        <v>-0.27</v>
      </c>
      <c r="K526" s="3" t="n">
        <v>-2.44</v>
      </c>
      <c r="L526" s="3" t="n">
        <v>-3.28</v>
      </c>
      <c r="M526" s="3" t="n">
        <v>-1.83</v>
      </c>
      <c r="N526" s="3" t="s">
        <v>2391</v>
      </c>
      <c r="O526" s="3" t="n">
        <v>1003.2</v>
      </c>
      <c r="P526" s="3" t="n">
        <v>-16.18</v>
      </c>
      <c r="Q526" s="3"/>
    </row>
    <row r="527" customFormat="false" ht="15" hidden="false" customHeight="false" outlineLevel="0" collapsed="false">
      <c r="A527" s="3" t="s">
        <v>368</v>
      </c>
      <c r="B527" s="3" t="s">
        <v>369</v>
      </c>
      <c r="C527" s="3" t="n">
        <v>4</v>
      </c>
      <c r="D527" s="3" t="s">
        <v>1107</v>
      </c>
      <c r="E527" s="3" t="n">
        <v>131.49</v>
      </c>
      <c r="F527" s="3" t="s">
        <v>1107</v>
      </c>
      <c r="G527" s="3" t="n">
        <v>131.49</v>
      </c>
      <c r="H527" s="3" t="n">
        <v>1</v>
      </c>
      <c r="I527" s="3" t="s">
        <v>65</v>
      </c>
      <c r="J527" s="3" t="n">
        <v>0.52</v>
      </c>
      <c r="K527" s="3" t="n">
        <v>3.29</v>
      </c>
      <c r="L527" s="3" t="n">
        <v>10.35</v>
      </c>
      <c r="M527" s="3" t="n">
        <v>27.31</v>
      </c>
      <c r="N527" s="3" t="s">
        <v>2391</v>
      </c>
      <c r="O527" s="3" t="n">
        <v>162.37</v>
      </c>
      <c r="P527" s="3" t="n">
        <v>23.48</v>
      </c>
      <c r="Q527" s="3"/>
    </row>
    <row r="528" customFormat="false" ht="15" hidden="false" customHeight="false" outlineLevel="0" collapsed="false">
      <c r="A528" s="3" t="s">
        <v>923</v>
      </c>
      <c r="B528" s="3" t="s">
        <v>924</v>
      </c>
      <c r="C528" s="3" t="n">
        <v>2</v>
      </c>
      <c r="D528" s="3" t="s">
        <v>1107</v>
      </c>
      <c r="E528" s="3" t="n">
        <v>2327.1</v>
      </c>
      <c r="F528" s="3" t="s">
        <v>1107</v>
      </c>
      <c r="G528" s="3" t="n">
        <v>2327.1</v>
      </c>
      <c r="H528" s="3" t="n">
        <v>1</v>
      </c>
      <c r="I528" s="3" t="s">
        <v>65</v>
      </c>
      <c r="J528" s="3" t="n">
        <v>0.01</v>
      </c>
      <c r="K528" s="3" t="n">
        <v>-2.19</v>
      </c>
      <c r="L528" s="3" t="n">
        <v>-4.47</v>
      </c>
      <c r="M528" s="3" t="n">
        <v>2.06</v>
      </c>
      <c r="N528" s="3" t="s">
        <v>2391</v>
      </c>
      <c r="O528" s="3" t="n">
        <v>2070.7</v>
      </c>
      <c r="P528" s="3" t="n">
        <v>-11.02</v>
      </c>
      <c r="Q528" s="3"/>
    </row>
    <row r="529" customFormat="false" ht="15" hidden="false" customHeight="false" outlineLevel="0" collapsed="false">
      <c r="A529" s="3" t="s">
        <v>145</v>
      </c>
      <c r="B529" s="3" t="s">
        <v>146</v>
      </c>
      <c r="C529" s="3" t="n">
        <v>6</v>
      </c>
      <c r="D529" s="3" t="s">
        <v>1107</v>
      </c>
      <c r="E529" s="3" t="n">
        <v>1467.1</v>
      </c>
      <c r="F529" s="3" t="s">
        <v>1107</v>
      </c>
      <c r="G529" s="3" t="n">
        <v>1467.1</v>
      </c>
      <c r="H529" s="3" t="n">
        <v>1</v>
      </c>
      <c r="I529" s="3" t="s">
        <v>65</v>
      </c>
      <c r="J529" s="3" t="n">
        <v>-1.92</v>
      </c>
      <c r="K529" s="3" t="n">
        <v>-0.57</v>
      </c>
      <c r="L529" s="3" t="n">
        <v>-0.32</v>
      </c>
      <c r="M529" s="3" t="n">
        <v>11.72</v>
      </c>
      <c r="N529" s="3" t="s">
        <v>2391</v>
      </c>
      <c r="O529" s="3" t="n">
        <v>1542.2</v>
      </c>
      <c r="P529" s="3" t="n">
        <v>5.12</v>
      </c>
      <c r="Q529" s="3"/>
    </row>
    <row r="530" customFormat="false" ht="15" hidden="false" customHeight="false" outlineLevel="0" collapsed="false">
      <c r="A530" s="3" t="s">
        <v>484</v>
      </c>
      <c r="B530" s="3" t="s">
        <v>485</v>
      </c>
      <c r="C530" s="3" t="n">
        <v>1</v>
      </c>
      <c r="D530" s="3" t="s">
        <v>1113</v>
      </c>
      <c r="E530" s="3" t="n">
        <v>353.1</v>
      </c>
      <c r="F530" s="3" t="s">
        <v>1113</v>
      </c>
      <c r="G530" s="3" t="n">
        <v>353.1</v>
      </c>
      <c r="H530" s="3" t="n">
        <v>1</v>
      </c>
      <c r="I530" s="3" t="s">
        <v>65</v>
      </c>
      <c r="J530" s="3" t="n">
        <v>-1.05</v>
      </c>
      <c r="K530" s="3" t="n">
        <v>3.34</v>
      </c>
      <c r="L530" s="3" t="n">
        <v>4.96</v>
      </c>
      <c r="M530" s="3" t="n">
        <v>13.57</v>
      </c>
      <c r="N530" s="3" t="s">
        <v>2391</v>
      </c>
      <c r="O530" s="3" t="n">
        <v>382.7</v>
      </c>
      <c r="P530" s="3" t="n">
        <v>8.38</v>
      </c>
      <c r="Q530" s="3"/>
    </row>
    <row r="531" customFormat="false" ht="15" hidden="false" customHeight="false" outlineLevel="0" collapsed="false">
      <c r="A531" s="3" t="s">
        <v>680</v>
      </c>
      <c r="B531" s="3" t="s">
        <v>681</v>
      </c>
      <c r="C531" s="3" t="n">
        <v>2</v>
      </c>
      <c r="D531" s="3" t="s">
        <v>1113</v>
      </c>
      <c r="E531" s="3" t="n">
        <v>2970.9</v>
      </c>
      <c r="F531" s="3" t="s">
        <v>1113</v>
      </c>
      <c r="G531" s="3" t="n">
        <v>2970.9</v>
      </c>
      <c r="H531" s="3" t="n">
        <v>1</v>
      </c>
      <c r="I531" s="3" t="s">
        <v>65</v>
      </c>
      <c r="J531" s="3" t="n">
        <v>1</v>
      </c>
      <c r="K531" s="3" t="n">
        <v>8.06</v>
      </c>
      <c r="L531" s="3" t="n">
        <v>9.61</v>
      </c>
      <c r="M531" s="3" t="n">
        <v>-7.99</v>
      </c>
      <c r="N531" s="3" t="s">
        <v>2391</v>
      </c>
      <c r="O531" s="3" t="n">
        <v>2459</v>
      </c>
      <c r="P531" s="3" t="n">
        <v>-17.23</v>
      </c>
      <c r="Q531" s="3"/>
    </row>
    <row r="532" customFormat="false" ht="15" hidden="false" customHeight="false" outlineLevel="0" collapsed="false">
      <c r="A532" s="3" t="s">
        <v>1118</v>
      </c>
      <c r="B532" s="3" t="s">
        <v>1119</v>
      </c>
      <c r="C532" s="3" t="n">
        <v>0</v>
      </c>
      <c r="D532" s="3" t="s">
        <v>1117</v>
      </c>
      <c r="E532" s="3" t="n">
        <v>5097.7</v>
      </c>
      <c r="F532" s="3" t="s">
        <v>1129</v>
      </c>
      <c r="G532" s="3" t="n">
        <v>5148.6</v>
      </c>
      <c r="H532" s="3" t="n">
        <v>2</v>
      </c>
      <c r="I532" s="3" t="s">
        <v>70</v>
      </c>
      <c r="J532" s="3" t="n">
        <v>1</v>
      </c>
      <c r="K532" s="3" t="n">
        <v>-0.22</v>
      </c>
      <c r="L532" s="3" t="n">
        <v>-1.07</v>
      </c>
      <c r="M532" s="3" t="n">
        <v>-19.04</v>
      </c>
      <c r="N532" s="3" t="s">
        <v>2391</v>
      </c>
      <c r="O532" s="3" t="n">
        <v>4203</v>
      </c>
      <c r="P532" s="3" t="n">
        <v>-17.55</v>
      </c>
      <c r="Q532" s="3"/>
    </row>
    <row r="533" customFormat="false" ht="15" hidden="false" customHeight="false" outlineLevel="0" collapsed="false">
      <c r="A533" s="3" t="s">
        <v>565</v>
      </c>
      <c r="B533" s="3" t="s">
        <v>566</v>
      </c>
      <c r="C533" s="3" t="n">
        <v>3</v>
      </c>
      <c r="D533" s="3" t="s">
        <v>1117</v>
      </c>
      <c r="E533" s="3" t="n">
        <v>1211</v>
      </c>
      <c r="F533" s="3" t="s">
        <v>1117</v>
      </c>
      <c r="G533" s="3" t="n">
        <v>1211</v>
      </c>
      <c r="H533" s="3" t="n">
        <v>1</v>
      </c>
      <c r="I533" s="3" t="s">
        <v>65</v>
      </c>
      <c r="J533" s="3" t="n">
        <v>-2.82</v>
      </c>
      <c r="K533" s="3" t="n">
        <v>-3.68</v>
      </c>
      <c r="L533" s="3" t="n">
        <v>-2.7</v>
      </c>
      <c r="M533" s="3" t="n">
        <v>4.71</v>
      </c>
      <c r="N533" s="3" t="s">
        <v>2391</v>
      </c>
      <c r="O533" s="3" t="n">
        <v>1085</v>
      </c>
      <c r="P533" s="3" t="n">
        <v>-10.4</v>
      </c>
      <c r="Q533" s="3"/>
    </row>
    <row r="534" customFormat="false" ht="15" hidden="false" customHeight="false" outlineLevel="0" collapsed="false">
      <c r="A534" s="3" t="s">
        <v>1122</v>
      </c>
      <c r="B534" s="3" t="s">
        <v>1123</v>
      </c>
      <c r="C534" s="3" t="n">
        <v>0</v>
      </c>
      <c r="D534" s="3" t="s">
        <v>1117</v>
      </c>
      <c r="E534" s="3" t="n">
        <v>602.05</v>
      </c>
      <c r="F534" s="3" t="s">
        <v>1117</v>
      </c>
      <c r="G534" s="3" t="n">
        <v>602.05</v>
      </c>
      <c r="H534" s="3" t="n">
        <v>1</v>
      </c>
      <c r="I534" s="3" t="s">
        <v>65</v>
      </c>
      <c r="J534" s="3" t="n">
        <v>-1.16</v>
      </c>
      <c r="K534" s="3" t="n">
        <v>-1.99</v>
      </c>
      <c r="L534" s="3" t="n">
        <v>-4.74</v>
      </c>
      <c r="M534" s="3" t="n">
        <v>-9.48</v>
      </c>
      <c r="N534" s="3" t="s">
        <v>2391</v>
      </c>
      <c r="O534" s="3" t="n">
        <v>495</v>
      </c>
      <c r="P534" s="3" t="n">
        <v>-17.78</v>
      </c>
      <c r="Q534" s="3"/>
    </row>
    <row r="535" customFormat="false" ht="15" hidden="false" customHeight="false" outlineLevel="0" collapsed="false">
      <c r="A535" s="3" t="s">
        <v>368</v>
      </c>
      <c r="B535" s="3" t="s">
        <v>369</v>
      </c>
      <c r="C535" s="3" t="n">
        <v>5</v>
      </c>
      <c r="D535" s="3" t="s">
        <v>1117</v>
      </c>
      <c r="E535" s="3" t="n">
        <v>142.41</v>
      </c>
      <c r="F535" s="3" t="s">
        <v>1129</v>
      </c>
      <c r="G535" s="3" t="n">
        <v>145.74</v>
      </c>
      <c r="H535" s="3" t="n">
        <v>2</v>
      </c>
      <c r="I535" s="3" t="s">
        <v>70</v>
      </c>
      <c r="J535" s="3" t="n">
        <v>2.34</v>
      </c>
      <c r="K535" s="3" t="n">
        <v>1.33</v>
      </c>
      <c r="L535" s="3" t="n">
        <v>6.53</v>
      </c>
      <c r="M535" s="3" t="n">
        <v>18.94</v>
      </c>
      <c r="N535" s="3" t="s">
        <v>2391</v>
      </c>
      <c r="O535" s="3" t="n">
        <v>162.37</v>
      </c>
      <c r="P535" s="3" t="n">
        <v>14.02</v>
      </c>
      <c r="Q535" s="3"/>
    </row>
    <row r="536" customFormat="false" ht="15" hidden="false" customHeight="false" outlineLevel="0" collapsed="false">
      <c r="A536" s="3" t="s">
        <v>1126</v>
      </c>
      <c r="B536" s="3" t="s">
        <v>1127</v>
      </c>
      <c r="C536" s="3" t="n">
        <v>0</v>
      </c>
      <c r="D536" s="3" t="s">
        <v>1117</v>
      </c>
      <c r="E536" s="3" t="n">
        <v>57.53</v>
      </c>
      <c r="F536" s="3" t="s">
        <v>1117</v>
      </c>
      <c r="G536" s="3" t="n">
        <v>57.53</v>
      </c>
      <c r="H536" s="3" t="n">
        <v>1</v>
      </c>
      <c r="I536" s="3" t="s">
        <v>65</v>
      </c>
      <c r="J536" s="3" t="n">
        <v>-0.94</v>
      </c>
      <c r="K536" s="3" t="n">
        <v>-3.32</v>
      </c>
      <c r="L536" s="3" t="n">
        <v>-0.68</v>
      </c>
      <c r="M536" s="3" t="n">
        <v>-18.81</v>
      </c>
      <c r="N536" s="3" t="s">
        <v>2391</v>
      </c>
      <c r="O536" s="3" t="n">
        <v>39.66</v>
      </c>
      <c r="P536" s="3" t="n">
        <v>-31.06</v>
      </c>
      <c r="Q536" s="3"/>
    </row>
    <row r="537" customFormat="false" ht="15" hidden="false" customHeight="false" outlineLevel="0" collapsed="false">
      <c r="A537" s="3" t="s">
        <v>333</v>
      </c>
      <c r="B537" s="3" t="s">
        <v>334</v>
      </c>
      <c r="C537" s="3" t="n">
        <v>5</v>
      </c>
      <c r="D537" s="3" t="s">
        <v>1129</v>
      </c>
      <c r="E537" s="3" t="n">
        <v>5498</v>
      </c>
      <c r="F537" s="3" t="s">
        <v>1129</v>
      </c>
      <c r="G537" s="3" t="n">
        <v>5498</v>
      </c>
      <c r="H537" s="3" t="n">
        <v>1</v>
      </c>
      <c r="I537" s="3" t="s">
        <v>65</v>
      </c>
      <c r="J537" s="3" t="n">
        <v>-3.34</v>
      </c>
      <c r="K537" s="3" t="n">
        <v>-4.48</v>
      </c>
      <c r="L537" s="3" t="n">
        <v>-1.48</v>
      </c>
      <c r="M537" s="3" t="n">
        <v>-2.69</v>
      </c>
      <c r="N537" s="3" t="s">
        <v>2391</v>
      </c>
      <c r="O537" s="3" t="n">
        <v>5175</v>
      </c>
      <c r="P537" s="3" t="n">
        <v>-5.87</v>
      </c>
      <c r="Q537" s="3"/>
    </row>
    <row r="538" customFormat="false" ht="15" hidden="false" customHeight="false" outlineLevel="0" collapsed="false">
      <c r="A538" s="3" t="s">
        <v>664</v>
      </c>
      <c r="B538" s="3" t="s">
        <v>665</v>
      </c>
      <c r="C538" s="3" t="n">
        <v>3</v>
      </c>
      <c r="D538" s="3" t="s">
        <v>1129</v>
      </c>
      <c r="E538" s="3" t="n">
        <v>1957.2</v>
      </c>
      <c r="F538" s="3" t="s">
        <v>1129</v>
      </c>
      <c r="G538" s="3" t="n">
        <v>1957.2</v>
      </c>
      <c r="H538" s="3" t="n">
        <v>1</v>
      </c>
      <c r="I538" s="3" t="s">
        <v>65</v>
      </c>
      <c r="J538" s="3" t="n">
        <v>-1.76</v>
      </c>
      <c r="K538" s="3" t="n">
        <v>-1.4</v>
      </c>
      <c r="L538" s="3" t="n">
        <v>10.92</v>
      </c>
      <c r="M538" s="3" t="n">
        <v>4.28</v>
      </c>
      <c r="N538" s="3" t="s">
        <v>2391</v>
      </c>
      <c r="O538" s="3" t="n">
        <v>1957</v>
      </c>
      <c r="P538" s="3" t="n">
        <v>-0.01</v>
      </c>
      <c r="Q538" s="3"/>
    </row>
    <row r="539" customFormat="false" ht="15" hidden="false" customHeight="false" outlineLevel="0" collapsed="false">
      <c r="A539" s="3" t="s">
        <v>260</v>
      </c>
      <c r="B539" s="3" t="s">
        <v>261</v>
      </c>
      <c r="C539" s="3" t="n">
        <v>7</v>
      </c>
      <c r="D539" s="3" t="s">
        <v>1129</v>
      </c>
      <c r="E539" s="3" t="n">
        <v>100.37</v>
      </c>
      <c r="F539" s="3" t="s">
        <v>1129</v>
      </c>
      <c r="G539" s="3" t="n">
        <v>100.37</v>
      </c>
      <c r="H539" s="3" t="n">
        <v>1</v>
      </c>
      <c r="I539" s="3" t="s">
        <v>65</v>
      </c>
      <c r="J539" s="3" t="n">
        <v>-3.3</v>
      </c>
      <c r="K539" s="3" t="n">
        <v>1.65</v>
      </c>
      <c r="L539" s="3" t="n">
        <v>9.02</v>
      </c>
      <c r="M539" s="3" t="n">
        <v>-1.54</v>
      </c>
      <c r="N539" s="3" t="s">
        <v>2391</v>
      </c>
      <c r="O539" s="3" t="n">
        <v>94.75</v>
      </c>
      <c r="P539" s="3" t="n">
        <v>-5.6</v>
      </c>
      <c r="Q539" s="3"/>
    </row>
    <row r="540" customFormat="false" ht="15" hidden="false" customHeight="false" outlineLevel="0" collapsed="false">
      <c r="A540" s="3" t="s">
        <v>591</v>
      </c>
      <c r="B540" s="3" t="s">
        <v>592</v>
      </c>
      <c r="C540" s="3" t="n">
        <v>4</v>
      </c>
      <c r="D540" s="3" t="s">
        <v>1129</v>
      </c>
      <c r="E540" s="3" t="n">
        <v>1183.8</v>
      </c>
      <c r="F540" s="3" t="s">
        <v>1129</v>
      </c>
      <c r="G540" s="3" t="n">
        <v>1183.8</v>
      </c>
      <c r="H540" s="3" t="n">
        <v>1</v>
      </c>
      <c r="I540" s="3" t="s">
        <v>65</v>
      </c>
      <c r="J540" s="3" t="n">
        <v>0.95</v>
      </c>
      <c r="K540" s="3" t="n">
        <v>-2.46</v>
      </c>
      <c r="L540" s="3" t="n">
        <v>-6.88</v>
      </c>
      <c r="M540" s="3" t="n">
        <v>11.67</v>
      </c>
      <c r="N540" s="3" t="s">
        <v>2391</v>
      </c>
      <c r="O540" s="3" t="n">
        <v>1252.6</v>
      </c>
      <c r="P540" s="3" t="n">
        <v>5.81</v>
      </c>
      <c r="Q540" s="3"/>
    </row>
    <row r="541" customFormat="false" ht="15" hidden="false" customHeight="false" outlineLevel="0" collapsed="false">
      <c r="A541" s="3" t="s">
        <v>1135</v>
      </c>
      <c r="B541" s="3" t="s">
        <v>1136</v>
      </c>
      <c r="C541" s="3" t="n">
        <v>0</v>
      </c>
      <c r="D541" s="3" t="s">
        <v>1129</v>
      </c>
      <c r="E541" s="3" t="n">
        <v>133.25</v>
      </c>
      <c r="F541" s="3" t="s">
        <v>1129</v>
      </c>
      <c r="G541" s="3" t="n">
        <v>133.25</v>
      </c>
      <c r="H541" s="3" t="n">
        <v>1</v>
      </c>
      <c r="I541" s="3" t="s">
        <v>65</v>
      </c>
      <c r="J541" s="3" t="n">
        <v>-5.24</v>
      </c>
      <c r="K541" s="3" t="n">
        <v>-7.37</v>
      </c>
      <c r="L541" s="3" t="n">
        <v>-4.32</v>
      </c>
      <c r="M541" s="3" t="n">
        <v>-13.4</v>
      </c>
      <c r="N541" s="3" t="s">
        <v>2391</v>
      </c>
      <c r="O541" s="3" t="n">
        <v>114.82</v>
      </c>
      <c r="P541" s="3" t="n">
        <v>-13.83</v>
      </c>
      <c r="Q541" s="3"/>
    </row>
    <row r="542" customFormat="false" ht="15" hidden="false" customHeight="false" outlineLevel="0" collapsed="false">
      <c r="A542" s="3" t="s">
        <v>111</v>
      </c>
      <c r="B542" s="3" t="s">
        <v>112</v>
      </c>
      <c r="C542" s="3" t="n">
        <v>1</v>
      </c>
      <c r="D542" s="3" t="s">
        <v>1129</v>
      </c>
      <c r="E542" s="3" t="n">
        <v>286.6</v>
      </c>
      <c r="F542" s="3" t="s">
        <v>1129</v>
      </c>
      <c r="G542" s="3" t="n">
        <v>286.6</v>
      </c>
      <c r="H542" s="3" t="n">
        <v>1</v>
      </c>
      <c r="I542" s="3" t="s">
        <v>65</v>
      </c>
      <c r="J542" s="3" t="n">
        <v>-5.36</v>
      </c>
      <c r="K542" s="3" t="n">
        <v>-6.28</v>
      </c>
      <c r="L542" s="3" t="n">
        <v>4.34</v>
      </c>
      <c r="M542" s="3" t="n">
        <v>10.21</v>
      </c>
      <c r="N542" s="3" t="s">
        <v>2391</v>
      </c>
      <c r="O542" s="3" t="n">
        <v>280.85</v>
      </c>
      <c r="P542" s="3" t="n">
        <v>-2.01</v>
      </c>
      <c r="Q542" s="3"/>
    </row>
    <row r="543" customFormat="false" ht="15" hidden="false" customHeight="false" outlineLevel="0" collapsed="false">
      <c r="A543" s="3" t="s">
        <v>266</v>
      </c>
      <c r="B543" s="3" t="s">
        <v>267</v>
      </c>
      <c r="C543" s="3" t="n">
        <v>1</v>
      </c>
      <c r="D543" s="3" t="s">
        <v>1129</v>
      </c>
      <c r="E543" s="3" t="n">
        <v>2271.4</v>
      </c>
      <c r="F543" s="3" t="s">
        <v>1129</v>
      </c>
      <c r="G543" s="3" t="n">
        <v>2271.4</v>
      </c>
      <c r="H543" s="3" t="n">
        <v>1</v>
      </c>
      <c r="I543" s="3" t="s">
        <v>65</v>
      </c>
      <c r="J543" s="3" t="n">
        <v>1.72</v>
      </c>
      <c r="K543" s="3" t="n">
        <v>2.58</v>
      </c>
      <c r="L543" s="3" t="n">
        <v>-2.8</v>
      </c>
      <c r="M543" s="3" t="n">
        <v>6.85</v>
      </c>
      <c r="N543" s="3" t="s">
        <v>2391</v>
      </c>
      <c r="O543" s="3" t="n">
        <v>2237.5</v>
      </c>
      <c r="P543" s="3" t="n">
        <v>-1.49</v>
      </c>
      <c r="Q543" s="3"/>
    </row>
    <row r="544" customFormat="false" ht="15" hidden="false" customHeight="false" outlineLevel="0" collapsed="false">
      <c r="A544" s="3" t="s">
        <v>541</v>
      </c>
      <c r="B544" s="3" t="s">
        <v>542</v>
      </c>
      <c r="C544" s="3" t="n">
        <v>3</v>
      </c>
      <c r="D544" s="3" t="s">
        <v>1129</v>
      </c>
      <c r="E544" s="3" t="n">
        <v>3342.9</v>
      </c>
      <c r="F544" s="3" t="s">
        <v>1129</v>
      </c>
      <c r="G544" s="3" t="n">
        <v>3342.9</v>
      </c>
      <c r="H544" s="3" t="n">
        <v>1</v>
      </c>
      <c r="I544" s="3" t="s">
        <v>65</v>
      </c>
      <c r="J544" s="3" t="n">
        <v>-2.89</v>
      </c>
      <c r="K544" s="3" t="n">
        <v>-5.68</v>
      </c>
      <c r="L544" s="3" t="n">
        <v>-9.62</v>
      </c>
      <c r="M544" s="3" t="n">
        <v>-4.01</v>
      </c>
      <c r="N544" s="3" t="s">
        <v>2391</v>
      </c>
      <c r="O544" s="3" t="n">
        <v>2760</v>
      </c>
      <c r="P544" s="3" t="n">
        <v>-17.44</v>
      </c>
      <c r="Q544" s="3"/>
    </row>
    <row r="545" customFormat="false" ht="15" hidden="false" customHeight="false" outlineLevel="0" collapsed="false">
      <c r="A545" s="3" t="s">
        <v>1142</v>
      </c>
      <c r="B545" s="3" t="s">
        <v>1143</v>
      </c>
      <c r="C545" s="3" t="n">
        <v>0</v>
      </c>
      <c r="D545" s="3" t="s">
        <v>1129</v>
      </c>
      <c r="E545" s="3" t="n">
        <v>1707.1</v>
      </c>
      <c r="F545" s="3" t="s">
        <v>1129</v>
      </c>
      <c r="G545" s="3" t="n">
        <v>1707.1</v>
      </c>
      <c r="H545" s="3" t="n">
        <v>1</v>
      </c>
      <c r="I545" s="3" t="s">
        <v>65</v>
      </c>
      <c r="J545" s="3" t="n">
        <v>-3.38</v>
      </c>
      <c r="K545" s="3" t="n">
        <v>-4.32</v>
      </c>
      <c r="L545" s="3" t="n">
        <v>2.75</v>
      </c>
      <c r="M545" s="3" t="n">
        <v>9.54</v>
      </c>
      <c r="N545" s="3" t="s">
        <v>2391</v>
      </c>
      <c r="O545" s="3" t="n">
        <v>1830</v>
      </c>
      <c r="P545" s="3" t="n">
        <v>7.2</v>
      </c>
      <c r="Q545" s="3"/>
    </row>
    <row r="546" customFormat="false" ht="15" hidden="false" customHeight="false" outlineLevel="0" collapsed="false">
      <c r="A546" s="3" t="s">
        <v>1145</v>
      </c>
      <c r="B546" s="3" t="s">
        <v>1146</v>
      </c>
      <c r="C546" s="3" t="n">
        <v>0</v>
      </c>
      <c r="D546" s="3" t="s">
        <v>1129</v>
      </c>
      <c r="E546" s="3" t="n">
        <v>3518.6</v>
      </c>
      <c r="F546" s="3" t="s">
        <v>1129</v>
      </c>
      <c r="G546" s="3" t="n">
        <v>3518.6</v>
      </c>
      <c r="H546" s="3" t="n">
        <v>1</v>
      </c>
      <c r="I546" s="3" t="s">
        <v>65</v>
      </c>
      <c r="J546" s="3" t="n">
        <v>-0.36</v>
      </c>
      <c r="K546" s="3" t="n">
        <v>-0.79</v>
      </c>
      <c r="L546" s="3" t="n">
        <v>10.18</v>
      </c>
      <c r="M546" s="3" t="n">
        <v>30.73</v>
      </c>
      <c r="N546" s="3" t="s">
        <v>2391</v>
      </c>
      <c r="O546" s="3" t="n">
        <v>4478.3</v>
      </c>
      <c r="P546" s="3" t="n">
        <v>27.28</v>
      </c>
      <c r="Q546" s="3"/>
    </row>
    <row r="547" customFormat="false" ht="15" hidden="false" customHeight="false" outlineLevel="0" collapsed="false">
      <c r="A547" s="3" t="s">
        <v>145</v>
      </c>
      <c r="B547" s="3" t="s">
        <v>146</v>
      </c>
      <c r="C547" s="3" t="n">
        <v>7</v>
      </c>
      <c r="D547" s="3" t="s">
        <v>1129</v>
      </c>
      <c r="E547" s="3" t="n">
        <v>1483.9</v>
      </c>
      <c r="F547" s="3" t="s">
        <v>1129</v>
      </c>
      <c r="G547" s="3" t="n">
        <v>1483.9</v>
      </c>
      <c r="H547" s="3" t="n">
        <v>1</v>
      </c>
      <c r="I547" s="3" t="s">
        <v>65</v>
      </c>
      <c r="J547" s="3" t="n">
        <v>4</v>
      </c>
      <c r="K547" s="3" t="n">
        <v>-0.03</v>
      </c>
      <c r="L547" s="3" t="n">
        <v>-3.38</v>
      </c>
      <c r="M547" s="3" t="n">
        <v>6.75</v>
      </c>
      <c r="N547" s="3" t="s">
        <v>2391</v>
      </c>
      <c r="O547" s="3" t="n">
        <v>1542.2</v>
      </c>
      <c r="P547" s="3" t="n">
        <v>3.93</v>
      </c>
      <c r="Q547" s="3"/>
    </row>
    <row r="548" customFormat="false" ht="15" hidden="false" customHeight="false" outlineLevel="0" collapsed="false">
      <c r="A548" s="3" t="s">
        <v>86</v>
      </c>
      <c r="B548" s="3" t="s">
        <v>87</v>
      </c>
      <c r="C548" s="3" t="n">
        <v>2</v>
      </c>
      <c r="D548" s="3" t="s">
        <v>1129</v>
      </c>
      <c r="E548" s="3" t="n">
        <v>23.15</v>
      </c>
      <c r="F548" s="3" t="s">
        <v>1129</v>
      </c>
      <c r="G548" s="3" t="n">
        <v>23.15</v>
      </c>
      <c r="H548" s="3" t="n">
        <v>1</v>
      </c>
      <c r="I548" s="3" t="s">
        <v>65</v>
      </c>
      <c r="J548" s="3" t="n">
        <v>-0.6</v>
      </c>
      <c r="K548" s="3" t="n">
        <v>0.65</v>
      </c>
      <c r="L548" s="3" t="n">
        <v>8.38</v>
      </c>
      <c r="M548" s="3" t="n">
        <v>-2.38</v>
      </c>
      <c r="N548" s="3" t="s">
        <v>2391</v>
      </c>
      <c r="O548" s="3" t="n">
        <v>21.18</v>
      </c>
      <c r="P548" s="3" t="n">
        <v>-8.51</v>
      </c>
      <c r="Q548" s="3"/>
    </row>
    <row r="549" customFormat="false" ht="15" hidden="false" customHeight="false" outlineLevel="0" collapsed="false">
      <c r="A549" s="3" t="s">
        <v>686</v>
      </c>
      <c r="B549" s="3" t="s">
        <v>687</v>
      </c>
      <c r="C549" s="3" t="n">
        <v>3</v>
      </c>
      <c r="D549" s="3" t="s">
        <v>1150</v>
      </c>
      <c r="E549" s="3" t="n">
        <v>472.6</v>
      </c>
      <c r="F549" s="3" t="s">
        <v>1150</v>
      </c>
      <c r="G549" s="3" t="n">
        <v>472.6</v>
      </c>
      <c r="H549" s="3" t="n">
        <v>1</v>
      </c>
      <c r="I549" s="3" t="s">
        <v>65</v>
      </c>
      <c r="J549" s="3" t="n">
        <v>-0.1</v>
      </c>
      <c r="K549" s="3" t="n">
        <v>-1.63</v>
      </c>
      <c r="L549" s="3" t="n">
        <v>-7.1</v>
      </c>
      <c r="M549" s="3" t="n">
        <v>-14.52</v>
      </c>
      <c r="N549" s="3" t="s">
        <v>2391</v>
      </c>
      <c r="O549" s="3" t="n">
        <v>422.5</v>
      </c>
      <c r="P549" s="3" t="n">
        <v>-10.6</v>
      </c>
      <c r="Q549" s="3"/>
    </row>
    <row r="550" customFormat="false" ht="15" hidden="false" customHeight="false" outlineLevel="0" collapsed="false">
      <c r="A550" s="3" t="s">
        <v>1152</v>
      </c>
      <c r="B550" s="3" t="s">
        <v>1153</v>
      </c>
      <c r="C550" s="3" t="n">
        <v>0</v>
      </c>
      <c r="D550" s="3" t="s">
        <v>1150</v>
      </c>
      <c r="E550" s="3" t="n">
        <v>1461.2</v>
      </c>
      <c r="F550" s="3" t="s">
        <v>1155</v>
      </c>
      <c r="G550" s="3" t="n">
        <v>1519.5</v>
      </c>
      <c r="H550" s="3" t="n">
        <v>2</v>
      </c>
      <c r="I550" s="3" t="s">
        <v>70</v>
      </c>
      <c r="J550" s="3" t="n">
        <v>3.99</v>
      </c>
      <c r="K550" s="3" t="n">
        <v>-2.74</v>
      </c>
      <c r="L550" s="3" t="n">
        <v>0.31</v>
      </c>
      <c r="M550" s="3" t="n">
        <v>29.54</v>
      </c>
      <c r="N550" s="3" t="s">
        <v>2391</v>
      </c>
      <c r="O550" s="3" t="n">
        <v>1773</v>
      </c>
      <c r="P550" s="3" t="n">
        <v>21.34</v>
      </c>
      <c r="Q550" s="3"/>
    </row>
    <row r="551" customFormat="false" ht="15" hidden="false" customHeight="false" outlineLevel="0" collapsed="false">
      <c r="A551" s="3" t="s">
        <v>309</v>
      </c>
      <c r="B551" s="3" t="s">
        <v>310</v>
      </c>
      <c r="C551" s="3" t="n">
        <v>3</v>
      </c>
      <c r="D551" s="3" t="s">
        <v>1155</v>
      </c>
      <c r="E551" s="3" t="n">
        <v>5708</v>
      </c>
      <c r="F551" s="3" t="s">
        <v>1155</v>
      </c>
      <c r="G551" s="3" t="n">
        <v>5708</v>
      </c>
      <c r="H551" s="3" t="n">
        <v>1</v>
      </c>
      <c r="I551" s="3" t="s">
        <v>65</v>
      </c>
      <c r="J551" s="3" t="n">
        <v>-0.27</v>
      </c>
      <c r="K551" s="3" t="n">
        <v>-1.45</v>
      </c>
      <c r="L551" s="3" t="n">
        <v>-0.79</v>
      </c>
      <c r="M551" s="3" t="n">
        <v>-8.9</v>
      </c>
      <c r="N551" s="3" t="s">
        <v>2391</v>
      </c>
      <c r="O551" s="3" t="n">
        <v>4855</v>
      </c>
      <c r="P551" s="3" t="n">
        <v>-14.94</v>
      </c>
      <c r="Q551" s="3"/>
    </row>
    <row r="552" customFormat="false" ht="15" hidden="false" customHeight="false" outlineLevel="0" collapsed="false">
      <c r="A552" s="3" t="s">
        <v>1118</v>
      </c>
      <c r="B552" s="3" t="s">
        <v>1119</v>
      </c>
      <c r="C552" s="3" t="n">
        <v>1</v>
      </c>
      <c r="D552" s="3" t="s">
        <v>1155</v>
      </c>
      <c r="E552" s="3" t="n">
        <v>4781</v>
      </c>
      <c r="F552" s="3" t="s">
        <v>1155</v>
      </c>
      <c r="G552" s="3" t="n">
        <v>4781</v>
      </c>
      <c r="H552" s="3" t="n">
        <v>1</v>
      </c>
      <c r="I552" s="3" t="s">
        <v>65</v>
      </c>
      <c r="J552" s="3" t="n">
        <v>3.84</v>
      </c>
      <c r="K552" s="3" t="n">
        <v>3.14</v>
      </c>
      <c r="L552" s="3" t="n">
        <v>2.4</v>
      </c>
      <c r="M552" s="3" t="n">
        <v>-9.22</v>
      </c>
      <c r="N552" s="3" t="s">
        <v>2391</v>
      </c>
      <c r="O552" s="3" t="n">
        <v>4203</v>
      </c>
      <c r="P552" s="3" t="n">
        <v>-12.09</v>
      </c>
      <c r="Q552" s="3"/>
    </row>
    <row r="553" customFormat="false" ht="15" hidden="false" customHeight="false" outlineLevel="0" collapsed="false">
      <c r="A553" s="3" t="s">
        <v>579</v>
      </c>
      <c r="B553" s="3" t="s">
        <v>580</v>
      </c>
      <c r="C553" s="3" t="n">
        <v>1</v>
      </c>
      <c r="D553" s="3" t="s">
        <v>1155</v>
      </c>
      <c r="E553" s="3" t="n">
        <v>537</v>
      </c>
      <c r="F553" s="3" t="s">
        <v>1155</v>
      </c>
      <c r="G553" s="3" t="n">
        <v>537</v>
      </c>
      <c r="H553" s="3" t="n">
        <v>1</v>
      </c>
      <c r="I553" s="3" t="s">
        <v>65</v>
      </c>
      <c r="J553" s="3" t="n">
        <v>-0.67</v>
      </c>
      <c r="K553" s="3" t="n">
        <v>-1.35</v>
      </c>
      <c r="L553" s="3" t="n">
        <v>-3.97</v>
      </c>
      <c r="M553" s="3" t="n">
        <v>-21.55</v>
      </c>
      <c r="N553" s="3" t="s">
        <v>2391</v>
      </c>
      <c r="O553" s="3" t="n">
        <v>430</v>
      </c>
      <c r="P553" s="3" t="n">
        <v>-19.93</v>
      </c>
      <c r="Q553" s="3"/>
    </row>
    <row r="554" customFormat="false" ht="15" hidden="false" customHeight="false" outlineLevel="0" collapsed="false">
      <c r="A554" s="3" t="s">
        <v>223</v>
      </c>
      <c r="B554" s="3" t="s">
        <v>224</v>
      </c>
      <c r="C554" s="3" t="n">
        <v>4</v>
      </c>
      <c r="D554" s="3" t="s">
        <v>1155</v>
      </c>
      <c r="E554" s="3" t="n">
        <v>209.84</v>
      </c>
      <c r="F554" s="3" t="s">
        <v>1155</v>
      </c>
      <c r="G554" s="3" t="n">
        <v>209.84</v>
      </c>
      <c r="H554" s="3" t="n">
        <v>1</v>
      </c>
      <c r="I554" s="3" t="s">
        <v>65</v>
      </c>
      <c r="J554" s="3" t="n">
        <v>-2.74</v>
      </c>
      <c r="K554" s="3" t="n">
        <v>-13.42</v>
      </c>
      <c r="L554" s="3" t="n">
        <v>-18.92</v>
      </c>
      <c r="M554" s="3" t="n">
        <v>-15.48</v>
      </c>
      <c r="N554" s="3" t="s">
        <v>2391</v>
      </c>
      <c r="O554" s="3" t="n">
        <v>161.56</v>
      </c>
      <c r="P554" s="3" t="n">
        <v>-23.01</v>
      </c>
      <c r="Q554" s="3"/>
    </row>
    <row r="555" customFormat="false" ht="15" hidden="false" customHeight="false" outlineLevel="0" collapsed="false">
      <c r="A555" s="3" t="s">
        <v>519</v>
      </c>
      <c r="B555" s="3" t="s">
        <v>520</v>
      </c>
      <c r="C555" s="3" t="n">
        <v>1</v>
      </c>
      <c r="D555" s="3" t="s">
        <v>1161</v>
      </c>
      <c r="E555" s="3" t="n">
        <v>131.85</v>
      </c>
      <c r="F555" s="3" t="s">
        <v>1161</v>
      </c>
      <c r="G555" s="3" t="n">
        <v>131.85</v>
      </c>
      <c r="H555" s="3" t="n">
        <v>1</v>
      </c>
      <c r="I555" s="3" t="s">
        <v>65</v>
      </c>
      <c r="J555" s="3" t="n">
        <v>0.96</v>
      </c>
      <c r="K555" s="3" t="n">
        <v>1.22</v>
      </c>
      <c r="L555" s="3" t="n">
        <v>-3.95</v>
      </c>
      <c r="M555" s="3" t="n">
        <v>-2.81</v>
      </c>
      <c r="N555" s="3" t="s">
        <v>2391</v>
      </c>
      <c r="O555" s="3" t="n">
        <v>120.65</v>
      </c>
      <c r="P555" s="3" t="n">
        <v>-8.49</v>
      </c>
      <c r="Q555" s="3"/>
    </row>
    <row r="556" customFormat="false" ht="15" hidden="false" customHeight="false" outlineLevel="0" collapsed="false">
      <c r="A556" s="3" t="s">
        <v>300</v>
      </c>
      <c r="B556" s="3" t="s">
        <v>301</v>
      </c>
      <c r="C556" s="3" t="n">
        <v>6</v>
      </c>
      <c r="D556" s="3" t="s">
        <v>1161</v>
      </c>
      <c r="E556" s="3" t="n">
        <v>970.45</v>
      </c>
      <c r="F556" s="3" t="s">
        <v>1161</v>
      </c>
      <c r="G556" s="3" t="n">
        <v>970.45</v>
      </c>
      <c r="H556" s="3" t="n">
        <v>1</v>
      </c>
      <c r="I556" s="3" t="s">
        <v>65</v>
      </c>
      <c r="J556" s="3" t="n">
        <v>0.91</v>
      </c>
      <c r="K556" s="3" t="n">
        <v>3.38</v>
      </c>
      <c r="L556" s="3" t="n">
        <v>8.36</v>
      </c>
      <c r="M556" s="3" t="n">
        <v>7.47</v>
      </c>
      <c r="N556" s="3" t="s">
        <v>2391</v>
      </c>
      <c r="O556" s="3" t="n">
        <v>962</v>
      </c>
      <c r="P556" s="3" t="n">
        <v>-0.87</v>
      </c>
      <c r="Q556" s="3"/>
    </row>
    <row r="557" customFormat="false" ht="15" hidden="false" customHeight="false" outlineLevel="0" collapsed="false">
      <c r="A557" s="3" t="s">
        <v>360</v>
      </c>
      <c r="B557" s="3" t="s">
        <v>361</v>
      </c>
      <c r="C557" s="3" t="n">
        <v>3</v>
      </c>
      <c r="D557" s="3" t="s">
        <v>1164</v>
      </c>
      <c r="E557" s="3" t="n">
        <v>256.5</v>
      </c>
      <c r="F557" s="3" t="s">
        <v>1164</v>
      </c>
      <c r="G557" s="3" t="n">
        <v>256.5</v>
      </c>
      <c r="H557" s="3" t="n">
        <v>1</v>
      </c>
      <c r="I557" s="3" t="s">
        <v>65</v>
      </c>
      <c r="J557" s="3" t="n">
        <v>-3.2</v>
      </c>
      <c r="K557" s="3" t="n">
        <v>-4.95</v>
      </c>
      <c r="L557" s="3" t="n">
        <v>10.49</v>
      </c>
      <c r="M557" s="3" t="n">
        <v>27.91</v>
      </c>
      <c r="N557" s="3" t="s">
        <v>2391</v>
      </c>
      <c r="O557" s="3" t="n">
        <v>330.95</v>
      </c>
      <c r="P557" s="3" t="n">
        <v>29.03</v>
      </c>
      <c r="Q557" s="3"/>
    </row>
    <row r="558" customFormat="false" ht="15" hidden="false" customHeight="false" outlineLevel="0" collapsed="false">
      <c r="A558" s="3" t="s">
        <v>120</v>
      </c>
      <c r="B558" s="3" t="s">
        <v>121</v>
      </c>
      <c r="C558" s="3" t="n">
        <v>3</v>
      </c>
      <c r="D558" s="3" t="s">
        <v>1164</v>
      </c>
      <c r="E558" s="3" t="n">
        <v>431.75</v>
      </c>
      <c r="F558" s="3" t="s">
        <v>1164</v>
      </c>
      <c r="G558" s="3" t="n">
        <v>431.75</v>
      </c>
      <c r="H558" s="3" t="n">
        <v>1</v>
      </c>
      <c r="I558" s="3" t="s">
        <v>65</v>
      </c>
      <c r="J558" s="3" t="n">
        <v>-0.78</v>
      </c>
      <c r="K558" s="3" t="n">
        <v>-2.48</v>
      </c>
      <c r="L558" s="3" t="n">
        <v>-2.47</v>
      </c>
      <c r="M558" s="3" t="n">
        <v>-22.11</v>
      </c>
      <c r="N558" s="3" t="s">
        <v>2391</v>
      </c>
      <c r="O558" s="3" t="n">
        <v>330</v>
      </c>
      <c r="P558" s="3" t="n">
        <v>-23.57</v>
      </c>
      <c r="Q558" s="3"/>
    </row>
    <row r="559" customFormat="false" ht="15" hidden="false" customHeight="false" outlineLevel="0" collapsed="false">
      <c r="A559" s="3" t="s">
        <v>1032</v>
      </c>
      <c r="B559" s="3" t="s">
        <v>1033</v>
      </c>
      <c r="C559" s="3" t="n">
        <v>1</v>
      </c>
      <c r="D559" s="3" t="s">
        <v>1164</v>
      </c>
      <c r="E559" s="3" t="n">
        <v>118.73</v>
      </c>
      <c r="F559" s="3" t="s">
        <v>1164</v>
      </c>
      <c r="G559" s="3" t="n">
        <v>118.73</v>
      </c>
      <c r="H559" s="3" t="n">
        <v>1</v>
      </c>
      <c r="I559" s="3" t="s">
        <v>65</v>
      </c>
      <c r="J559" s="3" t="n">
        <v>-1.16</v>
      </c>
      <c r="K559" s="3" t="n">
        <v>0.88</v>
      </c>
      <c r="L559" s="3" t="n">
        <v>0.29</v>
      </c>
      <c r="M559" s="3" t="n">
        <v>-6.81</v>
      </c>
      <c r="N559" s="3" t="s">
        <v>2391</v>
      </c>
      <c r="O559" s="3" t="n">
        <v>100.81</v>
      </c>
      <c r="P559" s="3" t="n">
        <v>-15.09</v>
      </c>
      <c r="Q559" s="3"/>
    </row>
    <row r="560" customFormat="false" ht="15" hidden="false" customHeight="false" outlineLevel="0" collapsed="false">
      <c r="A560" s="3" t="s">
        <v>585</v>
      </c>
      <c r="B560" s="3" t="s">
        <v>586</v>
      </c>
      <c r="C560" s="3" t="n">
        <v>2</v>
      </c>
      <c r="D560" s="3" t="s">
        <v>1168</v>
      </c>
      <c r="E560" s="3" t="n">
        <v>8524</v>
      </c>
      <c r="F560" s="3" t="s">
        <v>1168</v>
      </c>
      <c r="G560" s="3" t="n">
        <v>8524</v>
      </c>
      <c r="H560" s="3" t="n">
        <v>1</v>
      </c>
      <c r="I560" s="3" t="s">
        <v>65</v>
      </c>
      <c r="J560" s="3" t="n">
        <v>-0.42</v>
      </c>
      <c r="K560" s="3" t="n">
        <v>-1.57</v>
      </c>
      <c r="L560" s="3" t="n">
        <v>2.69</v>
      </c>
      <c r="M560" s="3" t="n">
        <v>2.29</v>
      </c>
      <c r="N560" s="3" t="s">
        <v>2391</v>
      </c>
      <c r="O560" s="3" t="n">
        <v>8860</v>
      </c>
      <c r="P560" s="3" t="n">
        <v>3.94</v>
      </c>
      <c r="Q560" s="3"/>
    </row>
    <row r="561" customFormat="false" ht="15" hidden="false" customHeight="false" outlineLevel="0" collapsed="false">
      <c r="A561" s="3" t="s">
        <v>513</v>
      </c>
      <c r="B561" s="3" t="s">
        <v>514</v>
      </c>
      <c r="C561" s="3" t="n">
        <v>3</v>
      </c>
      <c r="D561" s="3" t="s">
        <v>1168</v>
      </c>
      <c r="E561" s="3" t="n">
        <v>273.75</v>
      </c>
      <c r="F561" s="3" t="s">
        <v>1168</v>
      </c>
      <c r="G561" s="3" t="n">
        <v>273.75</v>
      </c>
      <c r="H561" s="3" t="n">
        <v>1</v>
      </c>
      <c r="I561" s="3" t="s">
        <v>65</v>
      </c>
      <c r="J561" s="3" t="n">
        <v>-1.63</v>
      </c>
      <c r="K561" s="3" t="n">
        <v>0.58</v>
      </c>
      <c r="L561" s="3" t="n">
        <v>-12.16</v>
      </c>
      <c r="M561" s="3" t="n">
        <v>-11.89</v>
      </c>
      <c r="N561" s="3" t="s">
        <v>2391</v>
      </c>
      <c r="O561" s="3" t="n">
        <v>227.5</v>
      </c>
      <c r="P561" s="3" t="n">
        <v>-16.89</v>
      </c>
      <c r="Q561" s="3"/>
    </row>
    <row r="562" customFormat="false" ht="15" hidden="false" customHeight="false" outlineLevel="0" collapsed="false">
      <c r="A562" s="3" t="s">
        <v>639</v>
      </c>
      <c r="B562" s="3" t="s">
        <v>640</v>
      </c>
      <c r="C562" s="3" t="n">
        <v>1</v>
      </c>
      <c r="D562" s="3" t="s">
        <v>1168</v>
      </c>
      <c r="E562" s="3" t="n">
        <v>147.72</v>
      </c>
      <c r="F562" s="3" t="s">
        <v>1168</v>
      </c>
      <c r="G562" s="3" t="n">
        <v>147.72</v>
      </c>
      <c r="H562" s="3" t="n">
        <v>1</v>
      </c>
      <c r="I562" s="3" t="s">
        <v>65</v>
      </c>
      <c r="J562" s="3" t="n">
        <v>-1.94</v>
      </c>
      <c r="K562" s="3" t="n">
        <v>-1.39</v>
      </c>
      <c r="L562" s="3" t="n">
        <v>-8.53</v>
      </c>
      <c r="M562" s="3" t="n">
        <v>-3.13</v>
      </c>
      <c r="N562" s="3" t="s">
        <v>2391</v>
      </c>
      <c r="O562" s="3" t="n">
        <v>129.99</v>
      </c>
      <c r="P562" s="3" t="n">
        <v>-12</v>
      </c>
      <c r="Q562" s="3"/>
    </row>
    <row r="563" customFormat="false" ht="15" hidden="false" customHeight="false" outlineLevel="0" collapsed="false">
      <c r="A563" s="3" t="s">
        <v>519</v>
      </c>
      <c r="B563" s="3" t="s">
        <v>520</v>
      </c>
      <c r="C563" s="3" t="n">
        <v>2</v>
      </c>
      <c r="D563" s="3" t="s">
        <v>1168</v>
      </c>
      <c r="E563" s="3" t="n">
        <v>137.51</v>
      </c>
      <c r="F563" s="3" t="s">
        <v>1168</v>
      </c>
      <c r="G563" s="3" t="n">
        <v>137.51</v>
      </c>
      <c r="H563" s="3" t="n">
        <v>1</v>
      </c>
      <c r="I563" s="3" t="s">
        <v>65</v>
      </c>
      <c r="J563" s="3" t="n">
        <v>-2.95</v>
      </c>
      <c r="K563" s="3" t="n">
        <v>-3.4</v>
      </c>
      <c r="L563" s="3" t="n">
        <v>-11.9</v>
      </c>
      <c r="M563" s="3" t="n">
        <v>-8.15</v>
      </c>
      <c r="N563" s="3" t="s">
        <v>2391</v>
      </c>
      <c r="O563" s="3" t="n">
        <v>120.65</v>
      </c>
      <c r="P563" s="3" t="n">
        <v>-12.26</v>
      </c>
      <c r="Q563" s="3"/>
    </row>
    <row r="564" customFormat="false" ht="15" hidden="false" customHeight="false" outlineLevel="0" collapsed="false">
      <c r="A564" s="3" t="s">
        <v>66</v>
      </c>
      <c r="B564" s="3" t="s">
        <v>67</v>
      </c>
      <c r="C564" s="3" t="n">
        <v>4</v>
      </c>
      <c r="D564" s="3" t="s">
        <v>1168</v>
      </c>
      <c r="E564" s="3" t="n">
        <v>6753</v>
      </c>
      <c r="F564" s="3" t="s">
        <v>1168</v>
      </c>
      <c r="G564" s="3" t="n">
        <v>6753</v>
      </c>
      <c r="H564" s="3" t="n">
        <v>1</v>
      </c>
      <c r="I564" s="3" t="s">
        <v>65</v>
      </c>
      <c r="J564" s="3" t="n">
        <v>-1.7</v>
      </c>
      <c r="K564" s="3" t="n">
        <v>-0.6</v>
      </c>
      <c r="L564" s="3" t="n">
        <v>0.03</v>
      </c>
      <c r="M564" s="3" t="n">
        <v>36.53</v>
      </c>
      <c r="N564" s="3" t="s">
        <v>2391</v>
      </c>
      <c r="O564" s="3" t="n">
        <v>9550</v>
      </c>
      <c r="P564" s="3" t="n">
        <v>41.42</v>
      </c>
      <c r="Q564" s="3"/>
    </row>
    <row r="565" customFormat="false" ht="15" hidden="false" customHeight="false" outlineLevel="0" collapsed="false">
      <c r="A565" s="3" t="s">
        <v>901</v>
      </c>
      <c r="B565" s="3" t="s">
        <v>902</v>
      </c>
      <c r="C565" s="3" t="n">
        <v>5</v>
      </c>
      <c r="D565" s="3" t="s">
        <v>1168</v>
      </c>
      <c r="E565" s="3" t="n">
        <v>1084.8</v>
      </c>
      <c r="F565" s="3" t="s">
        <v>1168</v>
      </c>
      <c r="G565" s="3" t="n">
        <v>1084.8</v>
      </c>
      <c r="H565" s="3" t="n">
        <v>1</v>
      </c>
      <c r="I565" s="3" t="s">
        <v>65</v>
      </c>
      <c r="J565" s="3" t="n">
        <v>-2.15</v>
      </c>
      <c r="K565" s="3" t="n">
        <v>5.31</v>
      </c>
      <c r="L565" s="3" t="n">
        <v>7.67</v>
      </c>
      <c r="M565" s="3" t="n">
        <v>7.99</v>
      </c>
      <c r="N565" s="3" t="s">
        <v>2391</v>
      </c>
      <c r="O565" s="3" t="n">
        <v>1093.9</v>
      </c>
      <c r="P565" s="3" t="n">
        <v>0.84</v>
      </c>
      <c r="Q565" s="3"/>
    </row>
    <row r="566" customFormat="false" ht="15" hidden="false" customHeight="false" outlineLevel="0" collapsed="false">
      <c r="A566" s="3" t="s">
        <v>237</v>
      </c>
      <c r="B566" s="3" t="s">
        <v>238</v>
      </c>
      <c r="C566" s="3" t="n">
        <v>6</v>
      </c>
      <c r="D566" s="3" t="s">
        <v>1175</v>
      </c>
      <c r="E566" s="3" t="n">
        <v>1765.7</v>
      </c>
      <c r="F566" s="3" t="s">
        <v>1175</v>
      </c>
      <c r="G566" s="3" t="n">
        <v>1765.7</v>
      </c>
      <c r="H566" s="3" t="n">
        <v>1</v>
      </c>
      <c r="I566" s="3" t="s">
        <v>65</v>
      </c>
      <c r="J566" s="3" t="n">
        <v>-1.86</v>
      </c>
      <c r="K566" s="3" t="n">
        <v>5.86</v>
      </c>
      <c r="L566" s="3" t="n">
        <v>18.25</v>
      </c>
      <c r="M566" s="3" t="n">
        <v>11</v>
      </c>
      <c r="N566" s="3" t="s">
        <v>2391</v>
      </c>
      <c r="O566" s="3" t="n">
        <v>1952.2</v>
      </c>
      <c r="P566" s="3" t="n">
        <v>10.56</v>
      </c>
      <c r="Q566" s="3"/>
    </row>
    <row r="567" customFormat="false" ht="15" hidden="false" customHeight="false" outlineLevel="0" collapsed="false">
      <c r="A567" s="3" t="s">
        <v>210</v>
      </c>
      <c r="B567" s="3" t="s">
        <v>211</v>
      </c>
      <c r="C567" s="3" t="n">
        <v>3</v>
      </c>
      <c r="D567" s="3" t="s">
        <v>1177</v>
      </c>
      <c r="E567" s="3" t="n">
        <v>1689.1</v>
      </c>
      <c r="F567" s="3" t="s">
        <v>1177</v>
      </c>
      <c r="G567" s="3" t="n">
        <v>1689.1</v>
      </c>
      <c r="H567" s="3" t="n">
        <v>1</v>
      </c>
      <c r="I567" s="3" t="s">
        <v>65</v>
      </c>
      <c r="J567" s="3" t="n">
        <v>3.62</v>
      </c>
      <c r="K567" s="3" t="n">
        <v>4.75</v>
      </c>
      <c r="L567" s="3" t="n">
        <v>12.97</v>
      </c>
      <c r="M567" s="3" t="n">
        <v>14.77</v>
      </c>
      <c r="N567" s="3" t="s">
        <v>2391</v>
      </c>
      <c r="O567" s="3" t="n">
        <v>1752</v>
      </c>
      <c r="P567" s="3" t="n">
        <v>3.72</v>
      </c>
      <c r="Q567" s="3"/>
    </row>
    <row r="568" customFormat="false" ht="15" hidden="false" customHeight="false" outlineLevel="0" collapsed="false">
      <c r="A568" s="3" t="s">
        <v>319</v>
      </c>
      <c r="B568" s="3" t="s">
        <v>320</v>
      </c>
      <c r="C568" s="3" t="n">
        <v>4</v>
      </c>
      <c r="D568" s="3" t="s">
        <v>1177</v>
      </c>
      <c r="E568" s="3" t="n">
        <v>1568.1</v>
      </c>
      <c r="F568" s="3" t="s">
        <v>1177</v>
      </c>
      <c r="G568" s="3" t="n">
        <v>1568.1</v>
      </c>
      <c r="H568" s="3" t="n">
        <v>1</v>
      </c>
      <c r="I568" s="3" t="s">
        <v>65</v>
      </c>
      <c r="J568" s="3" t="n">
        <v>5.45</v>
      </c>
      <c r="K568" s="3" t="n">
        <v>7.99</v>
      </c>
      <c r="L568" s="3" t="n">
        <v>15.48</v>
      </c>
      <c r="M568" s="3" t="n">
        <v>17.86</v>
      </c>
      <c r="N568" s="3" t="s">
        <v>2391</v>
      </c>
      <c r="O568" s="3" t="n">
        <v>1634.2</v>
      </c>
      <c r="P568" s="3" t="n">
        <v>4.22</v>
      </c>
      <c r="Q568" s="3"/>
    </row>
    <row r="569" customFormat="false" ht="15" hidden="false" customHeight="false" outlineLevel="0" collapsed="false">
      <c r="A569" s="3" t="s">
        <v>522</v>
      </c>
      <c r="B569" s="3" t="s">
        <v>523</v>
      </c>
      <c r="C569" s="3" t="n">
        <v>2</v>
      </c>
      <c r="D569" s="3" t="s">
        <v>1177</v>
      </c>
      <c r="E569" s="3" t="n">
        <v>256.2</v>
      </c>
      <c r="F569" s="3" t="s">
        <v>1177</v>
      </c>
      <c r="G569" s="3" t="n">
        <v>256.2</v>
      </c>
      <c r="H569" s="3" t="n">
        <v>1</v>
      </c>
      <c r="I569" s="3" t="s">
        <v>65</v>
      </c>
      <c r="J569" s="3" t="n">
        <v>3.84</v>
      </c>
      <c r="K569" s="3" t="n">
        <v>7.44</v>
      </c>
      <c r="L569" s="3" t="n">
        <v>2.19</v>
      </c>
      <c r="M569" s="3" t="n">
        <v>-9.83</v>
      </c>
      <c r="N569" s="3" t="s">
        <v>2391</v>
      </c>
      <c r="O569" s="3" t="n">
        <v>218.8</v>
      </c>
      <c r="P569" s="3" t="n">
        <v>-14.6</v>
      </c>
      <c r="Q569" s="3"/>
    </row>
    <row r="570" customFormat="false" ht="15" hidden="false" customHeight="false" outlineLevel="0" collapsed="false">
      <c r="A570" s="3" t="s">
        <v>1181</v>
      </c>
      <c r="B570" s="3" t="s">
        <v>1182</v>
      </c>
      <c r="C570" s="3" t="n">
        <v>0</v>
      </c>
      <c r="D570" s="3" t="s">
        <v>1177</v>
      </c>
      <c r="E570" s="3" t="n">
        <v>4709.7</v>
      </c>
      <c r="F570" s="3" t="s">
        <v>1177</v>
      </c>
      <c r="G570" s="3" t="n">
        <v>4709.7</v>
      </c>
      <c r="H570" s="3" t="n">
        <v>1</v>
      </c>
      <c r="I570" s="3" t="s">
        <v>65</v>
      </c>
      <c r="J570" s="3" t="n">
        <v>3.62</v>
      </c>
      <c r="K570" s="3" t="n">
        <v>6.62</v>
      </c>
      <c r="L570" s="3" t="n">
        <v>11.04</v>
      </c>
      <c r="M570" s="3" t="n">
        <v>6.19</v>
      </c>
      <c r="N570" s="3" t="s">
        <v>2391</v>
      </c>
      <c r="O570" s="3" t="n">
        <v>4874.5</v>
      </c>
      <c r="P570" s="3" t="n">
        <v>3.5</v>
      </c>
      <c r="Q570" s="3"/>
    </row>
    <row r="571" customFormat="false" ht="15" hidden="false" customHeight="false" outlineLevel="0" collapsed="false">
      <c r="A571" s="3" t="s">
        <v>509</v>
      </c>
      <c r="B571" s="3" t="s">
        <v>510</v>
      </c>
      <c r="C571" s="3" t="n">
        <v>3</v>
      </c>
      <c r="D571" s="3" t="s">
        <v>1177</v>
      </c>
      <c r="E571" s="3" t="n">
        <v>917.35</v>
      </c>
      <c r="F571" s="3" t="s">
        <v>1177</v>
      </c>
      <c r="G571" s="3" t="n">
        <v>917.35</v>
      </c>
      <c r="H571" s="3" t="n">
        <v>1</v>
      </c>
      <c r="I571" s="3" t="s">
        <v>65</v>
      </c>
      <c r="J571" s="3" t="n">
        <v>1.73</v>
      </c>
      <c r="K571" s="3" t="n">
        <v>3.28</v>
      </c>
      <c r="L571" s="3" t="n">
        <v>10.42</v>
      </c>
      <c r="M571" s="3" t="n">
        <v>8.79</v>
      </c>
      <c r="N571" s="3" t="s">
        <v>2391</v>
      </c>
      <c r="O571" s="3" t="n">
        <v>909.7</v>
      </c>
      <c r="P571" s="3" t="n">
        <v>-0.83</v>
      </c>
      <c r="Q571" s="3"/>
    </row>
    <row r="572" customFormat="false" ht="15" hidden="false" customHeight="false" outlineLevel="0" collapsed="false">
      <c r="A572" s="3" t="s">
        <v>480</v>
      </c>
      <c r="B572" s="3" t="s">
        <v>481</v>
      </c>
      <c r="C572" s="3" t="n">
        <v>2</v>
      </c>
      <c r="D572" s="3" t="s">
        <v>1177</v>
      </c>
      <c r="E572" s="3" t="n">
        <v>13366</v>
      </c>
      <c r="F572" s="3" t="s">
        <v>1177</v>
      </c>
      <c r="G572" s="3" t="n">
        <v>13366</v>
      </c>
      <c r="H572" s="3" t="n">
        <v>1</v>
      </c>
      <c r="I572" s="3" t="s">
        <v>65</v>
      </c>
      <c r="J572" s="3" t="n">
        <v>3.28</v>
      </c>
      <c r="K572" s="3" t="n">
        <v>0.22</v>
      </c>
      <c r="L572" s="3" t="n">
        <v>2.46</v>
      </c>
      <c r="M572" s="3" t="n">
        <v>-4.53</v>
      </c>
      <c r="N572" s="3" t="s">
        <v>2391</v>
      </c>
      <c r="O572" s="3" t="n">
        <v>12008</v>
      </c>
      <c r="P572" s="3" t="n">
        <v>-10.16</v>
      </c>
      <c r="Q572" s="3"/>
    </row>
    <row r="573" customFormat="false" ht="15" hidden="false" customHeight="false" outlineLevel="0" collapsed="false">
      <c r="A573" s="3" t="s">
        <v>1142</v>
      </c>
      <c r="B573" s="3" t="s">
        <v>1143</v>
      </c>
      <c r="C573" s="3" t="n">
        <v>1</v>
      </c>
      <c r="D573" s="3" t="s">
        <v>1177</v>
      </c>
      <c r="E573" s="3" t="n">
        <v>1622.8</v>
      </c>
      <c r="F573" s="3" t="s">
        <v>1204</v>
      </c>
      <c r="G573" s="3" t="n">
        <v>1704.8</v>
      </c>
      <c r="H573" s="3" t="n">
        <v>3</v>
      </c>
      <c r="I573" s="3" t="s">
        <v>70</v>
      </c>
      <c r="J573" s="3" t="n">
        <v>2.87</v>
      </c>
      <c r="K573" s="3" t="n">
        <v>3.74</v>
      </c>
      <c r="L573" s="3" t="n">
        <v>18.63</v>
      </c>
      <c r="M573" s="3" t="n">
        <v>13.85</v>
      </c>
      <c r="N573" s="3" t="s">
        <v>2391</v>
      </c>
      <c r="O573" s="3" t="n">
        <v>1830</v>
      </c>
      <c r="P573" s="3" t="n">
        <v>12.77</v>
      </c>
      <c r="Q573" s="3"/>
    </row>
    <row r="574" customFormat="false" ht="15" hidden="false" customHeight="false" outlineLevel="0" collapsed="false">
      <c r="A574" s="3" t="s">
        <v>164</v>
      </c>
      <c r="B574" s="3" t="s">
        <v>165</v>
      </c>
      <c r="C574" s="3" t="n">
        <v>6</v>
      </c>
      <c r="D574" s="3" t="s">
        <v>1177</v>
      </c>
      <c r="E574" s="3" t="n">
        <v>1535.5</v>
      </c>
      <c r="F574" s="3" t="s">
        <v>1190</v>
      </c>
      <c r="G574" s="3" t="n">
        <v>1571</v>
      </c>
      <c r="H574" s="3" t="n">
        <v>2</v>
      </c>
      <c r="I574" s="3" t="s">
        <v>70</v>
      </c>
      <c r="J574" s="3" t="n">
        <v>2.31</v>
      </c>
      <c r="K574" s="3" t="n">
        <v>2.89</v>
      </c>
      <c r="L574" s="3" t="n">
        <v>2.94</v>
      </c>
      <c r="M574" s="3" t="n">
        <v>2.57</v>
      </c>
      <c r="N574" s="3" t="s">
        <v>2391</v>
      </c>
      <c r="O574" s="3" t="n">
        <v>1503</v>
      </c>
      <c r="P574" s="3" t="n">
        <v>-2.12</v>
      </c>
      <c r="Q574" s="3"/>
    </row>
    <row r="575" customFormat="false" ht="15" hidden="false" customHeight="false" outlineLevel="0" collapsed="false">
      <c r="A575" s="3" t="s">
        <v>441</v>
      </c>
      <c r="B575" s="3" t="s">
        <v>442</v>
      </c>
      <c r="C575" s="3" t="n">
        <v>4</v>
      </c>
      <c r="D575" s="3" t="s">
        <v>1177</v>
      </c>
      <c r="E575" s="3" t="n">
        <v>989.9</v>
      </c>
      <c r="F575" s="3" t="s">
        <v>1177</v>
      </c>
      <c r="G575" s="3" t="n">
        <v>989.9</v>
      </c>
      <c r="H575" s="3" t="n">
        <v>1</v>
      </c>
      <c r="I575" s="3" t="s">
        <v>65</v>
      </c>
      <c r="J575" s="3" t="n">
        <v>2.77</v>
      </c>
      <c r="K575" s="3" t="n">
        <v>1.32</v>
      </c>
      <c r="L575" s="3" t="n">
        <v>13.38</v>
      </c>
      <c r="M575" s="3" t="n">
        <v>19.42</v>
      </c>
      <c r="N575" s="3" t="s">
        <v>2391</v>
      </c>
      <c r="O575" s="3" t="n">
        <v>1085</v>
      </c>
      <c r="P575" s="3" t="n">
        <v>9.61</v>
      </c>
      <c r="Q575" s="3"/>
    </row>
    <row r="576" customFormat="false" ht="15" hidden="false" customHeight="false" outlineLevel="0" collapsed="false">
      <c r="A576" s="3" t="s">
        <v>700</v>
      </c>
      <c r="B576" s="3" t="s">
        <v>701</v>
      </c>
      <c r="C576" s="3" t="n">
        <v>1</v>
      </c>
      <c r="D576" s="3" t="s">
        <v>1177</v>
      </c>
      <c r="E576" s="3" t="n">
        <v>3312.8</v>
      </c>
      <c r="F576" s="3" t="s">
        <v>1177</v>
      </c>
      <c r="G576" s="3" t="n">
        <v>3312.8</v>
      </c>
      <c r="H576" s="3" t="n">
        <v>1</v>
      </c>
      <c r="I576" s="3" t="s">
        <v>65</v>
      </c>
      <c r="J576" s="3" t="n">
        <v>4.43</v>
      </c>
      <c r="K576" s="3" t="n">
        <v>3.93</v>
      </c>
      <c r="L576" s="3" t="n">
        <v>10.99</v>
      </c>
      <c r="M576" s="3" t="n">
        <v>24.73</v>
      </c>
      <c r="N576" s="3" t="s">
        <v>2391</v>
      </c>
      <c r="O576" s="3" t="n">
        <v>4095</v>
      </c>
      <c r="P576" s="3" t="n">
        <v>23.61</v>
      </c>
      <c r="Q576" s="3"/>
    </row>
    <row r="577" customFormat="false" ht="15" hidden="false" customHeight="false" outlineLevel="0" collapsed="false">
      <c r="A577" s="3" t="s">
        <v>207</v>
      </c>
      <c r="B577" s="3" t="s">
        <v>208</v>
      </c>
      <c r="C577" s="3" t="n">
        <v>6</v>
      </c>
      <c r="D577" s="3" t="s">
        <v>1190</v>
      </c>
      <c r="E577" s="3" t="n">
        <v>1130.8</v>
      </c>
      <c r="F577" s="3" t="s">
        <v>1190</v>
      </c>
      <c r="G577" s="3" t="n">
        <v>1130.8</v>
      </c>
      <c r="H577" s="3" t="n">
        <v>1</v>
      </c>
      <c r="I577" s="3" t="s">
        <v>65</v>
      </c>
      <c r="J577" s="3" t="n">
        <v>0.25</v>
      </c>
      <c r="K577" s="3" t="n">
        <v>0.74</v>
      </c>
      <c r="L577" s="3" t="n">
        <v>-2.83</v>
      </c>
      <c r="M577" s="3" t="n">
        <v>-1.84</v>
      </c>
      <c r="N577" s="3" t="s">
        <v>2391</v>
      </c>
      <c r="O577" s="3" t="n">
        <v>1045</v>
      </c>
      <c r="P577" s="3" t="n">
        <v>-7.59</v>
      </c>
      <c r="Q577" s="3"/>
    </row>
    <row r="578" customFormat="false" ht="15" hidden="false" customHeight="false" outlineLevel="0" collapsed="false">
      <c r="A578" s="3" t="s">
        <v>58</v>
      </c>
      <c r="B578" s="3" t="s">
        <v>59</v>
      </c>
      <c r="C578" s="3" t="n">
        <v>4</v>
      </c>
      <c r="D578" s="3" t="s">
        <v>1190</v>
      </c>
      <c r="E578" s="3" t="n">
        <v>1833.8</v>
      </c>
      <c r="F578" s="3" t="s">
        <v>1190</v>
      </c>
      <c r="G578" s="3" t="n">
        <v>1833.8</v>
      </c>
      <c r="H578" s="3" t="n">
        <v>1</v>
      </c>
      <c r="I578" s="3" t="s">
        <v>65</v>
      </c>
      <c r="J578" s="3" t="n">
        <v>0.45</v>
      </c>
      <c r="K578" s="3" t="n">
        <v>1.15</v>
      </c>
      <c r="L578" s="3" t="n">
        <v>-1.9</v>
      </c>
      <c r="M578" s="3" t="n">
        <v>19.15</v>
      </c>
      <c r="N578" s="3" t="s">
        <v>2391</v>
      </c>
      <c r="O578" s="3" t="n">
        <v>2197</v>
      </c>
      <c r="P578" s="3" t="n">
        <v>19.81</v>
      </c>
      <c r="Q578" s="3"/>
    </row>
    <row r="579" customFormat="false" ht="15" hidden="false" customHeight="false" outlineLevel="0" collapsed="false">
      <c r="A579" s="3" t="s">
        <v>93</v>
      </c>
      <c r="B579" s="3" t="s">
        <v>94</v>
      </c>
      <c r="C579" s="3" t="n">
        <v>5</v>
      </c>
      <c r="D579" s="3" t="s">
        <v>1190</v>
      </c>
      <c r="E579" s="3" t="n">
        <v>1719.4</v>
      </c>
      <c r="F579" s="3" t="s">
        <v>1190</v>
      </c>
      <c r="G579" s="3" t="n">
        <v>1719.4</v>
      </c>
      <c r="H579" s="3" t="n">
        <v>1</v>
      </c>
      <c r="I579" s="3" t="s">
        <v>65</v>
      </c>
      <c r="J579" s="3" t="n">
        <v>-0.57</v>
      </c>
      <c r="K579" s="3" t="n">
        <v>-0.48</v>
      </c>
      <c r="L579" s="3" t="n">
        <v>2.46</v>
      </c>
      <c r="M579" s="3" t="n">
        <v>-1.1</v>
      </c>
      <c r="N579" s="3" t="s">
        <v>2391</v>
      </c>
      <c r="O579" s="3" t="n">
        <v>1651.6</v>
      </c>
      <c r="P579" s="3" t="n">
        <v>-3.94</v>
      </c>
      <c r="Q579" s="3"/>
    </row>
    <row r="580" customFormat="false" ht="15" hidden="false" customHeight="false" outlineLevel="0" collapsed="false">
      <c r="A580" s="3" t="s">
        <v>254</v>
      </c>
      <c r="B580" s="3" t="s">
        <v>255</v>
      </c>
      <c r="C580" s="3" t="n">
        <v>2</v>
      </c>
      <c r="D580" s="3" t="s">
        <v>1190</v>
      </c>
      <c r="E580" s="3" t="n">
        <v>614.45</v>
      </c>
      <c r="F580" s="3" t="s">
        <v>1190</v>
      </c>
      <c r="G580" s="3" t="n">
        <v>614.45</v>
      </c>
      <c r="H580" s="3" t="n">
        <v>1</v>
      </c>
      <c r="I580" s="3" t="s">
        <v>65</v>
      </c>
      <c r="J580" s="3" t="n">
        <v>2.42</v>
      </c>
      <c r="K580" s="3" t="n">
        <v>2.14</v>
      </c>
      <c r="L580" s="3" t="n">
        <v>9.28</v>
      </c>
      <c r="M580" s="3" t="n">
        <v>9.87</v>
      </c>
      <c r="N580" s="3" t="s">
        <v>2391</v>
      </c>
      <c r="O580" s="3" t="n">
        <v>663.55</v>
      </c>
      <c r="P580" s="3" t="n">
        <v>7.99</v>
      </c>
      <c r="Q580" s="3"/>
    </row>
    <row r="581" customFormat="false" ht="15" hidden="false" customHeight="false" outlineLevel="0" collapsed="false">
      <c r="A581" s="3" t="s">
        <v>257</v>
      </c>
      <c r="B581" s="3" t="s">
        <v>258</v>
      </c>
      <c r="C581" s="3" t="n">
        <v>3</v>
      </c>
      <c r="D581" s="3" t="s">
        <v>1190</v>
      </c>
      <c r="E581" s="3" t="n">
        <v>175.41</v>
      </c>
      <c r="F581" s="3" t="s">
        <v>1190</v>
      </c>
      <c r="G581" s="3" t="n">
        <v>175.41</v>
      </c>
      <c r="H581" s="3" t="n">
        <v>1</v>
      </c>
      <c r="I581" s="3" t="s">
        <v>65</v>
      </c>
      <c r="J581" s="3" t="n">
        <v>0.39</v>
      </c>
      <c r="K581" s="3" t="n">
        <v>1.08</v>
      </c>
      <c r="L581" s="3" t="n">
        <v>-2.22</v>
      </c>
      <c r="M581" s="3" t="n">
        <v>-0.18</v>
      </c>
      <c r="N581" s="3" t="s">
        <v>2391</v>
      </c>
      <c r="O581" s="3" t="n">
        <v>172.45</v>
      </c>
      <c r="P581" s="3" t="n">
        <v>-1.69</v>
      </c>
      <c r="Q581" s="3"/>
    </row>
    <row r="582" customFormat="false" ht="15" hidden="false" customHeight="false" outlineLevel="0" collapsed="false">
      <c r="A582" s="3" t="s">
        <v>136</v>
      </c>
      <c r="B582" s="3" t="s">
        <v>137</v>
      </c>
      <c r="C582" s="3" t="n">
        <v>11</v>
      </c>
      <c r="D582" s="3" t="s">
        <v>1190</v>
      </c>
      <c r="E582" s="3" t="n">
        <v>144.49</v>
      </c>
      <c r="F582" s="3" t="s">
        <v>1190</v>
      </c>
      <c r="G582" s="3" t="n">
        <v>144.49</v>
      </c>
      <c r="H582" s="3" t="n">
        <v>1</v>
      </c>
      <c r="I582" s="3" t="s">
        <v>65</v>
      </c>
      <c r="J582" s="3" t="n">
        <v>0.43</v>
      </c>
      <c r="K582" s="3" t="n">
        <v>-0.08</v>
      </c>
      <c r="L582" s="3" t="n">
        <v>-5.15</v>
      </c>
      <c r="M582" s="3" t="n">
        <v>-7.02</v>
      </c>
      <c r="N582" s="3" t="s">
        <v>2391</v>
      </c>
      <c r="O582" s="3" t="n">
        <v>133.32</v>
      </c>
      <c r="P582" s="3" t="n">
        <v>-7.73</v>
      </c>
      <c r="Q582" s="3"/>
    </row>
    <row r="583" customFormat="false" ht="15" hidden="false" customHeight="false" outlineLevel="0" collapsed="false">
      <c r="A583" s="3" t="s">
        <v>525</v>
      </c>
      <c r="B583" s="3" t="s">
        <v>526</v>
      </c>
      <c r="C583" s="3" t="n">
        <v>3</v>
      </c>
      <c r="D583" s="3" t="s">
        <v>1190</v>
      </c>
      <c r="E583" s="3" t="n">
        <v>239.52</v>
      </c>
      <c r="F583" s="3" t="s">
        <v>1190</v>
      </c>
      <c r="G583" s="3" t="n">
        <v>239.52</v>
      </c>
      <c r="H583" s="3" t="n">
        <v>1</v>
      </c>
      <c r="I583" s="3" t="s">
        <v>65</v>
      </c>
      <c r="J583" s="3" t="n">
        <v>1.01</v>
      </c>
      <c r="K583" s="3" t="n">
        <v>1.61</v>
      </c>
      <c r="L583" s="3" t="n">
        <v>-1.48</v>
      </c>
      <c r="M583" s="3" t="n">
        <v>-2.66</v>
      </c>
      <c r="N583" s="3" t="s">
        <v>2391</v>
      </c>
      <c r="O583" s="3" t="n">
        <v>220.5</v>
      </c>
      <c r="P583" s="3" t="n">
        <v>-7.94</v>
      </c>
      <c r="Q583" s="3"/>
    </row>
    <row r="584" customFormat="false" ht="15" hidden="false" customHeight="false" outlineLevel="0" collapsed="false">
      <c r="A584" s="3" t="s">
        <v>237</v>
      </c>
      <c r="B584" s="3" t="s">
        <v>238</v>
      </c>
      <c r="C584" s="3" t="n">
        <v>7</v>
      </c>
      <c r="D584" s="3" t="s">
        <v>1190</v>
      </c>
      <c r="E584" s="3" t="n">
        <v>1846.9</v>
      </c>
      <c r="F584" s="3" t="s">
        <v>1190</v>
      </c>
      <c r="G584" s="3" t="n">
        <v>1846.9</v>
      </c>
      <c r="H584" s="3" t="n">
        <v>1</v>
      </c>
      <c r="I584" s="3" t="s">
        <v>65</v>
      </c>
      <c r="J584" s="3" t="n">
        <v>1.15</v>
      </c>
      <c r="K584" s="3" t="n">
        <v>1.31</v>
      </c>
      <c r="L584" s="3" t="n">
        <v>15.46</v>
      </c>
      <c r="M584" s="3" t="n">
        <v>2.06</v>
      </c>
      <c r="N584" s="3" t="s">
        <v>2391</v>
      </c>
      <c r="O584" s="3" t="n">
        <v>1952.2</v>
      </c>
      <c r="P584" s="3" t="n">
        <v>5.7</v>
      </c>
      <c r="Q584" s="3"/>
    </row>
    <row r="585" customFormat="false" ht="15" hidden="false" customHeight="false" outlineLevel="0" collapsed="false">
      <c r="A585" s="3" t="s">
        <v>550</v>
      </c>
      <c r="B585" s="3" t="s">
        <v>551</v>
      </c>
      <c r="C585" s="3" t="n">
        <v>3</v>
      </c>
      <c r="D585" s="3" t="s">
        <v>1190</v>
      </c>
      <c r="E585" s="3" t="n">
        <v>1472.5</v>
      </c>
      <c r="F585" s="3" t="s">
        <v>1190</v>
      </c>
      <c r="G585" s="3" t="n">
        <v>1472.5</v>
      </c>
      <c r="H585" s="3" t="n">
        <v>1</v>
      </c>
      <c r="I585" s="3" t="s">
        <v>65</v>
      </c>
      <c r="J585" s="3" t="n">
        <v>3.3</v>
      </c>
      <c r="K585" s="3" t="n">
        <v>2.72</v>
      </c>
      <c r="L585" s="3" t="n">
        <v>15.02</v>
      </c>
      <c r="M585" s="3" t="n">
        <v>6.05</v>
      </c>
      <c r="N585" s="3" t="s">
        <v>2391</v>
      </c>
      <c r="O585" s="3" t="n">
        <v>1470.8</v>
      </c>
      <c r="P585" s="3" t="n">
        <v>-0.12</v>
      </c>
      <c r="Q585" s="3"/>
    </row>
    <row r="586" customFormat="false" ht="15" hidden="false" customHeight="false" outlineLevel="0" collapsed="false">
      <c r="A586" s="3" t="s">
        <v>178</v>
      </c>
      <c r="B586" s="3" t="s">
        <v>179</v>
      </c>
      <c r="C586" s="3" t="n">
        <v>2</v>
      </c>
      <c r="D586" s="3" t="s">
        <v>1190</v>
      </c>
      <c r="E586" s="3" t="n">
        <v>404.1</v>
      </c>
      <c r="F586" s="3" t="s">
        <v>1190</v>
      </c>
      <c r="G586" s="3" t="n">
        <v>404.1</v>
      </c>
      <c r="H586" s="3" t="n">
        <v>1</v>
      </c>
      <c r="I586" s="3" t="s">
        <v>65</v>
      </c>
      <c r="J586" s="3" t="n">
        <v>-0.46</v>
      </c>
      <c r="K586" s="3" t="n">
        <v>0.46</v>
      </c>
      <c r="L586" s="3" t="n">
        <v>-6.53</v>
      </c>
      <c r="M586" s="3" t="n">
        <v>-9.54</v>
      </c>
      <c r="N586" s="3" t="s">
        <v>2391</v>
      </c>
      <c r="O586" s="3" t="n">
        <v>361.9</v>
      </c>
      <c r="P586" s="3" t="n">
        <v>-10.44</v>
      </c>
      <c r="Q586" s="3"/>
    </row>
    <row r="587" customFormat="false" ht="15" hidden="false" customHeight="false" outlineLevel="0" collapsed="false">
      <c r="A587" s="3" t="s">
        <v>579</v>
      </c>
      <c r="B587" s="3" t="s">
        <v>580</v>
      </c>
      <c r="C587" s="3" t="n">
        <v>2</v>
      </c>
      <c r="D587" s="3" t="s">
        <v>1190</v>
      </c>
      <c r="E587" s="3" t="n">
        <v>541</v>
      </c>
      <c r="F587" s="3" t="s">
        <v>1190</v>
      </c>
      <c r="G587" s="3" t="n">
        <v>541</v>
      </c>
      <c r="H587" s="3" t="n">
        <v>1</v>
      </c>
      <c r="I587" s="3" t="s">
        <v>65</v>
      </c>
      <c r="J587" s="3" t="n">
        <v>0.01</v>
      </c>
      <c r="K587" s="3" t="n">
        <v>-5.18</v>
      </c>
      <c r="L587" s="3" t="n">
        <v>-13.08</v>
      </c>
      <c r="M587" s="3" t="n">
        <v>-25.01</v>
      </c>
      <c r="N587" s="3" t="s">
        <v>2391</v>
      </c>
      <c r="O587" s="3" t="n">
        <v>430</v>
      </c>
      <c r="P587" s="3" t="n">
        <v>-20.52</v>
      </c>
      <c r="Q587" s="3"/>
    </row>
    <row r="588" customFormat="false" ht="15" hidden="false" customHeight="false" outlineLevel="0" collapsed="false">
      <c r="A588" s="3" t="s">
        <v>794</v>
      </c>
      <c r="B588" s="3" t="s">
        <v>795</v>
      </c>
      <c r="C588" s="3" t="n">
        <v>1</v>
      </c>
      <c r="D588" s="3" t="s">
        <v>1204</v>
      </c>
      <c r="E588" s="3" t="n">
        <v>2096.9</v>
      </c>
      <c r="F588" s="3" t="s">
        <v>1204</v>
      </c>
      <c r="G588" s="3" t="n">
        <v>2096.9</v>
      </c>
      <c r="H588" s="3" t="n">
        <v>1</v>
      </c>
      <c r="I588" s="3" t="s">
        <v>65</v>
      </c>
      <c r="J588" s="3" t="n">
        <v>-2.99</v>
      </c>
      <c r="K588" s="3" t="n">
        <v>-5.55</v>
      </c>
      <c r="L588" s="3" t="n">
        <v>-4.06</v>
      </c>
      <c r="M588" s="3" t="n">
        <v>-14.16</v>
      </c>
      <c r="N588" s="3" t="s">
        <v>2391</v>
      </c>
      <c r="O588" s="3" t="n">
        <v>1845.9</v>
      </c>
      <c r="P588" s="3" t="n">
        <v>-11.97</v>
      </c>
      <c r="Q588" s="3"/>
    </row>
    <row r="589" customFormat="false" ht="15" hidden="false" customHeight="false" outlineLevel="0" collapsed="false">
      <c r="A589" s="3" t="s">
        <v>83</v>
      </c>
      <c r="B589" s="3" t="s">
        <v>84</v>
      </c>
      <c r="C589" s="3" t="n">
        <v>5</v>
      </c>
      <c r="D589" s="3" t="s">
        <v>1204</v>
      </c>
      <c r="E589" s="3" t="n">
        <v>2744</v>
      </c>
      <c r="F589" s="3" t="s">
        <v>1204</v>
      </c>
      <c r="G589" s="3" t="n">
        <v>2744</v>
      </c>
      <c r="H589" s="3" t="n">
        <v>1</v>
      </c>
      <c r="I589" s="3" t="s">
        <v>65</v>
      </c>
      <c r="J589" s="3" t="n">
        <v>-1.4</v>
      </c>
      <c r="K589" s="3" t="n">
        <v>-0.27</v>
      </c>
      <c r="L589" s="3" t="n">
        <v>1.15</v>
      </c>
      <c r="M589" s="3" t="n">
        <v>-8.16</v>
      </c>
      <c r="N589" s="3" t="s">
        <v>2391</v>
      </c>
      <c r="O589" s="3" t="n">
        <v>2491.5</v>
      </c>
      <c r="P589" s="3" t="n">
        <v>-9.2</v>
      </c>
      <c r="Q589" s="3"/>
    </row>
    <row r="590" customFormat="false" ht="15" hidden="false" customHeight="false" outlineLevel="0" collapsed="false">
      <c r="A590" s="3" t="s">
        <v>227</v>
      </c>
      <c r="B590" s="3" t="s">
        <v>228</v>
      </c>
      <c r="C590" s="3" t="n">
        <v>2</v>
      </c>
      <c r="D590" s="3" t="s">
        <v>1208</v>
      </c>
      <c r="E590" s="3" t="n">
        <v>1828.6</v>
      </c>
      <c r="F590" s="3" t="s">
        <v>1208</v>
      </c>
      <c r="G590" s="3" t="n">
        <v>1828.6</v>
      </c>
      <c r="H590" s="3" t="n">
        <v>1</v>
      </c>
      <c r="I590" s="3" t="s">
        <v>65</v>
      </c>
      <c r="J590" s="3" t="n">
        <v>0.74</v>
      </c>
      <c r="K590" s="3" t="n">
        <v>-0.84</v>
      </c>
      <c r="L590" s="3" t="n">
        <v>-0.12</v>
      </c>
      <c r="M590" s="3" t="n">
        <v>-3.31</v>
      </c>
      <c r="N590" s="3" t="s">
        <v>2391</v>
      </c>
      <c r="O590" s="3" t="n">
        <v>1743.7</v>
      </c>
      <c r="P590" s="3" t="n">
        <v>-4.64</v>
      </c>
      <c r="Q590" s="3"/>
    </row>
    <row r="591" customFormat="false" ht="15" hidden="false" customHeight="false" outlineLevel="0" collapsed="false">
      <c r="A591" s="3" t="s">
        <v>642</v>
      </c>
      <c r="B591" s="3" t="s">
        <v>643</v>
      </c>
      <c r="C591" s="3" t="n">
        <v>1</v>
      </c>
      <c r="D591" s="3" t="s">
        <v>1208</v>
      </c>
      <c r="E591" s="3" t="n">
        <v>419.85</v>
      </c>
      <c r="F591" s="3" t="s">
        <v>1208</v>
      </c>
      <c r="G591" s="3" t="n">
        <v>419.85</v>
      </c>
      <c r="H591" s="3" t="n">
        <v>1</v>
      </c>
      <c r="I591" s="3" t="s">
        <v>65</v>
      </c>
      <c r="J591" s="3" t="n">
        <v>2.08</v>
      </c>
      <c r="K591" s="3" t="n">
        <v>-1.5</v>
      </c>
      <c r="L591" s="3" t="n">
        <v>-3.04</v>
      </c>
      <c r="M591" s="3" t="n">
        <v>-3.54</v>
      </c>
      <c r="N591" s="3" t="s">
        <v>2391</v>
      </c>
      <c r="O591" s="3" t="n">
        <v>385.5</v>
      </c>
      <c r="P591" s="3" t="n">
        <v>-8.18</v>
      </c>
      <c r="Q591" s="3"/>
    </row>
    <row r="592" customFormat="false" ht="15" hidden="false" customHeight="false" outlineLevel="0" collapsed="false">
      <c r="A592" s="3" t="s">
        <v>519</v>
      </c>
      <c r="B592" s="3" t="s">
        <v>520</v>
      </c>
      <c r="C592" s="3" t="n">
        <v>3</v>
      </c>
      <c r="D592" s="3" t="s">
        <v>1208</v>
      </c>
      <c r="E592" s="3" t="n">
        <v>135.24</v>
      </c>
      <c r="F592" s="3" t="s">
        <v>1208</v>
      </c>
      <c r="G592" s="3" t="n">
        <v>135.24</v>
      </c>
      <c r="H592" s="3" t="n">
        <v>1</v>
      </c>
      <c r="I592" s="3" t="s">
        <v>65</v>
      </c>
      <c r="J592" s="3" t="n">
        <v>-0.2</v>
      </c>
      <c r="K592" s="3" t="n">
        <v>-3.76</v>
      </c>
      <c r="L592" s="3" t="n">
        <v>-6.91</v>
      </c>
      <c r="M592" s="3" t="n">
        <v>-7.87</v>
      </c>
      <c r="N592" s="3" t="s">
        <v>2391</v>
      </c>
      <c r="O592" s="3" t="n">
        <v>120.65</v>
      </c>
      <c r="P592" s="3" t="n">
        <v>-10.79</v>
      </c>
      <c r="Q592" s="3"/>
    </row>
    <row r="593" customFormat="false" ht="15" hidden="false" customHeight="false" outlineLevel="0" collapsed="false">
      <c r="A593" s="3" t="s">
        <v>74</v>
      </c>
      <c r="B593" s="3" t="s">
        <v>75</v>
      </c>
      <c r="C593" s="3" t="n">
        <v>3</v>
      </c>
      <c r="D593" s="3" t="s">
        <v>1208</v>
      </c>
      <c r="E593" s="3" t="n">
        <v>1790.5</v>
      </c>
      <c r="F593" s="3" t="s">
        <v>1208</v>
      </c>
      <c r="G593" s="3" t="n">
        <v>1790.5</v>
      </c>
      <c r="H593" s="3" t="n">
        <v>1</v>
      </c>
      <c r="I593" s="3" t="s">
        <v>65</v>
      </c>
      <c r="J593" s="3" t="n">
        <v>2.71</v>
      </c>
      <c r="K593" s="3" t="n">
        <v>1.71</v>
      </c>
      <c r="L593" s="3" t="n">
        <v>-9.31</v>
      </c>
      <c r="M593" s="3" t="n">
        <v>-18.18</v>
      </c>
      <c r="N593" s="3" t="s">
        <v>2391</v>
      </c>
      <c r="O593" s="3" t="n">
        <v>1540</v>
      </c>
      <c r="P593" s="3" t="n">
        <v>-13.99</v>
      </c>
      <c r="Q593" s="3"/>
    </row>
    <row r="594" customFormat="false" ht="15" hidden="false" customHeight="false" outlineLevel="0" collapsed="false">
      <c r="A594" s="3" t="s">
        <v>266</v>
      </c>
      <c r="B594" s="3" t="s">
        <v>267</v>
      </c>
      <c r="C594" s="3" t="n">
        <v>2</v>
      </c>
      <c r="D594" s="3" t="s">
        <v>1208</v>
      </c>
      <c r="E594" s="3" t="n">
        <v>2340.2</v>
      </c>
      <c r="F594" s="3" t="s">
        <v>1208</v>
      </c>
      <c r="G594" s="3" t="n">
        <v>2340.2</v>
      </c>
      <c r="H594" s="3" t="n">
        <v>1</v>
      </c>
      <c r="I594" s="3" t="s">
        <v>65</v>
      </c>
      <c r="J594" s="3" t="n">
        <v>-0.15</v>
      </c>
      <c r="K594" s="3" t="n">
        <v>-3.38</v>
      </c>
      <c r="L594" s="3" t="n">
        <v>0.5</v>
      </c>
      <c r="M594" s="3" t="n">
        <v>-2.07</v>
      </c>
      <c r="N594" s="3" t="s">
        <v>2391</v>
      </c>
      <c r="O594" s="3" t="n">
        <v>2237.5</v>
      </c>
      <c r="P594" s="3" t="n">
        <v>-4.39</v>
      </c>
      <c r="Q594" s="3"/>
    </row>
    <row r="595" customFormat="false" ht="15" hidden="false" customHeight="false" outlineLevel="0" collapsed="false">
      <c r="A595" s="3" t="s">
        <v>765</v>
      </c>
      <c r="B595" s="3" t="s">
        <v>766</v>
      </c>
      <c r="C595" s="3" t="n">
        <v>3</v>
      </c>
      <c r="D595" s="3" t="s">
        <v>1208</v>
      </c>
      <c r="E595" s="3" t="n">
        <v>280.95</v>
      </c>
      <c r="F595" s="3" t="s">
        <v>1208</v>
      </c>
      <c r="G595" s="3" t="n">
        <v>280.95</v>
      </c>
      <c r="H595" s="3" t="n">
        <v>1</v>
      </c>
      <c r="I595" s="3" t="s">
        <v>65</v>
      </c>
      <c r="J595" s="3" t="n">
        <v>6.1</v>
      </c>
      <c r="K595" s="3" t="n">
        <v>9.09</v>
      </c>
      <c r="L595" s="3" t="n">
        <v>15.63</v>
      </c>
      <c r="M595" s="3" t="n">
        <v>21.71</v>
      </c>
      <c r="N595" s="3" t="s">
        <v>2391</v>
      </c>
      <c r="O595" s="3" t="n">
        <v>325.5</v>
      </c>
      <c r="P595" s="3" t="n">
        <v>15.86</v>
      </c>
      <c r="Q595" s="3"/>
    </row>
    <row r="596" customFormat="false" ht="15" hidden="false" customHeight="false" outlineLevel="0" collapsed="false">
      <c r="A596" s="3" t="s">
        <v>254</v>
      </c>
      <c r="B596" s="3" t="s">
        <v>255</v>
      </c>
      <c r="C596" s="3" t="n">
        <v>3</v>
      </c>
      <c r="D596" s="3" t="s">
        <v>1215</v>
      </c>
      <c r="E596" s="3" t="n">
        <v>640.7</v>
      </c>
      <c r="F596" s="3" t="s">
        <v>1215</v>
      </c>
      <c r="G596" s="3" t="n">
        <v>640.7</v>
      </c>
      <c r="H596" s="3" t="n">
        <v>1</v>
      </c>
      <c r="I596" s="3" t="s">
        <v>65</v>
      </c>
      <c r="J596" s="3" t="n">
        <v>-2.53</v>
      </c>
      <c r="K596" s="3" t="n">
        <v>-3.02</v>
      </c>
      <c r="L596" s="3" t="n">
        <v>4.23</v>
      </c>
      <c r="M596" s="3" t="n">
        <v>0.59</v>
      </c>
      <c r="N596" s="3" t="s">
        <v>2391</v>
      </c>
      <c r="O596" s="3" t="n">
        <v>663.55</v>
      </c>
      <c r="P596" s="3" t="n">
        <v>3.57</v>
      </c>
      <c r="Q596" s="3"/>
    </row>
    <row r="597" customFormat="false" ht="15" hidden="false" customHeight="false" outlineLevel="0" collapsed="false">
      <c r="A597" s="3" t="s">
        <v>1145</v>
      </c>
      <c r="B597" s="3" t="s">
        <v>1146</v>
      </c>
      <c r="C597" s="3" t="n">
        <v>1</v>
      </c>
      <c r="D597" s="3" t="s">
        <v>1215</v>
      </c>
      <c r="E597" s="3" t="n">
        <v>3690</v>
      </c>
      <c r="F597" s="3" t="s">
        <v>1215</v>
      </c>
      <c r="G597" s="3" t="n">
        <v>3690</v>
      </c>
      <c r="H597" s="3" t="n">
        <v>1</v>
      </c>
      <c r="I597" s="3" t="s">
        <v>65</v>
      </c>
      <c r="J597" s="3" t="n">
        <v>2.15</v>
      </c>
      <c r="K597" s="3" t="n">
        <v>3.79</v>
      </c>
      <c r="L597" s="3" t="n">
        <v>11.05</v>
      </c>
      <c r="M597" s="3" t="n">
        <v>18.38</v>
      </c>
      <c r="N597" s="3" t="s">
        <v>2391</v>
      </c>
      <c r="O597" s="3" t="n">
        <v>4478.3</v>
      </c>
      <c r="P597" s="3" t="n">
        <v>21.36</v>
      </c>
      <c r="Q597" s="3"/>
    </row>
    <row r="598" customFormat="false" ht="15" hidden="false" customHeight="false" outlineLevel="0" collapsed="false">
      <c r="A598" s="3" t="s">
        <v>207</v>
      </c>
      <c r="B598" s="3" t="s">
        <v>208</v>
      </c>
      <c r="C598" s="3" t="n">
        <v>7</v>
      </c>
      <c r="D598" s="3" t="s">
        <v>1218</v>
      </c>
      <c r="E598" s="3" t="n">
        <v>1145.1</v>
      </c>
      <c r="F598" s="3" t="s">
        <v>1218</v>
      </c>
      <c r="G598" s="3" t="n">
        <v>1145.1</v>
      </c>
      <c r="H598" s="3" t="n">
        <v>1</v>
      </c>
      <c r="I598" s="3" t="s">
        <v>65</v>
      </c>
      <c r="J598" s="3" t="n">
        <v>-0.52</v>
      </c>
      <c r="K598" s="3" t="n">
        <v>-4.83</v>
      </c>
      <c r="L598" s="3" t="n">
        <v>-1.62</v>
      </c>
      <c r="M598" s="3" t="n">
        <v>-8.12</v>
      </c>
      <c r="N598" s="3" t="s">
        <v>2391</v>
      </c>
      <c r="O598" s="3" t="n">
        <v>1045</v>
      </c>
      <c r="P598" s="3" t="n">
        <v>-8.74</v>
      </c>
      <c r="Q598" s="3"/>
    </row>
    <row r="599" customFormat="false" ht="15" hidden="false" customHeight="false" outlineLevel="0" collapsed="false">
      <c r="A599" s="3" t="s">
        <v>213</v>
      </c>
      <c r="B599" s="3" t="s">
        <v>214</v>
      </c>
      <c r="C599" s="3" t="n">
        <v>2</v>
      </c>
      <c r="D599" s="3" t="s">
        <v>1218</v>
      </c>
      <c r="E599" s="3" t="n">
        <v>961.8</v>
      </c>
      <c r="F599" s="3" t="s">
        <v>1218</v>
      </c>
      <c r="G599" s="3" t="n">
        <v>961.8</v>
      </c>
      <c r="H599" s="3" t="n">
        <v>1</v>
      </c>
      <c r="I599" s="3" t="s">
        <v>65</v>
      </c>
      <c r="J599" s="3" t="n">
        <v>0.68</v>
      </c>
      <c r="K599" s="3" t="n">
        <v>2.11</v>
      </c>
      <c r="L599" s="3" t="n">
        <v>10.63</v>
      </c>
      <c r="M599" s="3" t="n">
        <v>4.93</v>
      </c>
      <c r="N599" s="3" t="s">
        <v>2391</v>
      </c>
      <c r="O599" s="3" t="n">
        <v>985</v>
      </c>
      <c r="P599" s="3" t="n">
        <v>2.41</v>
      </c>
      <c r="Q599" s="3"/>
    </row>
    <row r="600" customFormat="false" ht="15" hidden="false" customHeight="false" outlineLevel="0" collapsed="false">
      <c r="A600" s="3" t="s">
        <v>664</v>
      </c>
      <c r="B600" s="3" t="s">
        <v>665</v>
      </c>
      <c r="C600" s="3" t="n">
        <v>4</v>
      </c>
      <c r="D600" s="3" t="s">
        <v>1218</v>
      </c>
      <c r="E600" s="3" t="n">
        <v>2041.4</v>
      </c>
      <c r="F600" s="3" t="s">
        <v>1218</v>
      </c>
      <c r="G600" s="3" t="n">
        <v>2041.4</v>
      </c>
      <c r="H600" s="3" t="n">
        <v>1</v>
      </c>
      <c r="I600" s="3" t="s">
        <v>65</v>
      </c>
      <c r="J600" s="3" t="n">
        <v>3.06</v>
      </c>
      <c r="K600" s="3" t="n">
        <v>6.34</v>
      </c>
      <c r="L600" s="3" t="n">
        <v>8.21</v>
      </c>
      <c r="M600" s="3" t="n">
        <v>-8.04</v>
      </c>
      <c r="N600" s="3" t="s">
        <v>2391</v>
      </c>
      <c r="O600" s="3" t="n">
        <v>1957</v>
      </c>
      <c r="P600" s="3" t="n">
        <v>-4.13</v>
      </c>
      <c r="Q600" s="3"/>
    </row>
    <row r="601" customFormat="false" ht="15" hidden="false" customHeight="false" outlineLevel="0" collapsed="false">
      <c r="A601" s="3" t="s">
        <v>1118</v>
      </c>
      <c r="B601" s="3" t="s">
        <v>1119</v>
      </c>
      <c r="C601" s="3" t="n">
        <v>2</v>
      </c>
      <c r="D601" s="3" t="s">
        <v>1218</v>
      </c>
      <c r="E601" s="3" t="n">
        <v>5533.5</v>
      </c>
      <c r="F601" s="3" t="s">
        <v>1218</v>
      </c>
      <c r="G601" s="3" t="n">
        <v>5533.5</v>
      </c>
      <c r="H601" s="3" t="n">
        <v>1</v>
      </c>
      <c r="I601" s="3" t="s">
        <v>65</v>
      </c>
      <c r="J601" s="3" t="n">
        <v>-0.7</v>
      </c>
      <c r="K601" s="3" t="n">
        <v>-10.43</v>
      </c>
      <c r="L601" s="3" t="n">
        <v>-19.67</v>
      </c>
      <c r="M601" s="3" t="n">
        <v>-23.25</v>
      </c>
      <c r="N601" s="3" t="s">
        <v>2391</v>
      </c>
      <c r="O601" s="3" t="n">
        <v>4203</v>
      </c>
      <c r="P601" s="3" t="n">
        <v>-24.04</v>
      </c>
      <c r="Q601" s="3"/>
    </row>
    <row r="602" customFormat="false" ht="15" hidden="false" customHeight="false" outlineLevel="0" collapsed="false">
      <c r="A602" s="3" t="s">
        <v>765</v>
      </c>
      <c r="B602" s="3" t="s">
        <v>766</v>
      </c>
      <c r="C602" s="3" t="n">
        <v>4</v>
      </c>
      <c r="D602" s="3" t="s">
        <v>1218</v>
      </c>
      <c r="E602" s="3" t="n">
        <v>302.3</v>
      </c>
      <c r="F602" s="3" t="s">
        <v>1218</v>
      </c>
      <c r="G602" s="3" t="n">
        <v>302.3</v>
      </c>
      <c r="H602" s="3" t="n">
        <v>1</v>
      </c>
      <c r="I602" s="3" t="s">
        <v>65</v>
      </c>
      <c r="J602" s="3" t="n">
        <v>0.68</v>
      </c>
      <c r="K602" s="3" t="n">
        <v>-0.08</v>
      </c>
      <c r="L602" s="3" t="n">
        <v>7.01</v>
      </c>
      <c r="M602" s="3" t="n">
        <v>11.21</v>
      </c>
      <c r="N602" s="3" t="s">
        <v>2391</v>
      </c>
      <c r="O602" s="3" t="n">
        <v>325.5</v>
      </c>
      <c r="P602" s="3" t="n">
        <v>7.67</v>
      </c>
      <c r="Q602" s="3"/>
    </row>
    <row r="603" customFormat="false" ht="15" hidden="false" customHeight="false" outlineLevel="0" collapsed="false">
      <c r="A603" s="3" t="s">
        <v>1224</v>
      </c>
      <c r="B603" s="3" t="s">
        <v>1225</v>
      </c>
      <c r="C603" s="3" t="n">
        <v>0</v>
      </c>
      <c r="D603" s="3" t="s">
        <v>1218</v>
      </c>
      <c r="E603" s="3" t="n">
        <v>3205.8</v>
      </c>
      <c r="F603" s="3" t="s">
        <v>1218</v>
      </c>
      <c r="G603" s="3" t="n">
        <v>3205.8</v>
      </c>
      <c r="H603" s="3" t="n">
        <v>1</v>
      </c>
      <c r="I603" s="3" t="s">
        <v>65</v>
      </c>
      <c r="J603" s="3" t="n">
        <v>-0.79</v>
      </c>
      <c r="K603" s="3" t="n">
        <v>1.64</v>
      </c>
      <c r="L603" s="3" t="n">
        <v>-8.73</v>
      </c>
      <c r="M603" s="3" t="n">
        <v>-14.84</v>
      </c>
      <c r="N603" s="3" t="s">
        <v>2391</v>
      </c>
      <c r="O603" s="3" t="n">
        <v>2626</v>
      </c>
      <c r="P603" s="3" t="n">
        <v>-18.09</v>
      </c>
      <c r="Q603" s="3"/>
    </row>
    <row r="604" customFormat="false" ht="15" hidden="false" customHeight="false" outlineLevel="0" collapsed="false">
      <c r="A604" s="3" t="s">
        <v>90</v>
      </c>
      <c r="B604" s="3" t="s">
        <v>91</v>
      </c>
      <c r="C604" s="3" t="n">
        <v>2</v>
      </c>
      <c r="D604" s="3" t="s">
        <v>1227</v>
      </c>
      <c r="E604" s="3" t="n">
        <v>10191</v>
      </c>
      <c r="F604" s="3" t="s">
        <v>1227</v>
      </c>
      <c r="G604" s="3" t="n">
        <v>10191</v>
      </c>
      <c r="H604" s="3" t="n">
        <v>1</v>
      </c>
      <c r="I604" s="3" t="s">
        <v>65</v>
      </c>
      <c r="J604" s="3" t="n">
        <v>-1.63</v>
      </c>
      <c r="K604" s="3" t="n">
        <v>-4.66</v>
      </c>
      <c r="L604" s="3" t="n">
        <v>2.09</v>
      </c>
      <c r="M604" s="3" t="s">
        <v>2391</v>
      </c>
      <c r="N604" s="3" t="s">
        <v>2391</v>
      </c>
      <c r="O604" s="3" t="n">
        <v>11024</v>
      </c>
      <c r="P604" s="3" t="n">
        <v>8.17</v>
      </c>
      <c r="Q604" s="3"/>
    </row>
    <row r="605" customFormat="false" ht="15" hidden="false" customHeight="false" outlineLevel="0" collapsed="false">
      <c r="A605" s="3" t="s">
        <v>364</v>
      </c>
      <c r="B605" s="3" t="s">
        <v>365</v>
      </c>
      <c r="C605" s="3" t="n">
        <v>7</v>
      </c>
      <c r="D605" s="3" t="s">
        <v>1227</v>
      </c>
      <c r="E605" s="3" t="n">
        <v>506.3</v>
      </c>
      <c r="F605" s="3" t="s">
        <v>1227</v>
      </c>
      <c r="G605" s="3" t="n">
        <v>506.3</v>
      </c>
      <c r="H605" s="3" t="n">
        <v>1</v>
      </c>
      <c r="I605" s="3" t="s">
        <v>65</v>
      </c>
      <c r="J605" s="3" t="n">
        <v>-1.52</v>
      </c>
      <c r="K605" s="3" t="n">
        <v>-3.62</v>
      </c>
      <c r="L605" s="3" t="n">
        <v>-1.15</v>
      </c>
      <c r="M605" s="3" t="s">
        <v>2391</v>
      </c>
      <c r="N605" s="3" t="s">
        <v>2391</v>
      </c>
      <c r="O605" s="3" t="n">
        <v>458.7</v>
      </c>
      <c r="P605" s="3" t="n">
        <v>-9.4</v>
      </c>
      <c r="Q605" s="3"/>
    </row>
    <row r="606" customFormat="false" ht="15" hidden="false" customHeight="false" outlineLevel="0" collapsed="false">
      <c r="A606" s="3" t="s">
        <v>120</v>
      </c>
      <c r="B606" s="3" t="s">
        <v>121</v>
      </c>
      <c r="C606" s="3" t="n">
        <v>4</v>
      </c>
      <c r="D606" s="3" t="s">
        <v>1227</v>
      </c>
      <c r="E606" s="3" t="n">
        <v>440.95</v>
      </c>
      <c r="F606" s="3" t="s">
        <v>1227</v>
      </c>
      <c r="G606" s="3" t="n">
        <v>440.95</v>
      </c>
      <c r="H606" s="3" t="n">
        <v>1</v>
      </c>
      <c r="I606" s="3" t="s">
        <v>65</v>
      </c>
      <c r="J606" s="3" t="n">
        <v>-2.28</v>
      </c>
      <c r="K606" s="3" t="n">
        <v>-3.78</v>
      </c>
      <c r="L606" s="3" t="n">
        <v>-5.92</v>
      </c>
      <c r="M606" s="3" t="s">
        <v>2391</v>
      </c>
      <c r="N606" s="3" t="s">
        <v>2391</v>
      </c>
      <c r="O606" s="3" t="n">
        <v>330</v>
      </c>
      <c r="P606" s="3" t="n">
        <v>-25.16</v>
      </c>
      <c r="Q606" s="3"/>
    </row>
    <row r="607" customFormat="false" ht="15" hidden="false" customHeight="false" outlineLevel="0" collapsed="false">
      <c r="A607" s="3" t="s">
        <v>388</v>
      </c>
      <c r="B607" s="3" t="s">
        <v>389</v>
      </c>
      <c r="C607" s="3" t="n">
        <v>3</v>
      </c>
      <c r="D607" s="3" t="s">
        <v>1227</v>
      </c>
      <c r="E607" s="3" t="n">
        <v>1668.8</v>
      </c>
      <c r="F607" s="3" t="s">
        <v>1227</v>
      </c>
      <c r="G607" s="3" t="n">
        <v>1668.8</v>
      </c>
      <c r="H607" s="3" t="n">
        <v>1</v>
      </c>
      <c r="I607" s="3" t="s">
        <v>65</v>
      </c>
      <c r="J607" s="3" t="n">
        <v>-2.78</v>
      </c>
      <c r="K607" s="3" t="n">
        <v>-2.41</v>
      </c>
      <c r="L607" s="3" t="n">
        <v>-6.37</v>
      </c>
      <c r="M607" s="3" t="s">
        <v>2391</v>
      </c>
      <c r="N607" s="3" t="s">
        <v>2391</v>
      </c>
      <c r="O607" s="3" t="n">
        <v>1151.3</v>
      </c>
      <c r="P607" s="3" t="n">
        <v>-31.01</v>
      </c>
      <c r="Q607" s="3"/>
    </row>
    <row r="608" customFormat="false" ht="15" hidden="false" customHeight="false" outlineLevel="0" collapsed="false">
      <c r="A608" s="3" t="s">
        <v>664</v>
      </c>
      <c r="B608" s="3" t="s">
        <v>665</v>
      </c>
      <c r="C608" s="3" t="n">
        <v>5</v>
      </c>
      <c r="D608" s="3" t="s">
        <v>1232</v>
      </c>
      <c r="E608" s="3" t="n">
        <v>2152.3</v>
      </c>
      <c r="F608" s="3" t="s">
        <v>1232</v>
      </c>
      <c r="G608" s="3" t="n">
        <v>2152.3</v>
      </c>
      <c r="H608" s="3" t="n">
        <v>1</v>
      </c>
      <c r="I608" s="3" t="s">
        <v>65</v>
      </c>
      <c r="J608" s="3" t="n">
        <v>-1.37</v>
      </c>
      <c r="K608" s="3" t="n">
        <v>-2.02</v>
      </c>
      <c r="L608" s="3" t="n">
        <v>1.54</v>
      </c>
      <c r="M608" s="3" t="s">
        <v>2391</v>
      </c>
      <c r="N608" s="3" t="s">
        <v>2391</v>
      </c>
      <c r="O608" s="3" t="n">
        <v>1957</v>
      </c>
      <c r="P608" s="3" t="n">
        <v>-9.07</v>
      </c>
      <c r="Q608" s="3"/>
    </row>
    <row r="609" customFormat="false" ht="15" hidden="false" customHeight="false" outlineLevel="0" collapsed="false">
      <c r="A609" s="3" t="s">
        <v>333</v>
      </c>
      <c r="B609" s="3" t="s">
        <v>334</v>
      </c>
      <c r="C609" s="3" t="n">
        <v>6</v>
      </c>
      <c r="D609" s="3" t="s">
        <v>1234</v>
      </c>
      <c r="E609" s="3" t="n">
        <v>5570</v>
      </c>
      <c r="F609" s="3" t="s">
        <v>1234</v>
      </c>
      <c r="G609" s="3" t="n">
        <v>5570</v>
      </c>
      <c r="H609" s="3" t="n">
        <v>1</v>
      </c>
      <c r="I609" s="3" t="s">
        <v>65</v>
      </c>
      <c r="J609" s="3" t="n">
        <v>-0.04</v>
      </c>
      <c r="K609" s="3" t="n">
        <v>1.75</v>
      </c>
      <c r="L609" s="3" t="n">
        <v>1.46</v>
      </c>
      <c r="M609" s="3" t="s">
        <v>2391</v>
      </c>
      <c r="N609" s="3" t="s">
        <v>2391</v>
      </c>
      <c r="O609" s="3" t="n">
        <v>5175</v>
      </c>
      <c r="P609" s="3" t="n">
        <v>-7.09</v>
      </c>
      <c r="Q609" s="3"/>
    </row>
    <row r="610" customFormat="false" ht="15" hidden="false" customHeight="false" outlineLevel="0" collapsed="false">
      <c r="A610" s="3" t="s">
        <v>480</v>
      </c>
      <c r="B610" s="3" t="s">
        <v>481</v>
      </c>
      <c r="C610" s="3" t="n">
        <v>3</v>
      </c>
      <c r="D610" s="3" t="s">
        <v>1234</v>
      </c>
      <c r="E610" s="3" t="n">
        <v>14115</v>
      </c>
      <c r="F610" s="3" t="s">
        <v>1234</v>
      </c>
      <c r="G610" s="3" t="n">
        <v>14115</v>
      </c>
      <c r="H610" s="3" t="n">
        <v>1</v>
      </c>
      <c r="I610" s="3" t="s">
        <v>65</v>
      </c>
      <c r="J610" s="3" t="n">
        <v>1.98</v>
      </c>
      <c r="K610" s="3" t="n">
        <v>3</v>
      </c>
      <c r="L610" s="3" t="n">
        <v>-2.22</v>
      </c>
      <c r="M610" s="3" t="s">
        <v>2391</v>
      </c>
      <c r="N610" s="3" t="s">
        <v>2391</v>
      </c>
      <c r="O610" s="3" t="n">
        <v>12008</v>
      </c>
      <c r="P610" s="3" t="n">
        <v>-14.93</v>
      </c>
      <c r="Q610" s="3"/>
    </row>
    <row r="611" customFormat="false" ht="15" hidden="false" customHeight="false" outlineLevel="0" collapsed="false">
      <c r="A611" s="3" t="s">
        <v>426</v>
      </c>
      <c r="B611" s="3" t="s">
        <v>427</v>
      </c>
      <c r="C611" s="3" t="n">
        <v>1</v>
      </c>
      <c r="D611" s="3" t="s">
        <v>1237</v>
      </c>
      <c r="E611" s="3" t="n">
        <v>3143.6</v>
      </c>
      <c r="F611" s="3" t="s">
        <v>1237</v>
      </c>
      <c r="G611" s="3" t="n">
        <v>3143.6</v>
      </c>
      <c r="H611" s="3" t="n">
        <v>1</v>
      </c>
      <c r="I611" s="3" t="s">
        <v>65</v>
      </c>
      <c r="J611" s="3" t="n">
        <v>1.08</v>
      </c>
      <c r="K611" s="3" t="n">
        <v>-3.08</v>
      </c>
      <c r="L611" s="3" t="n">
        <v>-3.79</v>
      </c>
      <c r="M611" s="3" t="s">
        <v>2391</v>
      </c>
      <c r="N611" s="3" t="s">
        <v>2391</v>
      </c>
      <c r="O611" s="3" t="n">
        <v>2831.1</v>
      </c>
      <c r="P611" s="3" t="n">
        <v>-9.94</v>
      </c>
      <c r="Q611" s="3"/>
    </row>
    <row r="612" customFormat="false" ht="15" hidden="false" customHeight="false" outlineLevel="0" collapsed="false">
      <c r="A612" s="3" t="s">
        <v>210</v>
      </c>
      <c r="B612" s="3" t="s">
        <v>211</v>
      </c>
      <c r="C612" s="3" t="n">
        <v>4</v>
      </c>
      <c r="D612" s="3" t="s">
        <v>1237</v>
      </c>
      <c r="E612" s="3" t="n">
        <v>1797.6</v>
      </c>
      <c r="F612" s="3" t="s">
        <v>1237</v>
      </c>
      <c r="G612" s="3" t="n">
        <v>1797.6</v>
      </c>
      <c r="H612" s="3" t="n">
        <v>1</v>
      </c>
      <c r="I612" s="3" t="s">
        <v>65</v>
      </c>
      <c r="J612" s="3" t="n">
        <v>3.23</v>
      </c>
      <c r="K612" s="3" t="n">
        <v>3.19</v>
      </c>
      <c r="L612" s="3" t="n">
        <v>7.05</v>
      </c>
      <c r="M612" s="3" t="s">
        <v>2391</v>
      </c>
      <c r="N612" s="3" t="s">
        <v>2391</v>
      </c>
      <c r="O612" s="3" t="n">
        <v>1752</v>
      </c>
      <c r="P612" s="3" t="n">
        <v>-2.54</v>
      </c>
      <c r="Q612" s="3"/>
    </row>
    <row r="613" customFormat="false" ht="15" hidden="false" customHeight="false" outlineLevel="0" collapsed="false">
      <c r="A613" s="3" t="s">
        <v>487</v>
      </c>
      <c r="B613" s="3" t="s">
        <v>488</v>
      </c>
      <c r="C613" s="3" t="n">
        <v>2</v>
      </c>
      <c r="D613" s="3" t="s">
        <v>1237</v>
      </c>
      <c r="E613" s="3" t="n">
        <v>10719</v>
      </c>
      <c r="F613" s="3" t="s">
        <v>1237</v>
      </c>
      <c r="G613" s="3" t="n">
        <v>10719</v>
      </c>
      <c r="H613" s="3" t="n">
        <v>1</v>
      </c>
      <c r="I613" s="3" t="s">
        <v>65</v>
      </c>
      <c r="J613" s="3" t="n">
        <v>1.3</v>
      </c>
      <c r="K613" s="3" t="n">
        <v>-3.57</v>
      </c>
      <c r="L613" s="3" t="n">
        <v>2.15</v>
      </c>
      <c r="M613" s="3" t="s">
        <v>2391</v>
      </c>
      <c r="N613" s="3" t="s">
        <v>2391</v>
      </c>
      <c r="O613" s="3" t="n">
        <v>10800</v>
      </c>
      <c r="P613" s="3" t="n">
        <v>0.76</v>
      </c>
      <c r="Q613" s="3"/>
    </row>
    <row r="614" customFormat="false" ht="15" hidden="false" customHeight="false" outlineLevel="0" collapsed="false">
      <c r="A614" s="3" t="s">
        <v>328</v>
      </c>
      <c r="B614" s="3" t="s">
        <v>329</v>
      </c>
      <c r="C614" s="3" t="n">
        <v>5</v>
      </c>
      <c r="D614" s="3" t="s">
        <v>1237</v>
      </c>
      <c r="E614" s="3" t="n">
        <v>5262</v>
      </c>
      <c r="F614" s="3" t="s">
        <v>1242</v>
      </c>
      <c r="G614" s="3" t="n">
        <v>5374</v>
      </c>
      <c r="H614" s="3" t="n">
        <v>2</v>
      </c>
      <c r="I614" s="3" t="s">
        <v>70</v>
      </c>
      <c r="J614" s="3" t="n">
        <v>2.13</v>
      </c>
      <c r="K614" s="3" t="n">
        <v>1.02</v>
      </c>
      <c r="L614" s="3" t="n">
        <v>4.86</v>
      </c>
      <c r="M614" s="3" t="s">
        <v>2391</v>
      </c>
      <c r="N614" s="3" t="s">
        <v>2391</v>
      </c>
      <c r="O614" s="3" t="n">
        <v>4915</v>
      </c>
      <c r="P614" s="3" t="n">
        <v>-6.59</v>
      </c>
      <c r="Q614" s="3"/>
    </row>
    <row r="615" customFormat="false" ht="15" hidden="false" customHeight="false" outlineLevel="0" collapsed="false">
      <c r="A615" s="3" t="s">
        <v>130</v>
      </c>
      <c r="B615" s="3" t="s">
        <v>131</v>
      </c>
      <c r="C615" s="3" t="n">
        <v>3</v>
      </c>
      <c r="D615" s="3" t="s">
        <v>1242</v>
      </c>
      <c r="E615" s="3" t="n">
        <v>798.15</v>
      </c>
      <c r="F615" s="3" t="s">
        <v>1242</v>
      </c>
      <c r="G615" s="3" t="n">
        <v>798.15</v>
      </c>
      <c r="H615" s="3" t="n">
        <v>1</v>
      </c>
      <c r="I615" s="3" t="s">
        <v>65</v>
      </c>
      <c r="J615" s="3" t="n">
        <v>0.03</v>
      </c>
      <c r="K615" s="3" t="n">
        <v>-2.81</v>
      </c>
      <c r="L615" s="3" t="n">
        <v>-0.63</v>
      </c>
      <c r="M615" s="3" t="s">
        <v>2391</v>
      </c>
      <c r="N615" s="3" t="s">
        <v>2391</v>
      </c>
      <c r="O615" s="3" t="n">
        <v>691.55</v>
      </c>
      <c r="P615" s="3" t="n">
        <v>-13.36</v>
      </c>
      <c r="Q615" s="3"/>
    </row>
    <row r="616" customFormat="false" ht="15" hidden="false" customHeight="false" outlineLevel="0" collapsed="false">
      <c r="A616" s="3" t="s">
        <v>493</v>
      </c>
      <c r="B616" s="3" t="s">
        <v>494</v>
      </c>
      <c r="C616" s="3" t="n">
        <v>2</v>
      </c>
      <c r="D616" s="3" t="s">
        <v>1242</v>
      </c>
      <c r="E616" s="3" t="n">
        <v>447</v>
      </c>
      <c r="F616" s="3" t="s">
        <v>1242</v>
      </c>
      <c r="G616" s="3" t="n">
        <v>447</v>
      </c>
      <c r="H616" s="3" t="n">
        <v>1</v>
      </c>
      <c r="I616" s="3" t="s">
        <v>65</v>
      </c>
      <c r="J616" s="3" t="n">
        <v>-0.59</v>
      </c>
      <c r="K616" s="3" t="n">
        <v>-0.86</v>
      </c>
      <c r="L616" s="3" t="n">
        <v>-4.68</v>
      </c>
      <c r="M616" s="3" t="s">
        <v>2391</v>
      </c>
      <c r="N616" s="3" t="s">
        <v>2391</v>
      </c>
      <c r="O616" s="3" t="n">
        <v>385.75</v>
      </c>
      <c r="P616" s="3" t="n">
        <v>-13.7</v>
      </c>
      <c r="Q616" s="3"/>
    </row>
    <row r="617" customFormat="false" ht="15" hidden="false" customHeight="false" outlineLevel="0" collapsed="false">
      <c r="A617" s="3" t="s">
        <v>96</v>
      </c>
      <c r="B617" s="3" t="s">
        <v>97</v>
      </c>
      <c r="C617" s="3" t="n">
        <v>10</v>
      </c>
      <c r="D617" s="3" t="s">
        <v>1242</v>
      </c>
      <c r="E617" s="3" t="n">
        <v>509.3</v>
      </c>
      <c r="F617" s="3" t="s">
        <v>1242</v>
      </c>
      <c r="G617" s="3" t="n">
        <v>509.3</v>
      </c>
      <c r="H617" s="3" t="n">
        <v>1</v>
      </c>
      <c r="I617" s="3" t="s">
        <v>65</v>
      </c>
      <c r="J617" s="3" t="n">
        <v>-0.36</v>
      </c>
      <c r="K617" s="3" t="n">
        <v>1.25</v>
      </c>
      <c r="L617" s="3" t="n">
        <v>-8.05</v>
      </c>
      <c r="M617" s="3" t="s">
        <v>2391</v>
      </c>
      <c r="N617" s="3" t="s">
        <v>2391</v>
      </c>
      <c r="O617" s="3" t="n">
        <v>407.5</v>
      </c>
      <c r="P617" s="3" t="n">
        <v>-19.99</v>
      </c>
      <c r="Q617" s="3"/>
    </row>
    <row r="618" customFormat="false" ht="15" hidden="false" customHeight="false" outlineLevel="0" collapsed="false">
      <c r="A618" s="3" t="s">
        <v>254</v>
      </c>
      <c r="B618" s="3" t="s">
        <v>255</v>
      </c>
      <c r="C618" s="3" t="n">
        <v>4</v>
      </c>
      <c r="D618" s="3" t="s">
        <v>1242</v>
      </c>
      <c r="E618" s="3" t="n">
        <v>658.2</v>
      </c>
      <c r="F618" s="3" t="s">
        <v>1251</v>
      </c>
      <c r="G618" s="3" t="n">
        <v>675.9</v>
      </c>
      <c r="H618" s="3" t="n">
        <v>2</v>
      </c>
      <c r="I618" s="3" t="s">
        <v>70</v>
      </c>
      <c r="J618" s="3" t="n">
        <v>2.69</v>
      </c>
      <c r="K618" s="3" t="n">
        <v>0.21</v>
      </c>
      <c r="L618" s="3" t="n">
        <v>-0.51</v>
      </c>
      <c r="M618" s="3" t="s">
        <v>2391</v>
      </c>
      <c r="N618" s="3" t="s">
        <v>2391</v>
      </c>
      <c r="O618" s="3" t="n">
        <v>663.55</v>
      </c>
      <c r="P618" s="3" t="n">
        <v>0.81</v>
      </c>
      <c r="Q618" s="3"/>
    </row>
    <row r="619" customFormat="false" ht="15" hidden="false" customHeight="false" outlineLevel="0" collapsed="false">
      <c r="A619" s="3" t="s">
        <v>245</v>
      </c>
      <c r="B619" s="3" t="s">
        <v>246</v>
      </c>
      <c r="C619" s="3" t="n">
        <v>4</v>
      </c>
      <c r="D619" s="3" t="s">
        <v>1242</v>
      </c>
      <c r="E619" s="3" t="n">
        <v>2210.6</v>
      </c>
      <c r="F619" s="3" t="s">
        <v>1242</v>
      </c>
      <c r="G619" s="3" t="n">
        <v>2210.6</v>
      </c>
      <c r="H619" s="3" t="n">
        <v>1</v>
      </c>
      <c r="I619" s="3" t="s">
        <v>65</v>
      </c>
      <c r="J619" s="3" t="n">
        <v>-0.43</v>
      </c>
      <c r="K619" s="3" t="n">
        <v>-2.99</v>
      </c>
      <c r="L619" s="3" t="n">
        <v>-4.65</v>
      </c>
      <c r="M619" s="3" t="s">
        <v>2391</v>
      </c>
      <c r="N619" s="3" t="s">
        <v>2391</v>
      </c>
      <c r="O619" s="3" t="n">
        <v>1896</v>
      </c>
      <c r="P619" s="3" t="n">
        <v>-14.23</v>
      </c>
      <c r="Q619" s="3"/>
    </row>
    <row r="620" customFormat="false" ht="15" hidden="false" customHeight="false" outlineLevel="0" collapsed="false">
      <c r="A620" s="3" t="s">
        <v>136</v>
      </c>
      <c r="B620" s="3" t="s">
        <v>137</v>
      </c>
      <c r="C620" s="3" t="n">
        <v>12</v>
      </c>
      <c r="D620" s="3" t="s">
        <v>1242</v>
      </c>
      <c r="E620" s="3" t="n">
        <v>141.62</v>
      </c>
      <c r="F620" s="3" t="s">
        <v>1242</v>
      </c>
      <c r="G620" s="3" t="n">
        <v>141.62</v>
      </c>
      <c r="H620" s="3" t="n">
        <v>1</v>
      </c>
      <c r="I620" s="3" t="s">
        <v>65</v>
      </c>
      <c r="J620" s="3" t="n">
        <v>-0.04</v>
      </c>
      <c r="K620" s="3" t="n">
        <v>-2.37</v>
      </c>
      <c r="L620" s="3" t="n">
        <v>-1.19</v>
      </c>
      <c r="M620" s="3" t="s">
        <v>2391</v>
      </c>
      <c r="N620" s="3" t="s">
        <v>2391</v>
      </c>
      <c r="O620" s="3" t="n">
        <v>133.32</v>
      </c>
      <c r="P620" s="3" t="n">
        <v>-5.86</v>
      </c>
      <c r="Q620" s="3"/>
    </row>
    <row r="621" customFormat="false" ht="15" hidden="false" customHeight="false" outlineLevel="0" collapsed="false">
      <c r="A621" s="3" t="s">
        <v>142</v>
      </c>
      <c r="B621" s="3" t="s">
        <v>143</v>
      </c>
      <c r="C621" s="3" t="n">
        <v>6</v>
      </c>
      <c r="D621" s="3" t="s">
        <v>1242</v>
      </c>
      <c r="E621" s="3" t="n">
        <v>1107.2</v>
      </c>
      <c r="F621" s="3" t="s">
        <v>1242</v>
      </c>
      <c r="G621" s="3" t="n">
        <v>1107.2</v>
      </c>
      <c r="H621" s="3" t="n">
        <v>1</v>
      </c>
      <c r="I621" s="3" t="s">
        <v>65</v>
      </c>
      <c r="J621" s="3" t="n">
        <v>0.86</v>
      </c>
      <c r="K621" s="3" t="n">
        <v>-0.05</v>
      </c>
      <c r="L621" s="3" t="n">
        <v>-1.17</v>
      </c>
      <c r="M621" s="3" t="s">
        <v>2391</v>
      </c>
      <c r="N621" s="3" t="s">
        <v>2391</v>
      </c>
      <c r="O621" s="3" t="n">
        <v>960</v>
      </c>
      <c r="P621" s="3" t="n">
        <v>-13.29</v>
      </c>
      <c r="Q621" s="3"/>
    </row>
    <row r="622" customFormat="false" ht="15" hidden="false" customHeight="false" outlineLevel="0" collapsed="false">
      <c r="A622" s="3" t="s">
        <v>333</v>
      </c>
      <c r="B622" s="3" t="s">
        <v>334</v>
      </c>
      <c r="C622" s="3" t="n">
        <v>7</v>
      </c>
      <c r="D622" s="3" t="s">
        <v>1251</v>
      </c>
      <c r="E622" s="3" t="n">
        <v>5562.5</v>
      </c>
      <c r="F622" s="3" t="s">
        <v>1251</v>
      </c>
      <c r="G622" s="3" t="n">
        <v>5562.5</v>
      </c>
      <c r="H622" s="3" t="n">
        <v>1</v>
      </c>
      <c r="I622" s="3" t="s">
        <v>65</v>
      </c>
      <c r="J622" s="3" t="n">
        <v>0.65</v>
      </c>
      <c r="K622" s="3" t="n">
        <v>1.92</v>
      </c>
      <c r="L622" s="3" t="n">
        <v>3.4</v>
      </c>
      <c r="M622" s="3" t="s">
        <v>2391</v>
      </c>
      <c r="N622" s="3" t="s">
        <v>2391</v>
      </c>
      <c r="O622" s="3" t="n">
        <v>5175</v>
      </c>
      <c r="P622" s="3" t="n">
        <v>-6.97</v>
      </c>
      <c r="Q622" s="3"/>
    </row>
    <row r="623" customFormat="false" ht="15" hidden="false" customHeight="false" outlineLevel="0" collapsed="false">
      <c r="A623" s="3" t="s">
        <v>199</v>
      </c>
      <c r="B623" s="3" t="s">
        <v>200</v>
      </c>
      <c r="C623" s="3" t="n">
        <v>9</v>
      </c>
      <c r="D623" s="3" t="s">
        <v>1251</v>
      </c>
      <c r="E623" s="3" t="n">
        <v>426.8</v>
      </c>
      <c r="F623" s="3" t="s">
        <v>1251</v>
      </c>
      <c r="G623" s="3" t="n">
        <v>426.8</v>
      </c>
      <c r="H623" s="3" t="n">
        <v>1</v>
      </c>
      <c r="I623" s="3" t="s">
        <v>65</v>
      </c>
      <c r="J623" s="3" t="n">
        <v>-0.59</v>
      </c>
      <c r="K623" s="3" t="n">
        <v>-1.94</v>
      </c>
      <c r="L623" s="3" t="n">
        <v>-0.26</v>
      </c>
      <c r="M623" s="3" t="s">
        <v>2391</v>
      </c>
      <c r="N623" s="3" t="s">
        <v>2391</v>
      </c>
      <c r="O623" s="3" t="n">
        <v>374.9</v>
      </c>
      <c r="P623" s="3" t="n">
        <v>-12.16</v>
      </c>
      <c r="Q623" s="3"/>
    </row>
    <row r="624" customFormat="false" ht="15" hidden="false" customHeight="false" outlineLevel="0" collapsed="false">
      <c r="A624" s="3" t="s">
        <v>203</v>
      </c>
      <c r="B624" s="3" t="s">
        <v>204</v>
      </c>
      <c r="C624" s="3" t="n">
        <v>4</v>
      </c>
      <c r="D624" s="3" t="s">
        <v>1251</v>
      </c>
      <c r="E624" s="3" t="n">
        <v>1542.3</v>
      </c>
      <c r="F624" s="3" t="s">
        <v>1251</v>
      </c>
      <c r="G624" s="3" t="n">
        <v>1542.3</v>
      </c>
      <c r="H624" s="3" t="n">
        <v>1</v>
      </c>
      <c r="I624" s="3" t="s">
        <v>65</v>
      </c>
      <c r="J624" s="3" t="n">
        <v>-0.85</v>
      </c>
      <c r="K624" s="3" t="n">
        <v>-0.29</v>
      </c>
      <c r="L624" s="3" t="n">
        <v>17.76</v>
      </c>
      <c r="M624" s="3" t="s">
        <v>2391</v>
      </c>
      <c r="N624" s="3" t="s">
        <v>2391</v>
      </c>
      <c r="O624" s="3" t="n">
        <v>2010.7</v>
      </c>
      <c r="P624" s="3" t="n">
        <v>30.37</v>
      </c>
      <c r="Q624" s="3"/>
    </row>
    <row r="625" customFormat="false" ht="15" hidden="false" customHeight="false" outlineLevel="0" collapsed="false">
      <c r="A625" s="3" t="s">
        <v>237</v>
      </c>
      <c r="B625" s="3" t="s">
        <v>238</v>
      </c>
      <c r="C625" s="3" t="n">
        <v>8</v>
      </c>
      <c r="D625" s="3" t="s">
        <v>1251</v>
      </c>
      <c r="E625" s="3" t="n">
        <v>2047.6</v>
      </c>
      <c r="F625" s="3" t="s">
        <v>1251</v>
      </c>
      <c r="G625" s="3" t="n">
        <v>2047.6</v>
      </c>
      <c r="H625" s="3" t="n">
        <v>1</v>
      </c>
      <c r="I625" s="3" t="s">
        <v>65</v>
      </c>
      <c r="J625" s="3" t="n">
        <v>2.84</v>
      </c>
      <c r="K625" s="3" t="n">
        <v>4.46</v>
      </c>
      <c r="L625" s="3" t="n">
        <v>-7.54</v>
      </c>
      <c r="M625" s="3" t="s">
        <v>2391</v>
      </c>
      <c r="N625" s="3" t="s">
        <v>2391</v>
      </c>
      <c r="O625" s="3" t="n">
        <v>1952.2</v>
      </c>
      <c r="P625" s="3" t="n">
        <v>-4.66</v>
      </c>
      <c r="Q625" s="3"/>
    </row>
    <row r="626" customFormat="false" ht="15" hidden="false" customHeight="false" outlineLevel="0" collapsed="false">
      <c r="A626" s="3" t="s">
        <v>441</v>
      </c>
      <c r="B626" s="3" t="s">
        <v>442</v>
      </c>
      <c r="C626" s="3" t="n">
        <v>5</v>
      </c>
      <c r="D626" s="3" t="s">
        <v>1251</v>
      </c>
      <c r="E626" s="3" t="n">
        <v>1064.4</v>
      </c>
      <c r="F626" s="3" t="s">
        <v>1251</v>
      </c>
      <c r="G626" s="3" t="n">
        <v>1064.4</v>
      </c>
      <c r="H626" s="3" t="n">
        <v>1</v>
      </c>
      <c r="I626" s="3" t="s">
        <v>65</v>
      </c>
      <c r="J626" s="3" t="n">
        <v>2.39</v>
      </c>
      <c r="K626" s="3" t="n">
        <v>4.34</v>
      </c>
      <c r="L626" s="3" t="n">
        <v>-1.06</v>
      </c>
      <c r="M626" s="3" t="s">
        <v>2391</v>
      </c>
      <c r="N626" s="3" t="s">
        <v>2391</v>
      </c>
      <c r="O626" s="3" t="n">
        <v>1085</v>
      </c>
      <c r="P626" s="3" t="n">
        <v>1.94</v>
      </c>
      <c r="Q626" s="3"/>
    </row>
    <row r="627" customFormat="false" ht="15" hidden="false" customHeight="false" outlineLevel="0" collapsed="false">
      <c r="A627" s="3" t="s">
        <v>1258</v>
      </c>
      <c r="B627" s="3" t="s">
        <v>1259</v>
      </c>
      <c r="C627" s="3" t="n">
        <v>0</v>
      </c>
      <c r="D627" s="3" t="s">
        <v>1251</v>
      </c>
      <c r="E627" s="3" t="n">
        <v>1140.6</v>
      </c>
      <c r="F627" s="3" t="s">
        <v>1251</v>
      </c>
      <c r="G627" s="3" t="n">
        <v>1140.6</v>
      </c>
      <c r="H627" s="3" t="n">
        <v>1</v>
      </c>
      <c r="I627" s="3" t="s">
        <v>65</v>
      </c>
      <c r="J627" s="3" t="n">
        <v>0.64</v>
      </c>
      <c r="K627" s="3" t="n">
        <v>0.89</v>
      </c>
      <c r="L627" s="3" t="n">
        <v>-1.21</v>
      </c>
      <c r="M627" s="3" t="s">
        <v>2391</v>
      </c>
      <c r="N627" s="3" t="s">
        <v>2391</v>
      </c>
      <c r="O627" s="3" t="n">
        <v>1215</v>
      </c>
      <c r="P627" s="3" t="n">
        <v>6.52</v>
      </c>
      <c r="Q627" s="3"/>
    </row>
    <row r="628" customFormat="false" ht="15" hidden="false" customHeight="false" outlineLevel="0" collapsed="false">
      <c r="A628" s="3" t="s">
        <v>396</v>
      </c>
      <c r="B628" s="3" t="s">
        <v>397</v>
      </c>
      <c r="C628" s="3" t="n">
        <v>4</v>
      </c>
      <c r="D628" s="3" t="s">
        <v>1261</v>
      </c>
      <c r="E628" s="3" t="n">
        <v>1061.4</v>
      </c>
      <c r="F628" s="3" t="s">
        <v>1261</v>
      </c>
      <c r="G628" s="3" t="n">
        <v>1061.4</v>
      </c>
      <c r="H628" s="3" t="n">
        <v>1</v>
      </c>
      <c r="I628" s="3" t="s">
        <v>65</v>
      </c>
      <c r="J628" s="3" t="n">
        <v>0.52</v>
      </c>
      <c r="K628" s="3" t="n">
        <v>-0.08</v>
      </c>
      <c r="L628" s="3" t="n">
        <v>-0.13</v>
      </c>
      <c r="M628" s="3" t="s">
        <v>2391</v>
      </c>
      <c r="N628" s="3" t="s">
        <v>2391</v>
      </c>
      <c r="O628" s="3" t="n">
        <v>995.3</v>
      </c>
      <c r="P628" s="3" t="n">
        <v>-6.23</v>
      </c>
      <c r="Q628" s="3"/>
    </row>
    <row r="629" customFormat="false" ht="15" hidden="false" customHeight="false" outlineLevel="0" collapsed="false">
      <c r="A629" s="3" t="s">
        <v>319</v>
      </c>
      <c r="B629" s="3" t="s">
        <v>320</v>
      </c>
      <c r="C629" s="3" t="n">
        <v>5</v>
      </c>
      <c r="D629" s="3" t="s">
        <v>1261</v>
      </c>
      <c r="E629" s="3" t="n">
        <v>1850.5</v>
      </c>
      <c r="F629" s="3" t="s">
        <v>1261</v>
      </c>
      <c r="G629" s="3" t="n">
        <v>1850.5</v>
      </c>
      <c r="H629" s="3" t="n">
        <v>1</v>
      </c>
      <c r="I629" s="3" t="s">
        <v>65</v>
      </c>
      <c r="J629" s="3" t="n">
        <v>0.16</v>
      </c>
      <c r="K629" s="3" t="n">
        <v>-2.14</v>
      </c>
      <c r="L629" s="3" t="n">
        <v>2.04</v>
      </c>
      <c r="M629" s="3" t="s">
        <v>2391</v>
      </c>
      <c r="N629" s="3" t="s">
        <v>2391</v>
      </c>
      <c r="O629" s="3" t="n">
        <v>1634.2</v>
      </c>
      <c r="P629" s="3" t="n">
        <v>-11.69</v>
      </c>
      <c r="Q629" s="3"/>
    </row>
    <row r="630" customFormat="false" ht="15" hidden="false" customHeight="false" outlineLevel="0" collapsed="false">
      <c r="A630" s="3" t="s">
        <v>152</v>
      </c>
      <c r="B630" s="3" t="s">
        <v>153</v>
      </c>
      <c r="C630" s="3" t="n">
        <v>5</v>
      </c>
      <c r="D630" s="3" t="s">
        <v>1261</v>
      </c>
      <c r="E630" s="3" t="n">
        <v>1095.9</v>
      </c>
      <c r="F630" s="3" t="s">
        <v>1261</v>
      </c>
      <c r="G630" s="3" t="n">
        <v>1095.9</v>
      </c>
      <c r="H630" s="3" t="n">
        <v>1</v>
      </c>
      <c r="I630" s="3" t="s">
        <v>65</v>
      </c>
      <c r="J630" s="3" t="n">
        <v>0.61</v>
      </c>
      <c r="K630" s="3" t="n">
        <v>9.38</v>
      </c>
      <c r="L630" s="3" t="n">
        <v>13.13</v>
      </c>
      <c r="M630" s="3" t="s">
        <v>2391</v>
      </c>
      <c r="N630" s="3" t="s">
        <v>2391</v>
      </c>
      <c r="O630" s="3" t="n">
        <v>1117.1</v>
      </c>
      <c r="P630" s="3" t="n">
        <v>1.93</v>
      </c>
      <c r="Q630" s="3"/>
    </row>
    <row r="631" customFormat="false" ht="15" hidden="false" customHeight="false" outlineLevel="0" collapsed="false">
      <c r="A631" s="3" t="s">
        <v>541</v>
      </c>
      <c r="B631" s="3" t="s">
        <v>542</v>
      </c>
      <c r="C631" s="3" t="n">
        <v>4</v>
      </c>
      <c r="D631" s="3" t="s">
        <v>1261</v>
      </c>
      <c r="E631" s="3" t="n">
        <v>3137.6</v>
      </c>
      <c r="F631" s="3" t="s">
        <v>1261</v>
      </c>
      <c r="G631" s="3" t="n">
        <v>3137.6</v>
      </c>
      <c r="H631" s="3" t="n">
        <v>1</v>
      </c>
      <c r="I631" s="3" t="s">
        <v>65</v>
      </c>
      <c r="J631" s="3" t="n">
        <v>-0.42</v>
      </c>
      <c r="K631" s="3" t="n">
        <v>-2.52</v>
      </c>
      <c r="L631" s="3" t="n">
        <v>-7.86</v>
      </c>
      <c r="M631" s="3" t="s">
        <v>2391</v>
      </c>
      <c r="N631" s="3" t="s">
        <v>2391</v>
      </c>
      <c r="O631" s="3" t="n">
        <v>2760</v>
      </c>
      <c r="P631" s="3" t="n">
        <v>-12.03</v>
      </c>
      <c r="Q631" s="3"/>
    </row>
    <row r="632" customFormat="false" ht="15" hidden="false" customHeight="false" outlineLevel="0" collapsed="false">
      <c r="A632" s="3" t="s">
        <v>1142</v>
      </c>
      <c r="B632" s="3" t="s">
        <v>1143</v>
      </c>
      <c r="C632" s="3" t="n">
        <v>2</v>
      </c>
      <c r="D632" s="3" t="s">
        <v>1261</v>
      </c>
      <c r="E632" s="3" t="n">
        <v>1953.4</v>
      </c>
      <c r="F632" s="3" t="s">
        <v>1261</v>
      </c>
      <c r="G632" s="3" t="n">
        <v>1953.4</v>
      </c>
      <c r="H632" s="3" t="n">
        <v>1</v>
      </c>
      <c r="I632" s="3" t="s">
        <v>65</v>
      </c>
      <c r="J632" s="3" t="n">
        <v>-2.41</v>
      </c>
      <c r="K632" s="3" t="n">
        <v>-1.44</v>
      </c>
      <c r="L632" s="3" t="n">
        <v>-4.73</v>
      </c>
      <c r="M632" s="3" t="s">
        <v>2391</v>
      </c>
      <c r="N632" s="3" t="s">
        <v>2391</v>
      </c>
      <c r="O632" s="3" t="n">
        <v>1830</v>
      </c>
      <c r="P632" s="3" t="n">
        <v>-6.32</v>
      </c>
      <c r="Q632" s="3"/>
    </row>
    <row r="633" customFormat="false" ht="15" hidden="false" customHeight="false" outlineLevel="0" collapsed="false">
      <c r="A633" s="3" t="s">
        <v>619</v>
      </c>
      <c r="B633" s="3" t="s">
        <v>620</v>
      </c>
      <c r="C633" s="3" t="n">
        <v>1</v>
      </c>
      <c r="D633" s="3" t="s">
        <v>1261</v>
      </c>
      <c r="E633" s="3" t="n">
        <v>243.9</v>
      </c>
      <c r="F633" s="3" t="s">
        <v>1261</v>
      </c>
      <c r="G633" s="3" t="n">
        <v>243.9</v>
      </c>
      <c r="H633" s="3" t="n">
        <v>1</v>
      </c>
      <c r="I633" s="3" t="s">
        <v>65</v>
      </c>
      <c r="J633" s="3" t="n">
        <v>0.11</v>
      </c>
      <c r="K633" s="3" t="n">
        <v>1.87</v>
      </c>
      <c r="L633" s="3" t="n">
        <v>-0.78</v>
      </c>
      <c r="M633" s="3" t="s">
        <v>2391</v>
      </c>
      <c r="N633" s="3" t="s">
        <v>2391</v>
      </c>
      <c r="O633" s="3" t="n">
        <v>230</v>
      </c>
      <c r="P633" s="3" t="n">
        <v>-5.7</v>
      </c>
      <c r="Q633" s="3"/>
    </row>
    <row r="634" customFormat="false" ht="15" hidden="false" customHeight="false" outlineLevel="0" collapsed="false">
      <c r="A634" s="3" t="s">
        <v>984</v>
      </c>
      <c r="B634" s="3" t="s">
        <v>985</v>
      </c>
      <c r="C634" s="3" t="n">
        <v>1</v>
      </c>
      <c r="D634" s="3" t="s">
        <v>1261</v>
      </c>
      <c r="E634" s="3" t="n">
        <v>1427.3</v>
      </c>
      <c r="F634" s="3" t="s">
        <v>1261</v>
      </c>
      <c r="G634" s="3" t="n">
        <v>1427.3</v>
      </c>
      <c r="H634" s="3" t="n">
        <v>1</v>
      </c>
      <c r="I634" s="3" t="s">
        <v>65</v>
      </c>
      <c r="J634" s="3" t="n">
        <v>0.85</v>
      </c>
      <c r="K634" s="3" t="n">
        <v>-3.78</v>
      </c>
      <c r="L634" s="3" t="n">
        <v>7.2</v>
      </c>
      <c r="M634" s="3" t="s">
        <v>2391</v>
      </c>
      <c r="N634" s="3" t="s">
        <v>2391</v>
      </c>
      <c r="O634" s="3" t="n">
        <v>1415.4</v>
      </c>
      <c r="P634" s="3" t="n">
        <v>-0.83</v>
      </c>
      <c r="Q634" s="3"/>
    </row>
    <row r="635" customFormat="false" ht="15" hidden="false" customHeight="false" outlineLevel="0" collapsed="false">
      <c r="A635" s="3" t="s">
        <v>333</v>
      </c>
      <c r="B635" s="3" t="s">
        <v>334</v>
      </c>
      <c r="C635" s="3" t="n">
        <v>8</v>
      </c>
      <c r="D635" s="3" t="s">
        <v>1269</v>
      </c>
      <c r="E635" s="3" t="n">
        <v>5667.5</v>
      </c>
      <c r="F635" s="3" t="s">
        <v>1269</v>
      </c>
      <c r="G635" s="3" t="n">
        <v>5667.5</v>
      </c>
      <c r="H635" s="3" t="n">
        <v>1</v>
      </c>
      <c r="I635" s="3" t="s">
        <v>65</v>
      </c>
      <c r="J635" s="3" t="n">
        <v>-1.09</v>
      </c>
      <c r="K635" s="3" t="n">
        <v>-1.16</v>
      </c>
      <c r="L635" s="3" t="n">
        <v>-1.05</v>
      </c>
      <c r="M635" s="3" t="s">
        <v>2391</v>
      </c>
      <c r="N635" s="3" t="s">
        <v>2391</v>
      </c>
      <c r="O635" s="3" t="n">
        <v>5175</v>
      </c>
      <c r="P635" s="3" t="n">
        <v>-8.69</v>
      </c>
      <c r="Q635" s="3"/>
    </row>
    <row r="636" customFormat="false" ht="15" hidden="false" customHeight="false" outlineLevel="0" collapsed="false">
      <c r="A636" s="3" t="s">
        <v>245</v>
      </c>
      <c r="B636" s="3" t="s">
        <v>246</v>
      </c>
      <c r="C636" s="3" t="n">
        <v>5</v>
      </c>
      <c r="D636" s="3" t="s">
        <v>1269</v>
      </c>
      <c r="E636" s="3" t="n">
        <v>2208.8</v>
      </c>
      <c r="F636" s="3" t="s">
        <v>1269</v>
      </c>
      <c r="G636" s="3" t="n">
        <v>2208.8</v>
      </c>
      <c r="H636" s="3" t="n">
        <v>1</v>
      </c>
      <c r="I636" s="3" t="s">
        <v>65</v>
      </c>
      <c r="J636" s="3" t="n">
        <v>-3.3</v>
      </c>
      <c r="K636" s="3" t="n">
        <v>-4.01</v>
      </c>
      <c r="L636" s="3" t="n">
        <v>-5.08</v>
      </c>
      <c r="M636" s="3" t="s">
        <v>2391</v>
      </c>
      <c r="N636" s="3" t="s">
        <v>2391</v>
      </c>
      <c r="O636" s="3" t="n">
        <v>1896</v>
      </c>
      <c r="P636" s="3" t="n">
        <v>-14.16</v>
      </c>
      <c r="Q636" s="3"/>
    </row>
    <row r="637" customFormat="false" ht="15" hidden="false" customHeight="false" outlineLevel="0" collapsed="false">
      <c r="A637" s="3" t="s">
        <v>136</v>
      </c>
      <c r="B637" s="3" t="s">
        <v>137</v>
      </c>
      <c r="C637" s="3" t="n">
        <v>13</v>
      </c>
      <c r="D637" s="3" t="s">
        <v>1269</v>
      </c>
      <c r="E637" s="3" t="n">
        <v>142.18</v>
      </c>
      <c r="F637" s="3" t="s">
        <v>1269</v>
      </c>
      <c r="G637" s="3" t="n">
        <v>142.18</v>
      </c>
      <c r="H637" s="3" t="n">
        <v>1</v>
      </c>
      <c r="I637" s="3" t="s">
        <v>65</v>
      </c>
      <c r="J637" s="3" t="n">
        <v>-3.2</v>
      </c>
      <c r="K637" s="3" t="n">
        <v>-3.61</v>
      </c>
      <c r="L637" s="3" t="n">
        <v>-0.41</v>
      </c>
      <c r="M637" s="3" t="s">
        <v>2391</v>
      </c>
      <c r="N637" s="3" t="s">
        <v>2391</v>
      </c>
      <c r="O637" s="3" t="n">
        <v>133.32</v>
      </c>
      <c r="P637" s="3" t="n">
        <v>-6.23</v>
      </c>
      <c r="Q637" s="3"/>
    </row>
    <row r="638" customFormat="false" ht="15" hidden="false" customHeight="false" outlineLevel="0" collapsed="false">
      <c r="A638" s="3" t="s">
        <v>117</v>
      </c>
      <c r="B638" s="3" t="s">
        <v>118</v>
      </c>
      <c r="C638" s="3" t="n">
        <v>4</v>
      </c>
      <c r="D638" s="3" t="s">
        <v>1269</v>
      </c>
      <c r="E638" s="3" t="n">
        <v>279.6</v>
      </c>
      <c r="F638" s="3" t="s">
        <v>1269</v>
      </c>
      <c r="G638" s="3" t="n">
        <v>279.6</v>
      </c>
      <c r="H638" s="3" t="n">
        <v>1</v>
      </c>
      <c r="I638" s="3" t="s">
        <v>65</v>
      </c>
      <c r="J638" s="3" t="n">
        <v>-2.86</v>
      </c>
      <c r="K638" s="3" t="n">
        <v>-1.27</v>
      </c>
      <c r="L638" s="3" t="n">
        <v>1.93</v>
      </c>
      <c r="M638" s="3" t="s">
        <v>2391</v>
      </c>
      <c r="N638" s="3" t="s">
        <v>2391</v>
      </c>
      <c r="O638" s="3" t="n">
        <v>289.85</v>
      </c>
      <c r="P638" s="3" t="n">
        <v>3.67</v>
      </c>
      <c r="Q638" s="3"/>
    </row>
    <row r="639" customFormat="false" ht="15" hidden="false" customHeight="false" outlineLevel="0" collapsed="false">
      <c r="A639" s="3" t="s">
        <v>159</v>
      </c>
      <c r="B639" s="3" t="s">
        <v>160</v>
      </c>
      <c r="C639" s="3" t="n">
        <v>2</v>
      </c>
      <c r="D639" s="3" t="s">
        <v>1269</v>
      </c>
      <c r="E639" s="3" t="n">
        <v>1288</v>
      </c>
      <c r="F639" s="3" t="s">
        <v>1269</v>
      </c>
      <c r="G639" s="3" t="n">
        <v>1288</v>
      </c>
      <c r="H639" s="3" t="n">
        <v>1</v>
      </c>
      <c r="I639" s="3" t="s">
        <v>65</v>
      </c>
      <c r="J639" s="3" t="n">
        <v>-2.67</v>
      </c>
      <c r="K639" s="3" t="n">
        <v>5.5</v>
      </c>
      <c r="L639" s="3" t="n">
        <v>3.08</v>
      </c>
      <c r="M639" s="3" t="s">
        <v>2391</v>
      </c>
      <c r="N639" s="3" t="s">
        <v>2391</v>
      </c>
      <c r="O639" s="3" t="n">
        <v>1135.5</v>
      </c>
      <c r="P639" s="3" t="n">
        <v>-11.84</v>
      </c>
      <c r="Q639" s="3"/>
    </row>
    <row r="640" customFormat="false" ht="15" hidden="false" customHeight="false" outlineLevel="0" collapsed="false">
      <c r="A640" s="3" t="s">
        <v>74</v>
      </c>
      <c r="B640" s="3" t="s">
        <v>75</v>
      </c>
      <c r="C640" s="3" t="n">
        <v>4</v>
      </c>
      <c r="D640" s="3" t="s">
        <v>1275</v>
      </c>
      <c r="E640" s="3" t="n">
        <v>1804.2</v>
      </c>
      <c r="F640" s="3" t="s">
        <v>1275</v>
      </c>
      <c r="G640" s="3" t="n">
        <v>1804.2</v>
      </c>
      <c r="H640" s="3" t="n">
        <v>1</v>
      </c>
      <c r="I640" s="3" t="s">
        <v>65</v>
      </c>
      <c r="J640" s="3" t="n">
        <v>-0.53</v>
      </c>
      <c r="K640" s="3" t="n">
        <v>0.58</v>
      </c>
      <c r="L640" s="3" t="n">
        <v>-6.66</v>
      </c>
      <c r="M640" s="3" t="s">
        <v>2391</v>
      </c>
      <c r="N640" s="3" t="s">
        <v>2391</v>
      </c>
      <c r="O640" s="3" t="n">
        <v>1540</v>
      </c>
      <c r="P640" s="3" t="n">
        <v>-14.64</v>
      </c>
      <c r="Q640" s="3"/>
    </row>
    <row r="641" customFormat="false" ht="15" hidden="false" customHeight="false" outlineLevel="0" collapsed="false">
      <c r="A641" s="3" t="s">
        <v>585</v>
      </c>
      <c r="B641" s="3" t="s">
        <v>586</v>
      </c>
      <c r="C641" s="3" t="n">
        <v>3</v>
      </c>
      <c r="D641" s="3" t="s">
        <v>1277</v>
      </c>
      <c r="E641" s="3" t="n">
        <v>8845.5</v>
      </c>
      <c r="F641" s="3" t="s">
        <v>1277</v>
      </c>
      <c r="G641" s="3" t="n">
        <v>8845.5</v>
      </c>
      <c r="H641" s="3" t="n">
        <v>1</v>
      </c>
      <c r="I641" s="3" t="s">
        <v>65</v>
      </c>
      <c r="J641" s="3" t="n">
        <v>-0.05</v>
      </c>
      <c r="K641" s="3" t="n">
        <v>0.48</v>
      </c>
      <c r="L641" s="3" t="n">
        <v>1.46</v>
      </c>
      <c r="M641" s="3" t="s">
        <v>2391</v>
      </c>
      <c r="N641" s="3" t="s">
        <v>2391</v>
      </c>
      <c r="O641" s="3" t="n">
        <v>8860</v>
      </c>
      <c r="P641" s="3" t="n">
        <v>0.16</v>
      </c>
      <c r="Q641" s="3"/>
    </row>
    <row r="642" customFormat="false" ht="15" hidden="false" customHeight="false" outlineLevel="0" collapsed="false">
      <c r="A642" s="3" t="s">
        <v>242</v>
      </c>
      <c r="B642" s="3" t="s">
        <v>243</v>
      </c>
      <c r="C642" s="3" t="n">
        <v>1</v>
      </c>
      <c r="D642" s="3" t="s">
        <v>1277</v>
      </c>
      <c r="E642" s="3" t="n">
        <v>1931.1</v>
      </c>
      <c r="F642" s="3" t="s">
        <v>1277</v>
      </c>
      <c r="G642" s="3" t="n">
        <v>1931.1</v>
      </c>
      <c r="H642" s="3" t="n">
        <v>1</v>
      </c>
      <c r="I642" s="3" t="s">
        <v>65</v>
      </c>
      <c r="J642" s="3" t="n">
        <v>-0.55</v>
      </c>
      <c r="K642" s="3" t="n">
        <v>-0.48</v>
      </c>
      <c r="L642" s="3" t="n">
        <v>0.88</v>
      </c>
      <c r="M642" s="3" t="s">
        <v>2391</v>
      </c>
      <c r="N642" s="3" t="s">
        <v>2391</v>
      </c>
      <c r="O642" s="3" t="n">
        <v>1771.4</v>
      </c>
      <c r="P642" s="3" t="n">
        <v>-8.27</v>
      </c>
      <c r="Q642" s="3"/>
    </row>
    <row r="643" customFormat="false" ht="15" hidden="false" customHeight="false" outlineLevel="0" collapsed="false">
      <c r="A643" s="3" t="s">
        <v>101</v>
      </c>
      <c r="B643" s="3" t="s">
        <v>102</v>
      </c>
      <c r="C643" s="3" t="n">
        <v>5</v>
      </c>
      <c r="D643" s="3" t="s">
        <v>1277</v>
      </c>
      <c r="E643" s="3" t="n">
        <v>2737.1</v>
      </c>
      <c r="F643" s="3" t="s">
        <v>1277</v>
      </c>
      <c r="G643" s="3" t="n">
        <v>2737.1</v>
      </c>
      <c r="H643" s="3" t="n">
        <v>1</v>
      </c>
      <c r="I643" s="3" t="s">
        <v>65</v>
      </c>
      <c r="J643" s="3" t="n">
        <v>0.88</v>
      </c>
      <c r="K643" s="3" t="n">
        <v>-4.93</v>
      </c>
      <c r="L643" s="3" t="n">
        <v>-7.27</v>
      </c>
      <c r="M643" s="3" t="s">
        <v>2391</v>
      </c>
      <c r="N643" s="3" t="s">
        <v>2391</v>
      </c>
      <c r="O643" s="3" t="n">
        <v>2302.3</v>
      </c>
      <c r="P643" s="3" t="n">
        <v>-15.89</v>
      </c>
      <c r="Q643" s="3"/>
    </row>
    <row r="644" customFormat="false" ht="15" hidden="false" customHeight="false" outlineLevel="0" collapsed="false">
      <c r="A644" s="3" t="s">
        <v>245</v>
      </c>
      <c r="B644" s="3" t="s">
        <v>246</v>
      </c>
      <c r="C644" s="3" t="n">
        <v>6</v>
      </c>
      <c r="D644" s="3" t="s">
        <v>1277</v>
      </c>
      <c r="E644" s="3" t="n">
        <v>2144.5</v>
      </c>
      <c r="F644" s="3" t="s">
        <v>1277</v>
      </c>
      <c r="G644" s="3" t="n">
        <v>2144.5</v>
      </c>
      <c r="H644" s="3" t="n">
        <v>1</v>
      </c>
      <c r="I644" s="3" t="s">
        <v>65</v>
      </c>
      <c r="J644" s="3" t="n">
        <v>0.28</v>
      </c>
      <c r="K644" s="3" t="n">
        <v>-2.15</v>
      </c>
      <c r="L644" s="3" t="n">
        <v>-3.03</v>
      </c>
      <c r="M644" s="3" t="s">
        <v>2391</v>
      </c>
      <c r="N644" s="3" t="s">
        <v>2391</v>
      </c>
      <c r="O644" s="3" t="n">
        <v>1896</v>
      </c>
      <c r="P644" s="3" t="n">
        <v>-11.59</v>
      </c>
      <c r="Q644" s="3"/>
    </row>
    <row r="645" customFormat="false" ht="15" hidden="false" customHeight="false" outlineLevel="0" collapsed="false">
      <c r="A645" s="3" t="s">
        <v>1282</v>
      </c>
      <c r="B645" s="3" t="s">
        <v>1283</v>
      </c>
      <c r="C645" s="3" t="n">
        <v>0</v>
      </c>
      <c r="D645" s="3" t="s">
        <v>1277</v>
      </c>
      <c r="E645" s="3" t="n">
        <v>874.9</v>
      </c>
      <c r="F645" s="3" t="s">
        <v>1277</v>
      </c>
      <c r="G645" s="3" t="n">
        <v>874.9</v>
      </c>
      <c r="H645" s="3" t="n">
        <v>1</v>
      </c>
      <c r="I645" s="3" t="s">
        <v>65</v>
      </c>
      <c r="J645" s="3" t="n">
        <v>2.99</v>
      </c>
      <c r="K645" s="3" t="n">
        <v>-0.43</v>
      </c>
      <c r="L645" s="3" t="n">
        <v>6.3</v>
      </c>
      <c r="M645" s="3" t="s">
        <v>2391</v>
      </c>
      <c r="N645" s="3" t="s">
        <v>2391</v>
      </c>
      <c r="O645" s="3" t="n">
        <v>884.05</v>
      </c>
      <c r="P645" s="3" t="n">
        <v>1.05</v>
      </c>
      <c r="Q645" s="3"/>
    </row>
    <row r="646" customFormat="false" ht="15" hidden="false" customHeight="false" outlineLevel="0" collapsed="false">
      <c r="A646" s="3" t="s">
        <v>1285</v>
      </c>
      <c r="B646" s="3" t="s">
        <v>1286</v>
      </c>
      <c r="C646" s="3" t="n">
        <v>0</v>
      </c>
      <c r="D646" s="3" t="s">
        <v>1277</v>
      </c>
      <c r="E646" s="3" t="n">
        <v>942.5</v>
      </c>
      <c r="F646" s="3" t="s">
        <v>1277</v>
      </c>
      <c r="G646" s="3" t="n">
        <v>942.5</v>
      </c>
      <c r="H646" s="3" t="n">
        <v>1</v>
      </c>
      <c r="I646" s="3" t="s">
        <v>65</v>
      </c>
      <c r="J646" s="3" t="n">
        <v>3.91</v>
      </c>
      <c r="K646" s="3" t="n">
        <v>1.32</v>
      </c>
      <c r="L646" s="3" t="n">
        <v>-7.27</v>
      </c>
      <c r="M646" s="3" t="s">
        <v>2391</v>
      </c>
      <c r="N646" s="3" t="s">
        <v>2391</v>
      </c>
      <c r="O646" s="3" t="n">
        <v>1011.6</v>
      </c>
      <c r="P646" s="3" t="n">
        <v>7.33</v>
      </c>
      <c r="Q646" s="3"/>
    </row>
    <row r="647" customFormat="false" ht="15" hidden="false" customHeight="false" outlineLevel="0" collapsed="false">
      <c r="A647" s="3" t="s">
        <v>207</v>
      </c>
      <c r="B647" s="3" t="s">
        <v>208</v>
      </c>
      <c r="C647" s="3" t="n">
        <v>8</v>
      </c>
      <c r="D647" s="3" t="s">
        <v>1288</v>
      </c>
      <c r="E647" s="3" t="n">
        <v>1129</v>
      </c>
      <c r="F647" s="3" t="s">
        <v>1288</v>
      </c>
      <c r="G647" s="3" t="n">
        <v>1129</v>
      </c>
      <c r="H647" s="3" t="n">
        <v>1</v>
      </c>
      <c r="I647" s="3" t="s">
        <v>65</v>
      </c>
      <c r="J647" s="3" t="n">
        <v>-0.97</v>
      </c>
      <c r="K647" s="3" t="n">
        <v>-1.36</v>
      </c>
      <c r="L647" s="3" t="n">
        <v>3.46</v>
      </c>
      <c r="M647" s="3" t="s">
        <v>2391</v>
      </c>
      <c r="N647" s="3" t="s">
        <v>2391</v>
      </c>
      <c r="O647" s="3" t="n">
        <v>1045</v>
      </c>
      <c r="P647" s="3" t="n">
        <v>-7.44</v>
      </c>
      <c r="Q647" s="3"/>
    </row>
    <row r="648" customFormat="false" ht="15" hidden="false" customHeight="false" outlineLevel="0" collapsed="false">
      <c r="A648" s="3" t="s">
        <v>96</v>
      </c>
      <c r="B648" s="3" t="s">
        <v>97</v>
      </c>
      <c r="C648" s="3" t="n">
        <v>11</v>
      </c>
      <c r="D648" s="3" t="s">
        <v>1288</v>
      </c>
      <c r="E648" s="3" t="n">
        <v>520.3</v>
      </c>
      <c r="F648" s="3" t="s">
        <v>1288</v>
      </c>
      <c r="G648" s="3" t="n">
        <v>520.3</v>
      </c>
      <c r="H648" s="3" t="n">
        <v>1</v>
      </c>
      <c r="I648" s="3" t="s">
        <v>65</v>
      </c>
      <c r="J648" s="3" t="n">
        <v>-1.54</v>
      </c>
      <c r="K648" s="3" t="n">
        <v>-5.41</v>
      </c>
      <c r="L648" s="3" t="n">
        <v>-9.03</v>
      </c>
      <c r="M648" s="3" t="s">
        <v>2391</v>
      </c>
      <c r="N648" s="3" t="s">
        <v>2391</v>
      </c>
      <c r="O648" s="3" t="n">
        <v>407.5</v>
      </c>
      <c r="P648" s="3" t="n">
        <v>-21.68</v>
      </c>
      <c r="Q648" s="3"/>
    </row>
    <row r="649" customFormat="false" ht="15" hidden="false" customHeight="false" outlineLevel="0" collapsed="false">
      <c r="A649" s="3" t="s">
        <v>254</v>
      </c>
      <c r="B649" s="3" t="s">
        <v>255</v>
      </c>
      <c r="C649" s="3" t="n">
        <v>5</v>
      </c>
      <c r="D649" s="3" t="s">
        <v>1288</v>
      </c>
      <c r="E649" s="3" t="n">
        <v>685.75</v>
      </c>
      <c r="F649" s="3" t="s">
        <v>1288</v>
      </c>
      <c r="G649" s="3" t="n">
        <v>685.75</v>
      </c>
      <c r="H649" s="3" t="n">
        <v>1</v>
      </c>
      <c r="I649" s="3" t="s">
        <v>65</v>
      </c>
      <c r="J649" s="3" t="n">
        <v>-0.5</v>
      </c>
      <c r="K649" s="3" t="n">
        <v>-2.62</v>
      </c>
      <c r="L649" s="3" t="n">
        <v>-6.38</v>
      </c>
      <c r="M649" s="3" t="s">
        <v>2391</v>
      </c>
      <c r="N649" s="3" t="s">
        <v>2391</v>
      </c>
      <c r="O649" s="3" t="n">
        <v>663.55</v>
      </c>
      <c r="P649" s="3" t="n">
        <v>-3.24</v>
      </c>
      <c r="Q649" s="3"/>
    </row>
    <row r="650" customFormat="false" ht="15" hidden="false" customHeight="false" outlineLevel="0" collapsed="false">
      <c r="A650" s="3" t="s">
        <v>364</v>
      </c>
      <c r="B650" s="3" t="s">
        <v>365</v>
      </c>
      <c r="C650" s="3" t="n">
        <v>8</v>
      </c>
      <c r="D650" s="3" t="s">
        <v>1288</v>
      </c>
      <c r="E650" s="3" t="n">
        <v>510.35</v>
      </c>
      <c r="F650" s="3" t="s">
        <v>1288</v>
      </c>
      <c r="G650" s="3" t="n">
        <v>510.35</v>
      </c>
      <c r="H650" s="3" t="n">
        <v>1</v>
      </c>
      <c r="I650" s="3" t="s">
        <v>65</v>
      </c>
      <c r="J650" s="3" t="n">
        <v>1.83</v>
      </c>
      <c r="K650" s="3" t="n">
        <v>-2.59</v>
      </c>
      <c r="L650" s="3" t="n">
        <v>-1.82</v>
      </c>
      <c r="M650" s="3" t="s">
        <v>2391</v>
      </c>
      <c r="N650" s="3" t="s">
        <v>2391</v>
      </c>
      <c r="O650" s="3" t="n">
        <v>458.7</v>
      </c>
      <c r="P650" s="3" t="n">
        <v>-10.12</v>
      </c>
      <c r="Q650" s="3"/>
    </row>
    <row r="651" customFormat="false" ht="15" hidden="false" customHeight="false" outlineLevel="0" collapsed="false">
      <c r="A651" s="3" t="s">
        <v>1293</v>
      </c>
      <c r="B651" s="3" t="s">
        <v>1294</v>
      </c>
      <c r="C651" s="3" t="n">
        <v>0</v>
      </c>
      <c r="D651" s="3" t="s">
        <v>1288</v>
      </c>
      <c r="E651" s="3" t="n">
        <v>82.61</v>
      </c>
      <c r="F651" s="3" t="s">
        <v>1288</v>
      </c>
      <c r="G651" s="3" t="n">
        <v>82.61</v>
      </c>
      <c r="H651" s="3" t="n">
        <v>1</v>
      </c>
      <c r="I651" s="3" t="s">
        <v>65</v>
      </c>
      <c r="J651" s="3" t="n">
        <v>-1.84</v>
      </c>
      <c r="K651" s="3" t="n">
        <v>-5.44</v>
      </c>
      <c r="L651" s="3" t="n">
        <v>-5.58</v>
      </c>
      <c r="M651" s="3" t="s">
        <v>2391</v>
      </c>
      <c r="N651" s="3" t="s">
        <v>2391</v>
      </c>
      <c r="O651" s="3" t="n">
        <v>72</v>
      </c>
      <c r="P651" s="3" t="n">
        <v>-12.84</v>
      </c>
      <c r="Q651" s="3"/>
    </row>
    <row r="652" customFormat="false" ht="15" hidden="false" customHeight="false" outlineLevel="0" collapsed="false">
      <c r="A652" s="3" t="s">
        <v>90</v>
      </c>
      <c r="B652" s="3" t="s">
        <v>91</v>
      </c>
      <c r="C652" s="3" t="n">
        <v>3</v>
      </c>
      <c r="D652" s="3" t="s">
        <v>1296</v>
      </c>
      <c r="E652" s="3" t="n">
        <v>10381</v>
      </c>
      <c r="F652" s="3" t="s">
        <v>1296</v>
      </c>
      <c r="G652" s="3" t="n">
        <v>10381</v>
      </c>
      <c r="H652" s="3" t="n">
        <v>1</v>
      </c>
      <c r="I652" s="3" t="s">
        <v>65</v>
      </c>
      <c r="J652" s="3" t="n">
        <v>-2.07</v>
      </c>
      <c r="K652" s="3" t="n">
        <v>1.36</v>
      </c>
      <c r="L652" s="3" t="n">
        <v>12.48</v>
      </c>
      <c r="M652" s="3" t="s">
        <v>2391</v>
      </c>
      <c r="N652" s="3" t="s">
        <v>2391</v>
      </c>
      <c r="O652" s="3" t="n">
        <v>11024</v>
      </c>
      <c r="P652" s="3" t="n">
        <v>6.19</v>
      </c>
      <c r="Q652" s="3"/>
    </row>
    <row r="653" customFormat="false" ht="15" hidden="false" customHeight="false" outlineLevel="0" collapsed="false">
      <c r="A653" s="3" t="s">
        <v>871</v>
      </c>
      <c r="B653" s="3" t="s">
        <v>872</v>
      </c>
      <c r="C653" s="3" t="n">
        <v>3</v>
      </c>
      <c r="D653" s="3" t="s">
        <v>1296</v>
      </c>
      <c r="E653" s="3" t="n">
        <v>1102.6</v>
      </c>
      <c r="F653" s="3" t="s">
        <v>1296</v>
      </c>
      <c r="G653" s="3" t="n">
        <v>1102.6</v>
      </c>
      <c r="H653" s="3" t="n">
        <v>1</v>
      </c>
      <c r="I653" s="3" t="s">
        <v>65</v>
      </c>
      <c r="J653" s="3" t="n">
        <v>-0.88</v>
      </c>
      <c r="K653" s="3" t="n">
        <v>-1.41</v>
      </c>
      <c r="L653" s="3" t="n">
        <v>7.29</v>
      </c>
      <c r="M653" s="3" t="s">
        <v>2391</v>
      </c>
      <c r="N653" s="3" t="s">
        <v>2391</v>
      </c>
      <c r="O653" s="3" t="n">
        <v>1003.2</v>
      </c>
      <c r="P653" s="3" t="n">
        <v>-9.02</v>
      </c>
      <c r="Q653" s="3"/>
    </row>
    <row r="654" customFormat="false" ht="15" hidden="false" customHeight="false" outlineLevel="0" collapsed="false">
      <c r="A654" s="3" t="s">
        <v>148</v>
      </c>
      <c r="B654" s="3" t="s">
        <v>149</v>
      </c>
      <c r="C654" s="3" t="n">
        <v>4</v>
      </c>
      <c r="D654" s="3" t="s">
        <v>1296</v>
      </c>
      <c r="E654" s="3" t="n">
        <v>4951.1</v>
      </c>
      <c r="F654" s="3" t="s">
        <v>1305</v>
      </c>
      <c r="G654" s="3" t="n">
        <v>5017.8</v>
      </c>
      <c r="H654" s="3" t="n">
        <v>3</v>
      </c>
      <c r="I654" s="3" t="s">
        <v>70</v>
      </c>
      <c r="J654" s="3" t="n">
        <v>0.45</v>
      </c>
      <c r="K654" s="3" t="n">
        <v>1.1</v>
      </c>
      <c r="L654" s="3" t="n">
        <v>-0.55</v>
      </c>
      <c r="M654" s="3" t="s">
        <v>2391</v>
      </c>
      <c r="N654" s="3" t="s">
        <v>2391</v>
      </c>
      <c r="O654" s="3" t="n">
        <v>4869</v>
      </c>
      <c r="P654" s="3" t="n">
        <v>-1.66</v>
      </c>
      <c r="Q654" s="3"/>
    </row>
    <row r="655" customFormat="false" ht="15" hidden="false" customHeight="false" outlineLevel="0" collapsed="false">
      <c r="A655" s="3" t="s">
        <v>333</v>
      </c>
      <c r="B655" s="3" t="s">
        <v>334</v>
      </c>
      <c r="C655" s="3" t="n">
        <v>9</v>
      </c>
      <c r="D655" s="3" t="s">
        <v>1300</v>
      </c>
      <c r="E655" s="3" t="n">
        <v>5601.5</v>
      </c>
      <c r="F655" s="3" t="s">
        <v>1300</v>
      </c>
      <c r="G655" s="3" t="n">
        <v>5601.5</v>
      </c>
      <c r="H655" s="3" t="n">
        <v>1</v>
      </c>
      <c r="I655" s="3" t="s">
        <v>65</v>
      </c>
      <c r="J655" s="3" t="n">
        <v>1.03</v>
      </c>
      <c r="K655" s="3" t="n">
        <v>1.43</v>
      </c>
      <c r="L655" s="3" t="n">
        <v>-1.32</v>
      </c>
      <c r="M655" s="3" t="s">
        <v>2391</v>
      </c>
      <c r="N655" s="3" t="s">
        <v>2391</v>
      </c>
      <c r="O655" s="3" t="n">
        <v>5175</v>
      </c>
      <c r="P655" s="3" t="n">
        <v>-7.61</v>
      </c>
      <c r="Q655" s="3"/>
    </row>
    <row r="656" customFormat="false" ht="15" hidden="false" customHeight="false" outlineLevel="0" collapsed="false">
      <c r="A656" s="3" t="s">
        <v>629</v>
      </c>
      <c r="B656" s="3" t="s">
        <v>630</v>
      </c>
      <c r="C656" s="3" t="n">
        <v>1</v>
      </c>
      <c r="D656" s="3" t="s">
        <v>1300</v>
      </c>
      <c r="E656" s="3" t="n">
        <v>441.1</v>
      </c>
      <c r="F656" s="3" t="s">
        <v>1300</v>
      </c>
      <c r="G656" s="3" t="n">
        <v>441.1</v>
      </c>
      <c r="H656" s="3" t="n">
        <v>1</v>
      </c>
      <c r="I656" s="3" t="s">
        <v>65</v>
      </c>
      <c r="J656" s="3" t="n">
        <v>-0.88</v>
      </c>
      <c r="K656" s="3" t="n">
        <v>0.92</v>
      </c>
      <c r="L656" s="3" t="n">
        <v>6.63</v>
      </c>
      <c r="M656" s="3" t="s">
        <v>2391</v>
      </c>
      <c r="N656" s="3" t="s">
        <v>2391</v>
      </c>
      <c r="O656" s="3" t="n">
        <v>468</v>
      </c>
      <c r="P656" s="3" t="n">
        <v>6.1</v>
      </c>
      <c r="Q656" s="3"/>
    </row>
    <row r="657" customFormat="false" ht="15" hidden="false" customHeight="false" outlineLevel="0" collapsed="false">
      <c r="A657" s="3" t="s">
        <v>1070</v>
      </c>
      <c r="B657" s="3" t="s">
        <v>1071</v>
      </c>
      <c r="C657" s="3" t="n">
        <v>1</v>
      </c>
      <c r="D657" s="3" t="s">
        <v>1300</v>
      </c>
      <c r="E657" s="3" t="n">
        <v>638.85</v>
      </c>
      <c r="F657" s="3" t="s">
        <v>1300</v>
      </c>
      <c r="G657" s="3" t="n">
        <v>638.85</v>
      </c>
      <c r="H657" s="3" t="n">
        <v>1</v>
      </c>
      <c r="I657" s="3" t="s">
        <v>65</v>
      </c>
      <c r="J657" s="3" t="n">
        <v>0.23</v>
      </c>
      <c r="K657" s="3" t="n">
        <v>0.97</v>
      </c>
      <c r="L657" s="3" t="n">
        <v>1.75</v>
      </c>
      <c r="M657" s="3" t="s">
        <v>2391</v>
      </c>
      <c r="N657" s="3" t="s">
        <v>2391</v>
      </c>
      <c r="O657" s="3" t="n">
        <v>591</v>
      </c>
      <c r="P657" s="3" t="n">
        <v>-7.49</v>
      </c>
      <c r="Q657" s="3"/>
    </row>
    <row r="658" customFormat="false" ht="15" hidden="false" customHeight="false" outlineLevel="0" collapsed="false">
      <c r="A658" s="3" t="s">
        <v>1007</v>
      </c>
      <c r="B658" s="3" t="s">
        <v>1008</v>
      </c>
      <c r="C658" s="3" t="n">
        <v>1</v>
      </c>
      <c r="D658" s="3" t="s">
        <v>1305</v>
      </c>
      <c r="E658" s="3" t="n">
        <v>417.95</v>
      </c>
      <c r="F658" s="3" t="s">
        <v>1305</v>
      </c>
      <c r="G658" s="3" t="n">
        <v>417.95</v>
      </c>
      <c r="H658" s="3" t="n">
        <v>1</v>
      </c>
      <c r="I658" s="3" t="s">
        <v>65</v>
      </c>
      <c r="J658" s="3" t="n">
        <v>4.18</v>
      </c>
      <c r="K658" s="3" t="n">
        <v>-0.36</v>
      </c>
      <c r="L658" s="3" t="n">
        <v>0.49</v>
      </c>
      <c r="M658" s="3" t="s">
        <v>2391</v>
      </c>
      <c r="N658" s="3" t="s">
        <v>2391</v>
      </c>
      <c r="O658" s="3" t="n">
        <v>411.9</v>
      </c>
      <c r="P658" s="3" t="n">
        <v>-1.45</v>
      </c>
      <c r="Q658" s="3"/>
    </row>
    <row r="659" customFormat="false" ht="15" hidden="false" customHeight="false" outlineLevel="0" collapsed="false">
      <c r="A659" s="3" t="s">
        <v>66</v>
      </c>
      <c r="B659" s="3" t="s">
        <v>67</v>
      </c>
      <c r="C659" s="3" t="n">
        <v>5</v>
      </c>
      <c r="D659" s="3" t="s">
        <v>1305</v>
      </c>
      <c r="E659" s="3" t="n">
        <v>7273</v>
      </c>
      <c r="F659" s="3" t="s">
        <v>1305</v>
      </c>
      <c r="G659" s="3" t="n">
        <v>7273</v>
      </c>
      <c r="H659" s="3" t="n">
        <v>1</v>
      </c>
      <c r="I659" s="3" t="s">
        <v>65</v>
      </c>
      <c r="J659" s="3" t="n">
        <v>0.59</v>
      </c>
      <c r="K659" s="3" t="n">
        <v>1.56</v>
      </c>
      <c r="L659" s="3" t="n">
        <v>18.25</v>
      </c>
      <c r="M659" s="3" t="s">
        <v>2391</v>
      </c>
      <c r="N659" s="3" t="s">
        <v>2391</v>
      </c>
      <c r="O659" s="3" t="n">
        <v>9550</v>
      </c>
      <c r="P659" s="3" t="n">
        <v>31.31</v>
      </c>
      <c r="Q659" s="3"/>
    </row>
    <row r="660" customFormat="false" ht="15" hidden="false" customHeight="false" outlineLevel="0" collapsed="false">
      <c r="A660" s="3" t="s">
        <v>101</v>
      </c>
      <c r="B660" s="3" t="s">
        <v>102</v>
      </c>
      <c r="C660" s="3" t="n">
        <v>6</v>
      </c>
      <c r="D660" s="3" t="s">
        <v>1305</v>
      </c>
      <c r="E660" s="3" t="n">
        <v>2729.2</v>
      </c>
      <c r="F660" s="3" t="s">
        <v>1305</v>
      </c>
      <c r="G660" s="3" t="n">
        <v>2729.2</v>
      </c>
      <c r="H660" s="3" t="n">
        <v>1</v>
      </c>
      <c r="I660" s="3" t="s">
        <v>65</v>
      </c>
      <c r="J660" s="3" t="n">
        <v>-4.65</v>
      </c>
      <c r="K660" s="3" t="n">
        <v>-6.71</v>
      </c>
      <c r="L660" s="3" t="n">
        <v>-8.76</v>
      </c>
      <c r="M660" s="3" t="s">
        <v>2391</v>
      </c>
      <c r="N660" s="3" t="s">
        <v>2391</v>
      </c>
      <c r="O660" s="3" t="n">
        <v>2302.3</v>
      </c>
      <c r="P660" s="3" t="n">
        <v>-15.64</v>
      </c>
      <c r="Q660" s="3"/>
    </row>
    <row r="661" customFormat="false" ht="15" hidden="false" customHeight="false" outlineLevel="0" collapsed="false">
      <c r="A661" s="3" t="s">
        <v>136</v>
      </c>
      <c r="B661" s="3" t="s">
        <v>137</v>
      </c>
      <c r="C661" s="3" t="n">
        <v>14</v>
      </c>
      <c r="D661" s="3" t="s">
        <v>1305</v>
      </c>
      <c r="E661" s="3" t="n">
        <v>140.24</v>
      </c>
      <c r="F661" s="3" t="s">
        <v>1313</v>
      </c>
      <c r="G661" s="3" t="n">
        <v>141.8</v>
      </c>
      <c r="H661" s="3" t="n">
        <v>2</v>
      </c>
      <c r="I661" s="3" t="s">
        <v>70</v>
      </c>
      <c r="J661" s="3" t="n">
        <v>1.11</v>
      </c>
      <c r="K661" s="3" t="n">
        <v>1.28</v>
      </c>
      <c r="L661" s="3" t="n">
        <v>0.26</v>
      </c>
      <c r="M661" s="3" t="s">
        <v>2391</v>
      </c>
      <c r="N661" s="3" t="s">
        <v>2391</v>
      </c>
      <c r="O661" s="3" t="n">
        <v>133.32</v>
      </c>
      <c r="P661" s="3" t="n">
        <v>-4.93</v>
      </c>
      <c r="Q661" s="3"/>
    </row>
    <row r="662" customFormat="false" ht="15" hidden="false" customHeight="false" outlineLevel="0" collapsed="false">
      <c r="A662" s="3" t="s">
        <v>164</v>
      </c>
      <c r="B662" s="3" t="s">
        <v>165</v>
      </c>
      <c r="C662" s="3" t="n">
        <v>7</v>
      </c>
      <c r="D662" s="3" t="s">
        <v>1305</v>
      </c>
      <c r="E662" s="3" t="n">
        <v>1568.8</v>
      </c>
      <c r="F662" s="3" t="s">
        <v>1305</v>
      </c>
      <c r="G662" s="3" t="n">
        <v>1568.8</v>
      </c>
      <c r="H662" s="3" t="n">
        <v>1</v>
      </c>
      <c r="I662" s="3" t="s">
        <v>65</v>
      </c>
      <c r="J662" s="3" t="n">
        <v>-0.59</v>
      </c>
      <c r="K662" s="3" t="n">
        <v>2.54</v>
      </c>
      <c r="L662" s="3" t="n">
        <v>8.46</v>
      </c>
      <c r="M662" s="3" t="s">
        <v>2391</v>
      </c>
      <c r="N662" s="3" t="s">
        <v>2391</v>
      </c>
      <c r="O662" s="3" t="n">
        <v>1503</v>
      </c>
      <c r="P662" s="3" t="n">
        <v>-4.19</v>
      </c>
      <c r="Q662" s="3"/>
    </row>
    <row r="663" customFormat="false" ht="15" hidden="false" customHeight="false" outlineLevel="0" collapsed="false">
      <c r="A663" s="3" t="s">
        <v>655</v>
      </c>
      <c r="B663" s="3" t="s">
        <v>656</v>
      </c>
      <c r="C663" s="3" t="n">
        <v>1</v>
      </c>
      <c r="D663" s="3" t="s">
        <v>1305</v>
      </c>
      <c r="E663" s="3" t="n">
        <v>11812</v>
      </c>
      <c r="F663" s="3" t="s">
        <v>1305</v>
      </c>
      <c r="G663" s="3" t="n">
        <v>11812</v>
      </c>
      <c r="H663" s="3" t="n">
        <v>1</v>
      </c>
      <c r="I663" s="3" t="s">
        <v>65</v>
      </c>
      <c r="J663" s="3" t="n">
        <v>-0.35</v>
      </c>
      <c r="K663" s="3" t="n">
        <v>0.69</v>
      </c>
      <c r="L663" s="3" t="n">
        <v>0.67</v>
      </c>
      <c r="M663" s="3" t="s">
        <v>2391</v>
      </c>
      <c r="N663" s="3" t="s">
        <v>2391</v>
      </c>
      <c r="O663" s="3" t="n">
        <v>11025</v>
      </c>
      <c r="P663" s="3" t="n">
        <v>-6.66</v>
      </c>
      <c r="Q663" s="3"/>
    </row>
    <row r="664" customFormat="false" ht="15" hidden="false" customHeight="false" outlineLevel="0" collapsed="false">
      <c r="A664" s="3" t="s">
        <v>522</v>
      </c>
      <c r="B664" s="3" t="s">
        <v>523</v>
      </c>
      <c r="C664" s="3" t="n">
        <v>3</v>
      </c>
      <c r="D664" s="3" t="s">
        <v>1313</v>
      </c>
      <c r="E664" s="3" t="n">
        <v>260.3</v>
      </c>
      <c r="F664" s="3" t="s">
        <v>1313</v>
      </c>
      <c r="G664" s="3" t="n">
        <v>260.3</v>
      </c>
      <c r="H664" s="3" t="n">
        <v>1</v>
      </c>
      <c r="I664" s="3" t="s">
        <v>65</v>
      </c>
      <c r="J664" s="3" t="n">
        <v>-1.46</v>
      </c>
      <c r="K664" s="3" t="n">
        <v>-3.02</v>
      </c>
      <c r="L664" s="3" t="n">
        <v>-4.67</v>
      </c>
      <c r="M664" s="3" t="s">
        <v>2391</v>
      </c>
      <c r="N664" s="3" t="s">
        <v>2391</v>
      </c>
      <c r="O664" s="3" t="n">
        <v>218.8</v>
      </c>
      <c r="P664" s="3" t="n">
        <v>-15.94</v>
      </c>
      <c r="Q664" s="3"/>
    </row>
    <row r="665" customFormat="false" ht="15" hidden="false" customHeight="false" outlineLevel="0" collapsed="false">
      <c r="A665" s="3" t="s">
        <v>309</v>
      </c>
      <c r="B665" s="3" t="s">
        <v>310</v>
      </c>
      <c r="C665" s="3" t="n">
        <v>4</v>
      </c>
      <c r="D665" s="3" t="s">
        <v>1313</v>
      </c>
      <c r="E665" s="3" t="n">
        <v>5592</v>
      </c>
      <c r="F665" s="3" t="s">
        <v>1313</v>
      </c>
      <c r="G665" s="3" t="n">
        <v>5592</v>
      </c>
      <c r="H665" s="3" t="n">
        <v>1</v>
      </c>
      <c r="I665" s="3" t="s">
        <v>65</v>
      </c>
      <c r="J665" s="3" t="n">
        <v>-2.58</v>
      </c>
      <c r="K665" s="3" t="n">
        <v>0.13</v>
      </c>
      <c r="L665" s="3" t="n">
        <v>-4.95</v>
      </c>
      <c r="M665" s="3" t="s">
        <v>2391</v>
      </c>
      <c r="N665" s="3" t="s">
        <v>2391</v>
      </c>
      <c r="O665" s="3" t="n">
        <v>4855</v>
      </c>
      <c r="P665" s="3" t="n">
        <v>-13.18</v>
      </c>
      <c r="Q665" s="3"/>
    </row>
    <row r="666" customFormat="false" ht="15" hidden="false" customHeight="false" outlineLevel="0" collapsed="false">
      <c r="A666" s="3" t="s">
        <v>453</v>
      </c>
      <c r="B666" s="3" t="s">
        <v>454</v>
      </c>
      <c r="C666" s="3" t="n">
        <v>6</v>
      </c>
      <c r="D666" s="3" t="s">
        <v>1313</v>
      </c>
      <c r="E666" s="3" t="n">
        <v>683.4</v>
      </c>
      <c r="F666" s="3" t="s">
        <v>1313</v>
      </c>
      <c r="G666" s="3" t="n">
        <v>683.4</v>
      </c>
      <c r="H666" s="3" t="n">
        <v>1</v>
      </c>
      <c r="I666" s="3" t="s">
        <v>65</v>
      </c>
      <c r="J666" s="3" t="n">
        <v>3.14</v>
      </c>
      <c r="K666" s="3" t="n">
        <v>5.32</v>
      </c>
      <c r="L666" s="3" t="n">
        <v>17.05</v>
      </c>
      <c r="M666" s="3" t="s">
        <v>2391</v>
      </c>
      <c r="N666" s="3" t="s">
        <v>2391</v>
      </c>
      <c r="O666" s="3" t="n">
        <v>807.9</v>
      </c>
      <c r="P666" s="3" t="n">
        <v>18.22</v>
      </c>
      <c r="Q666" s="3"/>
    </row>
    <row r="667" customFormat="false" ht="15" hidden="false" customHeight="false" outlineLevel="0" collapsed="false">
      <c r="A667" s="3" t="s">
        <v>794</v>
      </c>
      <c r="B667" s="3" t="s">
        <v>795</v>
      </c>
      <c r="C667" s="3" t="n">
        <v>2</v>
      </c>
      <c r="D667" s="3" t="s">
        <v>1318</v>
      </c>
      <c r="E667" s="3" t="n">
        <v>2042.4</v>
      </c>
      <c r="F667" s="3" t="s">
        <v>1318</v>
      </c>
      <c r="G667" s="3" t="n">
        <v>2042.4</v>
      </c>
      <c r="H667" s="3" t="n">
        <v>1</v>
      </c>
      <c r="I667" s="3" t="s">
        <v>65</v>
      </c>
      <c r="J667" s="3" t="n">
        <v>3.46</v>
      </c>
      <c r="K667" s="3" t="n">
        <v>2.14</v>
      </c>
      <c r="L667" s="3" t="n">
        <v>-3.01</v>
      </c>
      <c r="M667" s="3" t="s">
        <v>2391</v>
      </c>
      <c r="N667" s="3" t="s">
        <v>2391</v>
      </c>
      <c r="O667" s="3" t="n">
        <v>1845.9</v>
      </c>
      <c r="P667" s="3" t="n">
        <v>-9.62</v>
      </c>
      <c r="Q667" s="3"/>
    </row>
    <row r="668" customFormat="false" ht="15" hidden="false" customHeight="false" outlineLevel="0" collapsed="false">
      <c r="A668" s="3" t="s">
        <v>164</v>
      </c>
      <c r="B668" s="3" t="s">
        <v>165</v>
      </c>
      <c r="C668" s="3" t="n">
        <v>8</v>
      </c>
      <c r="D668" s="3" t="s">
        <v>1318</v>
      </c>
      <c r="E668" s="3" t="n">
        <v>1566.1</v>
      </c>
      <c r="F668" s="3" t="s">
        <v>1318</v>
      </c>
      <c r="G668" s="3" t="n">
        <v>1566.1</v>
      </c>
      <c r="H668" s="3" t="n">
        <v>1</v>
      </c>
      <c r="I668" s="3" t="s">
        <v>65</v>
      </c>
      <c r="J668" s="3" t="n">
        <v>-0.02</v>
      </c>
      <c r="K668" s="3" t="n">
        <v>0.31</v>
      </c>
      <c r="L668" s="3" t="n">
        <v>8.1</v>
      </c>
      <c r="M668" s="3" t="s">
        <v>2391</v>
      </c>
      <c r="N668" s="3" t="s">
        <v>2391</v>
      </c>
      <c r="O668" s="3" t="n">
        <v>1503</v>
      </c>
      <c r="P668" s="3" t="n">
        <v>-4.03</v>
      </c>
      <c r="Q668" s="3"/>
    </row>
    <row r="669" customFormat="false" ht="15" hidden="false" customHeight="false" outlineLevel="0" collapsed="false">
      <c r="A669" s="3" t="s">
        <v>490</v>
      </c>
      <c r="B669" s="3" t="s">
        <v>491</v>
      </c>
      <c r="C669" s="3" t="n">
        <v>4</v>
      </c>
      <c r="D669" s="3" t="s">
        <v>1321</v>
      </c>
      <c r="E669" s="3" t="n">
        <v>317.6</v>
      </c>
      <c r="F669" s="3" t="s">
        <v>1321</v>
      </c>
      <c r="G669" s="3" t="n">
        <v>317.6</v>
      </c>
      <c r="H669" s="3" t="n">
        <v>1</v>
      </c>
      <c r="I669" s="3" t="s">
        <v>65</v>
      </c>
      <c r="J669" s="3" t="n">
        <v>0.55</v>
      </c>
      <c r="K669" s="3" t="n">
        <v>-0.43</v>
      </c>
      <c r="L669" s="3" t="n">
        <v>-0.3</v>
      </c>
      <c r="M669" s="3" t="s">
        <v>2391</v>
      </c>
      <c r="N669" s="3" t="s">
        <v>2391</v>
      </c>
      <c r="O669" s="3" t="n">
        <v>302.25</v>
      </c>
      <c r="P669" s="3" t="n">
        <v>-4.83</v>
      </c>
      <c r="Q669" s="3"/>
    </row>
    <row r="670" customFormat="false" ht="15" hidden="false" customHeight="false" outlineLevel="0" collapsed="false">
      <c r="A670" s="3" t="s">
        <v>346</v>
      </c>
      <c r="B670" s="3" t="s">
        <v>347</v>
      </c>
      <c r="C670" s="3" t="n">
        <v>2</v>
      </c>
      <c r="D670" s="3" t="s">
        <v>1321</v>
      </c>
      <c r="E670" s="3" t="n">
        <v>337.1</v>
      </c>
      <c r="F670" s="3" t="s">
        <v>1321</v>
      </c>
      <c r="G670" s="3" t="n">
        <v>337.1</v>
      </c>
      <c r="H670" s="3" t="n">
        <v>1</v>
      </c>
      <c r="I670" s="3" t="s">
        <v>65</v>
      </c>
      <c r="J670" s="3" t="n">
        <v>4.35</v>
      </c>
      <c r="K670" s="3" t="n">
        <v>6.75</v>
      </c>
      <c r="L670" s="3" t="n">
        <v>3.41</v>
      </c>
      <c r="M670" s="3" t="s">
        <v>2391</v>
      </c>
      <c r="N670" s="3" t="s">
        <v>2391</v>
      </c>
      <c r="O670" s="3" t="n">
        <v>313</v>
      </c>
      <c r="P670" s="3" t="n">
        <v>-7.15</v>
      </c>
      <c r="Q670" s="3"/>
    </row>
    <row r="671" customFormat="false" ht="15" hidden="false" customHeight="false" outlineLevel="0" collapsed="false">
      <c r="A671" s="3" t="s">
        <v>1145</v>
      </c>
      <c r="B671" s="3" t="s">
        <v>1146</v>
      </c>
      <c r="C671" s="3" t="n">
        <v>2</v>
      </c>
      <c r="D671" s="3" t="s">
        <v>1321</v>
      </c>
      <c r="E671" s="3" t="n">
        <v>4132.4</v>
      </c>
      <c r="F671" s="3" t="s">
        <v>1321</v>
      </c>
      <c r="G671" s="3" t="n">
        <v>4132.4</v>
      </c>
      <c r="H671" s="3" t="n">
        <v>1</v>
      </c>
      <c r="I671" s="3" t="s">
        <v>65</v>
      </c>
      <c r="J671" s="3" t="n">
        <v>-1.06</v>
      </c>
      <c r="K671" s="3" t="n">
        <v>0.41</v>
      </c>
      <c r="L671" s="3" t="n">
        <v>13.58</v>
      </c>
      <c r="M671" s="3" t="s">
        <v>2391</v>
      </c>
      <c r="N671" s="3" t="s">
        <v>2391</v>
      </c>
      <c r="O671" s="3" t="n">
        <v>4478.3</v>
      </c>
      <c r="P671" s="3" t="n">
        <v>8.37</v>
      </c>
      <c r="Q671" s="3"/>
    </row>
    <row r="672" customFormat="false" ht="15" hidden="false" customHeight="false" outlineLevel="0" collapsed="false">
      <c r="A672" s="3" t="s">
        <v>923</v>
      </c>
      <c r="B672" s="3" t="s">
        <v>924</v>
      </c>
      <c r="C672" s="3" t="n">
        <v>3</v>
      </c>
      <c r="D672" s="3" t="s">
        <v>1325</v>
      </c>
      <c r="E672" s="3" t="n">
        <v>2398</v>
      </c>
      <c r="F672" s="3" t="s">
        <v>1325</v>
      </c>
      <c r="G672" s="3" t="n">
        <v>2398</v>
      </c>
      <c r="H672" s="3" t="n">
        <v>1</v>
      </c>
      <c r="I672" s="3" t="s">
        <v>65</v>
      </c>
      <c r="J672" s="3" t="n">
        <v>2.03</v>
      </c>
      <c r="K672" s="3" t="n">
        <v>2.59</v>
      </c>
      <c r="L672" s="3" t="n">
        <v>-4.25</v>
      </c>
      <c r="M672" s="3" t="s">
        <v>2391</v>
      </c>
      <c r="N672" s="3" t="s">
        <v>2391</v>
      </c>
      <c r="O672" s="3" t="n">
        <v>2070.7</v>
      </c>
      <c r="P672" s="3" t="n">
        <v>-13.65</v>
      </c>
      <c r="Q672" s="3"/>
    </row>
    <row r="673" customFormat="false" ht="15" hidden="false" customHeight="false" outlineLevel="0" collapsed="false">
      <c r="A673" s="3" t="s">
        <v>1328</v>
      </c>
      <c r="B673" s="3" t="s">
        <v>1329</v>
      </c>
      <c r="C673" s="3" t="n">
        <v>0</v>
      </c>
      <c r="D673" s="3" t="s">
        <v>1327</v>
      </c>
      <c r="E673" s="3" t="n">
        <v>1235.4</v>
      </c>
      <c r="F673" s="3" t="s">
        <v>1327</v>
      </c>
      <c r="G673" s="3" t="n">
        <v>1235.4</v>
      </c>
      <c r="H673" s="3" t="n">
        <v>1</v>
      </c>
      <c r="I673" s="3" t="s">
        <v>65</v>
      </c>
      <c r="J673" s="3" t="n">
        <v>-0.53</v>
      </c>
      <c r="K673" s="3" t="n">
        <v>1.5</v>
      </c>
      <c r="L673" s="3" t="n">
        <v>1.59</v>
      </c>
      <c r="M673" s="3" t="s">
        <v>2391</v>
      </c>
      <c r="N673" s="3" t="s">
        <v>2391</v>
      </c>
      <c r="O673" s="3" t="n">
        <v>1209.9</v>
      </c>
      <c r="P673" s="3" t="n">
        <v>-2.06</v>
      </c>
      <c r="Q673" s="3"/>
    </row>
    <row r="674" customFormat="false" ht="15" hidden="false" customHeight="false" outlineLevel="0" collapsed="false">
      <c r="A674" s="3" t="s">
        <v>328</v>
      </c>
      <c r="B674" s="3" t="s">
        <v>329</v>
      </c>
      <c r="C674" s="3" t="n">
        <v>6</v>
      </c>
      <c r="D674" s="3" t="s">
        <v>1327</v>
      </c>
      <c r="E674" s="3" t="n">
        <v>5517.5</v>
      </c>
      <c r="F674" s="3" t="s">
        <v>1327</v>
      </c>
      <c r="G674" s="3" t="n">
        <v>5517.5</v>
      </c>
      <c r="H674" s="3" t="n">
        <v>1</v>
      </c>
      <c r="I674" s="3" t="s">
        <v>65</v>
      </c>
      <c r="J674" s="3" t="n">
        <v>0.13</v>
      </c>
      <c r="K674" s="3" t="n">
        <v>-1.4</v>
      </c>
      <c r="L674" s="3" t="n">
        <v>-3.76</v>
      </c>
      <c r="M674" s="3" t="s">
        <v>2391</v>
      </c>
      <c r="N674" s="3" t="s">
        <v>2391</v>
      </c>
      <c r="O674" s="3" t="n">
        <v>4915</v>
      </c>
      <c r="P674" s="3" t="n">
        <v>-10.92</v>
      </c>
      <c r="Q674" s="3"/>
    </row>
    <row r="675" customFormat="false" ht="15" hidden="false" customHeight="false" outlineLevel="0" collapsed="false">
      <c r="A675" s="3" t="s">
        <v>216</v>
      </c>
      <c r="B675" s="3" t="s">
        <v>217</v>
      </c>
      <c r="C675" s="3" t="n">
        <v>6</v>
      </c>
      <c r="D675" s="3" t="s">
        <v>1327</v>
      </c>
      <c r="E675" s="3" t="n">
        <v>1474.3</v>
      </c>
      <c r="F675" s="3" t="s">
        <v>1327</v>
      </c>
      <c r="G675" s="3" t="n">
        <v>1474.3</v>
      </c>
      <c r="H675" s="3" t="n">
        <v>1</v>
      </c>
      <c r="I675" s="3" t="s">
        <v>65</v>
      </c>
      <c r="J675" s="3" t="n">
        <v>-0.54</v>
      </c>
      <c r="K675" s="3" t="n">
        <v>-1.05</v>
      </c>
      <c r="L675" s="3" t="n">
        <v>-4.86</v>
      </c>
      <c r="M675" s="3" t="s">
        <v>2391</v>
      </c>
      <c r="N675" s="3" t="s">
        <v>2391</v>
      </c>
      <c r="O675" s="3" t="n">
        <v>1383.7</v>
      </c>
      <c r="P675" s="3" t="n">
        <v>-6.15</v>
      </c>
      <c r="Q675" s="3"/>
    </row>
    <row r="676" customFormat="false" ht="15" hidden="false" customHeight="false" outlineLevel="0" collapsed="false">
      <c r="A676" s="3" t="s">
        <v>403</v>
      </c>
      <c r="B676" s="3" t="s">
        <v>404</v>
      </c>
      <c r="C676" s="3" t="n">
        <v>4</v>
      </c>
      <c r="D676" s="3" t="s">
        <v>1327</v>
      </c>
      <c r="E676" s="3" t="n">
        <v>553.45</v>
      </c>
      <c r="F676" s="3" t="s">
        <v>1327</v>
      </c>
      <c r="G676" s="3" t="n">
        <v>553.45</v>
      </c>
      <c r="H676" s="3" t="n">
        <v>1</v>
      </c>
      <c r="I676" s="3" t="s">
        <v>65</v>
      </c>
      <c r="J676" s="3" t="n">
        <v>-2.27</v>
      </c>
      <c r="K676" s="3" t="n">
        <v>-7.48</v>
      </c>
      <c r="L676" s="3" t="n">
        <v>-5.25</v>
      </c>
      <c r="M676" s="3" t="s">
        <v>2391</v>
      </c>
      <c r="N676" s="3" t="s">
        <v>2391</v>
      </c>
      <c r="O676" s="3" t="n">
        <v>564.15</v>
      </c>
      <c r="P676" s="3" t="n">
        <v>1.93</v>
      </c>
      <c r="Q676" s="3"/>
    </row>
    <row r="677" customFormat="false" ht="15" hidden="false" customHeight="false" outlineLevel="0" collapsed="false">
      <c r="A677" s="3" t="s">
        <v>296</v>
      </c>
      <c r="B677" s="3" t="s">
        <v>297</v>
      </c>
      <c r="C677" s="3" t="n">
        <v>5</v>
      </c>
      <c r="D677" s="3" t="s">
        <v>1327</v>
      </c>
      <c r="E677" s="3" t="n">
        <v>2447</v>
      </c>
      <c r="F677" s="3" t="s">
        <v>1327</v>
      </c>
      <c r="G677" s="3" t="n">
        <v>2447</v>
      </c>
      <c r="H677" s="3" t="n">
        <v>1</v>
      </c>
      <c r="I677" s="3" t="s">
        <v>65</v>
      </c>
      <c r="J677" s="3" t="n">
        <v>-1.05</v>
      </c>
      <c r="K677" s="3" t="n">
        <v>-2.41</v>
      </c>
      <c r="L677" s="3" t="n">
        <v>-10.71</v>
      </c>
      <c r="M677" s="3" t="s">
        <v>2391</v>
      </c>
      <c r="N677" s="3" t="s">
        <v>2391</v>
      </c>
      <c r="O677" s="3" t="n">
        <v>2062</v>
      </c>
      <c r="P677" s="3" t="n">
        <v>-15.73</v>
      </c>
      <c r="Q677" s="3"/>
    </row>
    <row r="678" customFormat="false" ht="15" hidden="false" customHeight="false" outlineLevel="0" collapsed="false">
      <c r="A678" s="3" t="s">
        <v>80</v>
      </c>
      <c r="B678" s="3" t="s">
        <v>81</v>
      </c>
      <c r="C678" s="3" t="n">
        <v>6</v>
      </c>
      <c r="D678" s="3" t="s">
        <v>1327</v>
      </c>
      <c r="E678" s="3" t="n">
        <v>1515.1</v>
      </c>
      <c r="F678" s="3" t="s">
        <v>1327</v>
      </c>
      <c r="G678" s="3" t="n">
        <v>1515.1</v>
      </c>
      <c r="H678" s="3" t="n">
        <v>1</v>
      </c>
      <c r="I678" s="3" t="s">
        <v>65</v>
      </c>
      <c r="J678" s="3" t="n">
        <v>-0.28</v>
      </c>
      <c r="K678" s="3" t="n">
        <v>0.52</v>
      </c>
      <c r="L678" s="3" t="n">
        <v>5.6</v>
      </c>
      <c r="M678" s="3" t="s">
        <v>2391</v>
      </c>
      <c r="N678" s="3" t="s">
        <v>2391</v>
      </c>
      <c r="O678" s="3" t="n">
        <v>1444</v>
      </c>
      <c r="P678" s="3" t="n">
        <v>-4.69</v>
      </c>
      <c r="Q678" s="3"/>
    </row>
    <row r="679" customFormat="false" ht="15" hidden="false" customHeight="false" outlineLevel="0" collapsed="false">
      <c r="A679" s="3" t="s">
        <v>120</v>
      </c>
      <c r="B679" s="3" t="s">
        <v>121</v>
      </c>
      <c r="C679" s="3" t="n">
        <v>5</v>
      </c>
      <c r="D679" s="3" t="s">
        <v>1327</v>
      </c>
      <c r="E679" s="3" t="n">
        <v>427.1</v>
      </c>
      <c r="F679" s="3" t="s">
        <v>1327</v>
      </c>
      <c r="G679" s="3" t="n">
        <v>427.1</v>
      </c>
      <c r="H679" s="3" t="n">
        <v>1</v>
      </c>
      <c r="I679" s="3" t="s">
        <v>65</v>
      </c>
      <c r="J679" s="3" t="n">
        <v>-0.2</v>
      </c>
      <c r="K679" s="3" t="n">
        <v>-2.13</v>
      </c>
      <c r="L679" s="3" t="n">
        <v>-14.75</v>
      </c>
      <c r="M679" s="3" t="s">
        <v>2391</v>
      </c>
      <c r="N679" s="3" t="s">
        <v>2391</v>
      </c>
      <c r="O679" s="3" t="n">
        <v>330</v>
      </c>
      <c r="P679" s="3" t="n">
        <v>-22.73</v>
      </c>
      <c r="Q679" s="3"/>
    </row>
    <row r="680" customFormat="false" ht="15" hidden="false" customHeight="false" outlineLevel="0" collapsed="false">
      <c r="A680" s="3" t="s">
        <v>574</v>
      </c>
      <c r="B680" s="3" t="s">
        <v>575</v>
      </c>
      <c r="C680" s="3" t="n">
        <v>2</v>
      </c>
      <c r="D680" s="3" t="s">
        <v>1327</v>
      </c>
      <c r="E680" s="3" t="n">
        <v>374.25</v>
      </c>
      <c r="F680" s="3" t="s">
        <v>1327</v>
      </c>
      <c r="G680" s="3" t="n">
        <v>374.25</v>
      </c>
      <c r="H680" s="3" t="n">
        <v>1</v>
      </c>
      <c r="I680" s="3" t="s">
        <v>65</v>
      </c>
      <c r="J680" s="3" t="n">
        <v>0.17</v>
      </c>
      <c r="K680" s="3" t="n">
        <v>-2.2</v>
      </c>
      <c r="L680" s="3" t="n">
        <v>-13.91</v>
      </c>
      <c r="M680" s="3" t="s">
        <v>2391</v>
      </c>
      <c r="N680" s="3" t="s">
        <v>2391</v>
      </c>
      <c r="O680" s="3" t="n">
        <v>303.25</v>
      </c>
      <c r="P680" s="3" t="n">
        <v>-18.97</v>
      </c>
      <c r="Q680" s="3"/>
    </row>
    <row r="681" customFormat="false" ht="15" hidden="false" customHeight="false" outlineLevel="0" collapsed="false">
      <c r="A681" s="3" t="s">
        <v>686</v>
      </c>
      <c r="B681" s="3" t="s">
        <v>687</v>
      </c>
      <c r="C681" s="3" t="n">
        <v>4</v>
      </c>
      <c r="D681" s="3" t="s">
        <v>1338</v>
      </c>
      <c r="E681" s="3" t="n">
        <v>417.2</v>
      </c>
      <c r="F681" s="3" t="s">
        <v>1338</v>
      </c>
      <c r="G681" s="3" t="n">
        <v>417.2</v>
      </c>
      <c r="H681" s="3" t="n">
        <v>1</v>
      </c>
      <c r="I681" s="3" t="s">
        <v>65</v>
      </c>
      <c r="J681" s="3" t="n">
        <v>-0.73</v>
      </c>
      <c r="K681" s="3" t="n">
        <v>-0.38</v>
      </c>
      <c r="L681" s="3" t="n">
        <v>-4.12</v>
      </c>
      <c r="M681" s="3" t="s">
        <v>2391</v>
      </c>
      <c r="N681" s="3" t="s">
        <v>2391</v>
      </c>
      <c r="O681" s="3" t="n">
        <v>422.5</v>
      </c>
      <c r="P681" s="3" t="n">
        <v>1.27</v>
      </c>
      <c r="Q681" s="3"/>
    </row>
    <row r="682" customFormat="false" ht="15" hidden="false" customHeight="false" outlineLevel="0" collapsed="false">
      <c r="A682" s="3" t="s">
        <v>66</v>
      </c>
      <c r="B682" s="3" t="s">
        <v>67</v>
      </c>
      <c r="C682" s="3" t="n">
        <v>6</v>
      </c>
      <c r="D682" s="3" t="s">
        <v>1338</v>
      </c>
      <c r="E682" s="3" t="n">
        <v>7835</v>
      </c>
      <c r="F682" s="3" t="s">
        <v>1343</v>
      </c>
      <c r="G682" s="3" t="n">
        <v>8056</v>
      </c>
      <c r="H682" s="3" t="n">
        <v>2</v>
      </c>
      <c r="I682" s="3" t="s">
        <v>70</v>
      </c>
      <c r="J682" s="3" t="n">
        <v>2.82</v>
      </c>
      <c r="K682" s="3" t="n">
        <v>6.56</v>
      </c>
      <c r="L682" s="3" t="n">
        <v>15.63</v>
      </c>
      <c r="M682" s="3" t="s">
        <v>2391</v>
      </c>
      <c r="N682" s="3" t="s">
        <v>2391</v>
      </c>
      <c r="O682" s="3" t="n">
        <v>9550</v>
      </c>
      <c r="P682" s="3" t="n">
        <v>21.89</v>
      </c>
      <c r="Q682" s="3"/>
    </row>
    <row r="683" customFormat="false" ht="15" hidden="false" customHeight="false" outlineLevel="0" collapsed="false">
      <c r="A683" s="3" t="s">
        <v>765</v>
      </c>
      <c r="B683" s="3" t="s">
        <v>766</v>
      </c>
      <c r="C683" s="3" t="n">
        <v>5</v>
      </c>
      <c r="D683" s="3" t="s">
        <v>1338</v>
      </c>
      <c r="E683" s="3" t="n">
        <v>333.75</v>
      </c>
      <c r="F683" s="3" t="s">
        <v>1338</v>
      </c>
      <c r="G683" s="3" t="n">
        <v>333.75</v>
      </c>
      <c r="H683" s="3" t="n">
        <v>1</v>
      </c>
      <c r="I683" s="3" t="s">
        <v>65</v>
      </c>
      <c r="J683" s="3" t="n">
        <v>-0.1</v>
      </c>
      <c r="K683" s="3" t="n">
        <v>-0.54</v>
      </c>
      <c r="L683" s="3" t="n">
        <v>1.27</v>
      </c>
      <c r="M683" s="3" t="s">
        <v>2391</v>
      </c>
      <c r="N683" s="3" t="s">
        <v>2391</v>
      </c>
      <c r="O683" s="3" t="n">
        <v>325.5</v>
      </c>
      <c r="P683" s="3" t="n">
        <v>-2.47</v>
      </c>
      <c r="Q683" s="3"/>
    </row>
    <row r="684" customFormat="false" ht="15" hidden="false" customHeight="false" outlineLevel="0" collapsed="false">
      <c r="A684" s="3" t="s">
        <v>145</v>
      </c>
      <c r="B684" s="3" t="s">
        <v>146</v>
      </c>
      <c r="C684" s="3" t="n">
        <v>8</v>
      </c>
      <c r="D684" s="3" t="s">
        <v>1338</v>
      </c>
      <c r="E684" s="3" t="n">
        <v>1669</v>
      </c>
      <c r="F684" s="3" t="s">
        <v>1338</v>
      </c>
      <c r="G684" s="3" t="n">
        <v>1669</v>
      </c>
      <c r="H684" s="3" t="n">
        <v>1</v>
      </c>
      <c r="I684" s="3" t="s">
        <v>65</v>
      </c>
      <c r="J684" s="3" t="n">
        <v>-1.06</v>
      </c>
      <c r="K684" s="3" t="n">
        <v>-2.2</v>
      </c>
      <c r="L684" s="3" t="n">
        <v>-5.03</v>
      </c>
      <c r="M684" s="3" t="s">
        <v>2391</v>
      </c>
      <c r="N684" s="3" t="s">
        <v>2391</v>
      </c>
      <c r="O684" s="3" t="n">
        <v>1542.2</v>
      </c>
      <c r="P684" s="3" t="n">
        <v>-7.6</v>
      </c>
      <c r="Q684" s="3"/>
    </row>
    <row r="685" customFormat="false" ht="15" hidden="false" customHeight="false" outlineLevel="0" collapsed="false">
      <c r="A685" s="3" t="s">
        <v>396</v>
      </c>
      <c r="B685" s="3" t="s">
        <v>397</v>
      </c>
      <c r="C685" s="3" t="n">
        <v>5</v>
      </c>
      <c r="D685" s="3" t="s">
        <v>1343</v>
      </c>
      <c r="E685" s="3" t="n">
        <v>1047.3</v>
      </c>
      <c r="F685" s="3" t="s">
        <v>1343</v>
      </c>
      <c r="G685" s="3" t="n">
        <v>1047.3</v>
      </c>
      <c r="H685" s="3" t="n">
        <v>1</v>
      </c>
      <c r="I685" s="3" t="s">
        <v>65</v>
      </c>
      <c r="J685" s="3" t="n">
        <v>1.21</v>
      </c>
      <c r="K685" s="3" t="n">
        <v>1.88</v>
      </c>
      <c r="L685" s="3" t="n">
        <v>2.85</v>
      </c>
      <c r="M685" s="3" t="s">
        <v>2391</v>
      </c>
      <c r="N685" s="3" t="s">
        <v>2391</v>
      </c>
      <c r="O685" s="3" t="n">
        <v>995.3</v>
      </c>
      <c r="P685" s="3" t="n">
        <v>-4.97</v>
      </c>
      <c r="Q685" s="3"/>
    </row>
    <row r="686" customFormat="false" ht="15" hidden="false" customHeight="false" outlineLevel="0" collapsed="false">
      <c r="A686" s="3" t="s">
        <v>664</v>
      </c>
      <c r="B686" s="3" t="s">
        <v>665</v>
      </c>
      <c r="C686" s="3" t="n">
        <v>6</v>
      </c>
      <c r="D686" s="3" t="s">
        <v>1343</v>
      </c>
      <c r="E686" s="3" t="n">
        <v>2199.8</v>
      </c>
      <c r="F686" s="3" t="s">
        <v>1343</v>
      </c>
      <c r="G686" s="3" t="n">
        <v>2199.8</v>
      </c>
      <c r="H686" s="3" t="n">
        <v>1</v>
      </c>
      <c r="I686" s="3" t="s">
        <v>65</v>
      </c>
      <c r="J686" s="3" t="n">
        <v>0.51</v>
      </c>
      <c r="K686" s="3" t="n">
        <v>2.97</v>
      </c>
      <c r="L686" s="3" t="n">
        <v>-7.37</v>
      </c>
      <c r="M686" s="3" t="s">
        <v>2391</v>
      </c>
      <c r="N686" s="3" t="s">
        <v>2391</v>
      </c>
      <c r="O686" s="3" t="n">
        <v>1957</v>
      </c>
      <c r="P686" s="3" t="n">
        <v>-11.04</v>
      </c>
      <c r="Q686" s="3"/>
    </row>
    <row r="687" customFormat="false" ht="15" hidden="false" customHeight="false" outlineLevel="0" collapsed="false">
      <c r="A687" s="3" t="s">
        <v>319</v>
      </c>
      <c r="B687" s="3" t="s">
        <v>320</v>
      </c>
      <c r="C687" s="3" t="n">
        <v>6</v>
      </c>
      <c r="D687" s="3" t="s">
        <v>1343</v>
      </c>
      <c r="E687" s="3" t="n">
        <v>1849.9</v>
      </c>
      <c r="F687" s="3" t="s">
        <v>1357</v>
      </c>
      <c r="G687" s="3" t="n">
        <v>1888.2</v>
      </c>
      <c r="H687" s="3" t="n">
        <v>2</v>
      </c>
      <c r="I687" s="3" t="s">
        <v>70</v>
      </c>
      <c r="J687" s="3" t="n">
        <v>2.07</v>
      </c>
      <c r="K687" s="3" t="n">
        <v>0.88</v>
      </c>
      <c r="L687" s="3" t="n">
        <v>0.7</v>
      </c>
      <c r="M687" s="3" t="s">
        <v>2391</v>
      </c>
      <c r="N687" s="3" t="s">
        <v>2391</v>
      </c>
      <c r="O687" s="3" t="n">
        <v>1634.2</v>
      </c>
      <c r="P687" s="3" t="n">
        <v>-11.66</v>
      </c>
      <c r="Q687" s="3"/>
    </row>
    <row r="688" customFormat="false" ht="15" hidden="false" customHeight="false" outlineLevel="0" collapsed="false">
      <c r="A688" s="3" t="s">
        <v>399</v>
      </c>
      <c r="B688" s="3" t="s">
        <v>400</v>
      </c>
      <c r="C688" s="3" t="n">
        <v>5</v>
      </c>
      <c r="D688" s="3" t="s">
        <v>1343</v>
      </c>
      <c r="E688" s="3" t="n">
        <v>548.5</v>
      </c>
      <c r="F688" s="3" t="s">
        <v>1343</v>
      </c>
      <c r="G688" s="3" t="n">
        <v>548.5</v>
      </c>
      <c r="H688" s="3" t="n">
        <v>1</v>
      </c>
      <c r="I688" s="3" t="s">
        <v>65</v>
      </c>
      <c r="J688" s="3" t="n">
        <v>0.84</v>
      </c>
      <c r="K688" s="3" t="n">
        <v>-1.55</v>
      </c>
      <c r="L688" s="3" t="n">
        <v>-0.09</v>
      </c>
      <c r="M688" s="3" t="s">
        <v>2391</v>
      </c>
      <c r="N688" s="3" t="s">
        <v>2391</v>
      </c>
      <c r="O688" s="3" t="n">
        <v>531.6</v>
      </c>
      <c r="P688" s="3" t="n">
        <v>-3.08</v>
      </c>
      <c r="Q688" s="3"/>
    </row>
    <row r="689" customFormat="false" ht="15" hidden="false" customHeight="false" outlineLevel="0" collapsed="false">
      <c r="A689" s="3" t="s">
        <v>171</v>
      </c>
      <c r="B689" s="3" t="s">
        <v>172</v>
      </c>
      <c r="C689" s="3" t="n">
        <v>3</v>
      </c>
      <c r="D689" s="3" t="s">
        <v>1343</v>
      </c>
      <c r="E689" s="3" t="n">
        <v>974.45</v>
      </c>
      <c r="F689" s="3" t="s">
        <v>1357</v>
      </c>
      <c r="G689" s="3" t="n">
        <v>994.9</v>
      </c>
      <c r="H689" s="3" t="n">
        <v>2</v>
      </c>
      <c r="I689" s="3" t="s">
        <v>70</v>
      </c>
      <c r="J689" s="3" t="n">
        <v>2.1</v>
      </c>
      <c r="K689" s="3" t="n">
        <v>8.74</v>
      </c>
      <c r="L689" s="3" t="n">
        <v>6.46</v>
      </c>
      <c r="M689" s="3" t="s">
        <v>2391</v>
      </c>
      <c r="N689" s="3" t="s">
        <v>2391</v>
      </c>
      <c r="O689" s="3" t="n">
        <v>955.9</v>
      </c>
      <c r="P689" s="3" t="n">
        <v>-1.9</v>
      </c>
      <c r="Q689" s="3"/>
    </row>
    <row r="690" customFormat="false" ht="15" hidden="false" customHeight="false" outlineLevel="0" collapsed="false">
      <c r="A690" s="3" t="s">
        <v>525</v>
      </c>
      <c r="B690" s="3" t="s">
        <v>526</v>
      </c>
      <c r="C690" s="3" t="n">
        <v>4</v>
      </c>
      <c r="D690" s="3" t="s">
        <v>1343</v>
      </c>
      <c r="E690" s="3" t="n">
        <v>256.46</v>
      </c>
      <c r="F690" s="3" t="s">
        <v>1343</v>
      </c>
      <c r="G690" s="3" t="n">
        <v>256.46</v>
      </c>
      <c r="H690" s="3" t="n">
        <v>1</v>
      </c>
      <c r="I690" s="3" t="s">
        <v>65</v>
      </c>
      <c r="J690" s="3" t="n">
        <v>2.55</v>
      </c>
      <c r="K690" s="3" t="n">
        <v>0.13</v>
      </c>
      <c r="L690" s="3" t="n">
        <v>-7.04</v>
      </c>
      <c r="M690" s="3" t="s">
        <v>2391</v>
      </c>
      <c r="N690" s="3" t="s">
        <v>2391</v>
      </c>
      <c r="O690" s="3" t="n">
        <v>220.5</v>
      </c>
      <c r="P690" s="3" t="n">
        <v>-14.02</v>
      </c>
      <c r="Q690" s="3"/>
    </row>
    <row r="691" customFormat="false" ht="15" hidden="false" customHeight="false" outlineLevel="0" collapsed="false">
      <c r="A691" s="3" t="s">
        <v>346</v>
      </c>
      <c r="B691" s="3" t="s">
        <v>347</v>
      </c>
      <c r="C691" s="3" t="n">
        <v>3</v>
      </c>
      <c r="D691" s="3" t="s">
        <v>1343</v>
      </c>
      <c r="E691" s="3" t="n">
        <v>371.85</v>
      </c>
      <c r="F691" s="3" t="s">
        <v>1343</v>
      </c>
      <c r="G691" s="3" t="n">
        <v>371.85</v>
      </c>
      <c r="H691" s="3" t="n">
        <v>1</v>
      </c>
      <c r="I691" s="3" t="s">
        <v>65</v>
      </c>
      <c r="J691" s="3" t="n">
        <v>-1.84</v>
      </c>
      <c r="K691" s="3" t="n">
        <v>-1.37</v>
      </c>
      <c r="L691" s="3" t="n">
        <v>-6.17</v>
      </c>
      <c r="M691" s="3" t="s">
        <v>2391</v>
      </c>
      <c r="N691" s="3" t="s">
        <v>2391</v>
      </c>
      <c r="O691" s="3" t="n">
        <v>313</v>
      </c>
      <c r="P691" s="3" t="n">
        <v>-15.83</v>
      </c>
      <c r="Q691" s="3"/>
    </row>
    <row r="692" customFormat="false" ht="15" hidden="false" customHeight="false" outlineLevel="0" collapsed="false">
      <c r="A692" s="3" t="s">
        <v>368</v>
      </c>
      <c r="B692" s="3" t="s">
        <v>369</v>
      </c>
      <c r="C692" s="3" t="n">
        <v>6</v>
      </c>
      <c r="D692" s="3" t="s">
        <v>1343</v>
      </c>
      <c r="E692" s="3" t="n">
        <v>150.75</v>
      </c>
      <c r="F692" s="3" t="s">
        <v>1343</v>
      </c>
      <c r="G692" s="3" t="n">
        <v>150.75</v>
      </c>
      <c r="H692" s="3" t="n">
        <v>1</v>
      </c>
      <c r="I692" s="3" t="s">
        <v>65</v>
      </c>
      <c r="J692" s="3" t="n">
        <v>2.83</v>
      </c>
      <c r="K692" s="3" t="n">
        <v>11.77</v>
      </c>
      <c r="L692" s="3" t="n">
        <v>9.85</v>
      </c>
      <c r="M692" s="3" t="s">
        <v>2391</v>
      </c>
      <c r="N692" s="3" t="s">
        <v>2391</v>
      </c>
      <c r="O692" s="3" t="n">
        <v>162.37</v>
      </c>
      <c r="P692" s="3" t="n">
        <v>7.71</v>
      </c>
      <c r="Q692" s="3"/>
    </row>
    <row r="693" customFormat="false" ht="15" hidden="false" customHeight="false" outlineLevel="0" collapsed="false">
      <c r="A693" s="3" t="s">
        <v>541</v>
      </c>
      <c r="B693" s="3" t="s">
        <v>542</v>
      </c>
      <c r="C693" s="3" t="n">
        <v>5</v>
      </c>
      <c r="D693" s="3" t="s">
        <v>1343</v>
      </c>
      <c r="E693" s="3" t="n">
        <v>3119.6</v>
      </c>
      <c r="F693" s="3" t="s">
        <v>1343</v>
      </c>
      <c r="G693" s="3" t="n">
        <v>3119.6</v>
      </c>
      <c r="H693" s="3" t="n">
        <v>1</v>
      </c>
      <c r="I693" s="3" t="s">
        <v>65</v>
      </c>
      <c r="J693" s="3" t="n">
        <v>-7.33</v>
      </c>
      <c r="K693" s="3" t="n">
        <v>-7.36</v>
      </c>
      <c r="L693" s="3" t="n">
        <v>-0.92</v>
      </c>
      <c r="M693" s="3" t="s">
        <v>2391</v>
      </c>
      <c r="N693" s="3" t="s">
        <v>2391</v>
      </c>
      <c r="O693" s="3" t="n">
        <v>2760</v>
      </c>
      <c r="P693" s="3" t="n">
        <v>-11.53</v>
      </c>
      <c r="Q693" s="3"/>
    </row>
    <row r="694" customFormat="false" ht="15" hidden="false" customHeight="false" outlineLevel="0" collapsed="false">
      <c r="A694" s="3" t="s">
        <v>1354</v>
      </c>
      <c r="B694" s="3" t="s">
        <v>1355</v>
      </c>
      <c r="C694" s="3" t="n">
        <v>0</v>
      </c>
      <c r="D694" s="3" t="s">
        <v>1343</v>
      </c>
      <c r="E694" s="3" t="n">
        <v>189.69</v>
      </c>
      <c r="F694" s="3" t="s">
        <v>1357</v>
      </c>
      <c r="G694" s="3" t="n">
        <v>191</v>
      </c>
      <c r="H694" s="3" t="n">
        <v>2</v>
      </c>
      <c r="I694" s="3" t="s">
        <v>70</v>
      </c>
      <c r="J694" s="3" t="n">
        <v>0.69</v>
      </c>
      <c r="K694" s="3" t="n">
        <v>-1.13</v>
      </c>
      <c r="L694" s="3" t="n">
        <v>-1.68</v>
      </c>
      <c r="M694" s="3" t="s">
        <v>2391</v>
      </c>
      <c r="N694" s="3" t="s">
        <v>2391</v>
      </c>
      <c r="O694" s="3" t="n">
        <v>186.3</v>
      </c>
      <c r="P694" s="3" t="n">
        <v>-1.79</v>
      </c>
      <c r="Q694" s="3"/>
    </row>
    <row r="695" customFormat="false" ht="15" hidden="false" customHeight="false" outlineLevel="0" collapsed="false">
      <c r="A695" s="3" t="s">
        <v>58</v>
      </c>
      <c r="B695" s="3" t="s">
        <v>59</v>
      </c>
      <c r="C695" s="3" t="n">
        <v>5</v>
      </c>
      <c r="D695" s="3" t="s">
        <v>1357</v>
      </c>
      <c r="E695" s="3" t="n">
        <v>1941.5</v>
      </c>
      <c r="F695" s="3" t="s">
        <v>1357</v>
      </c>
      <c r="G695" s="3" t="n">
        <v>1941.5</v>
      </c>
      <c r="H695" s="3" t="n">
        <v>1</v>
      </c>
      <c r="I695" s="3" t="s">
        <v>65</v>
      </c>
      <c r="J695" s="3" t="n">
        <v>-1.11</v>
      </c>
      <c r="K695" s="3" t="n">
        <v>4.04</v>
      </c>
      <c r="L695" s="3" t="n">
        <v>14.52</v>
      </c>
      <c r="M695" s="3" t="s">
        <v>2391</v>
      </c>
      <c r="N695" s="3" t="s">
        <v>2391</v>
      </c>
      <c r="O695" s="3" t="n">
        <v>2197</v>
      </c>
      <c r="P695" s="3" t="n">
        <v>13.16</v>
      </c>
      <c r="Q695" s="3"/>
    </row>
    <row r="696" customFormat="false" ht="15" hidden="false" customHeight="false" outlineLevel="0" collapsed="false">
      <c r="A696" s="3" t="s">
        <v>516</v>
      </c>
      <c r="B696" s="3" t="s">
        <v>517</v>
      </c>
      <c r="C696" s="3" t="n">
        <v>4</v>
      </c>
      <c r="D696" s="3" t="s">
        <v>1357</v>
      </c>
      <c r="E696" s="3" t="n">
        <v>1729.2</v>
      </c>
      <c r="F696" s="3" t="s">
        <v>1357</v>
      </c>
      <c r="G696" s="3" t="n">
        <v>1729.2</v>
      </c>
      <c r="H696" s="3" t="n">
        <v>1</v>
      </c>
      <c r="I696" s="3" t="s">
        <v>65</v>
      </c>
      <c r="J696" s="3" t="n">
        <v>-2.56</v>
      </c>
      <c r="K696" s="3" t="n">
        <v>-12.79</v>
      </c>
      <c r="L696" s="3" t="n">
        <v>-15.35</v>
      </c>
      <c r="M696" s="3" t="s">
        <v>2391</v>
      </c>
      <c r="N696" s="3" t="s">
        <v>2391</v>
      </c>
      <c r="O696" s="3" t="n">
        <v>1575.4</v>
      </c>
      <c r="P696" s="3" t="n">
        <v>-8.89</v>
      </c>
      <c r="Q696" s="3"/>
    </row>
    <row r="697" customFormat="false" ht="15" hidden="false" customHeight="false" outlineLevel="0" collapsed="false">
      <c r="A697" s="3" t="s">
        <v>897</v>
      </c>
      <c r="B697" s="3" t="s">
        <v>898</v>
      </c>
      <c r="C697" s="3" t="n">
        <v>1</v>
      </c>
      <c r="D697" s="3" t="s">
        <v>1357</v>
      </c>
      <c r="E697" s="3" t="n">
        <v>880.95</v>
      </c>
      <c r="F697" s="3" t="s">
        <v>1357</v>
      </c>
      <c r="G697" s="3" t="n">
        <v>880.95</v>
      </c>
      <c r="H697" s="3" t="n">
        <v>1</v>
      </c>
      <c r="I697" s="3" t="s">
        <v>65</v>
      </c>
      <c r="J697" s="3" t="n">
        <v>-0.68</v>
      </c>
      <c r="K697" s="3" t="n">
        <v>-1.98</v>
      </c>
      <c r="L697" s="3" t="n">
        <v>-6.92</v>
      </c>
      <c r="M697" s="3" t="s">
        <v>2391</v>
      </c>
      <c r="N697" s="3" t="s">
        <v>2391</v>
      </c>
      <c r="O697" s="3" t="n">
        <v>813.25</v>
      </c>
      <c r="P697" s="3" t="n">
        <v>-7.68</v>
      </c>
      <c r="Q697" s="3"/>
    </row>
    <row r="698" customFormat="false" ht="15" hidden="false" customHeight="false" outlineLevel="0" collapsed="false">
      <c r="A698" s="3" t="s">
        <v>380</v>
      </c>
      <c r="B698" s="3" t="s">
        <v>381</v>
      </c>
      <c r="C698" s="3" t="n">
        <v>5</v>
      </c>
      <c r="D698" s="3" t="s">
        <v>1364</v>
      </c>
      <c r="E698" s="3" t="n">
        <v>1585.9</v>
      </c>
      <c r="F698" s="3" t="s">
        <v>1369</v>
      </c>
      <c r="G698" s="3" t="n">
        <v>1613.4</v>
      </c>
      <c r="H698" s="3" t="n">
        <v>2</v>
      </c>
      <c r="I698" s="3" t="s">
        <v>70</v>
      </c>
      <c r="J698" s="3" t="n">
        <v>1.73</v>
      </c>
      <c r="K698" s="3" t="n">
        <v>4.55</v>
      </c>
      <c r="L698" s="3" t="n">
        <v>6.14</v>
      </c>
      <c r="M698" s="3" t="s">
        <v>2391</v>
      </c>
      <c r="N698" s="3" t="s">
        <v>2391</v>
      </c>
      <c r="O698" s="3" t="n">
        <v>1697.5</v>
      </c>
      <c r="P698" s="3" t="n">
        <v>7.04</v>
      </c>
      <c r="Q698" s="3"/>
    </row>
    <row r="699" customFormat="false" ht="15" hidden="false" customHeight="false" outlineLevel="0" collapsed="false">
      <c r="A699" s="3" t="s">
        <v>868</v>
      </c>
      <c r="B699" s="3" t="s">
        <v>869</v>
      </c>
      <c r="C699" s="3" t="n">
        <v>3</v>
      </c>
      <c r="D699" s="3" t="s">
        <v>1364</v>
      </c>
      <c r="E699" s="3" t="n">
        <v>5548</v>
      </c>
      <c r="F699" s="3" t="s">
        <v>1364</v>
      </c>
      <c r="G699" s="3" t="n">
        <v>5548</v>
      </c>
      <c r="H699" s="3" t="n">
        <v>1</v>
      </c>
      <c r="I699" s="3" t="s">
        <v>65</v>
      </c>
      <c r="J699" s="3" t="n">
        <v>2.56</v>
      </c>
      <c r="K699" s="3" t="n">
        <v>5.72</v>
      </c>
      <c r="L699" s="3" t="n">
        <v>0.13</v>
      </c>
      <c r="M699" s="3" t="s">
        <v>2391</v>
      </c>
      <c r="N699" s="3" t="s">
        <v>2391</v>
      </c>
      <c r="O699" s="3" t="n">
        <v>5390</v>
      </c>
      <c r="P699" s="3" t="n">
        <v>-2.85</v>
      </c>
      <c r="Q699" s="3"/>
    </row>
    <row r="700" customFormat="false" ht="15" hidden="false" customHeight="false" outlineLevel="0" collapsed="false">
      <c r="A700" s="3" t="s">
        <v>901</v>
      </c>
      <c r="B700" s="3" t="s">
        <v>902</v>
      </c>
      <c r="C700" s="3" t="n">
        <v>6</v>
      </c>
      <c r="D700" s="3" t="s">
        <v>1364</v>
      </c>
      <c r="E700" s="3" t="n">
        <v>1202</v>
      </c>
      <c r="F700" s="3" t="s">
        <v>1369</v>
      </c>
      <c r="G700" s="3" t="n">
        <v>1215</v>
      </c>
      <c r="H700" s="3" t="n">
        <v>2</v>
      </c>
      <c r="I700" s="3" t="s">
        <v>70</v>
      </c>
      <c r="J700" s="3" t="n">
        <v>1.08</v>
      </c>
      <c r="K700" s="3" t="n">
        <v>-2.55</v>
      </c>
      <c r="L700" s="3" t="n">
        <v>-1.92</v>
      </c>
      <c r="M700" s="3" t="s">
        <v>2391</v>
      </c>
      <c r="N700" s="3" t="s">
        <v>2391</v>
      </c>
      <c r="O700" s="3" t="n">
        <v>1093.9</v>
      </c>
      <c r="P700" s="3" t="n">
        <v>-8.99</v>
      </c>
      <c r="Q700" s="3"/>
    </row>
    <row r="701" customFormat="false" ht="15" hidden="false" customHeight="false" outlineLevel="0" collapsed="false">
      <c r="A701" s="3" t="s">
        <v>114</v>
      </c>
      <c r="B701" s="3" t="s">
        <v>115</v>
      </c>
      <c r="C701" s="3" t="n">
        <v>6</v>
      </c>
      <c r="D701" s="3" t="s">
        <v>1364</v>
      </c>
      <c r="E701" s="3" t="n">
        <v>84.2</v>
      </c>
      <c r="F701" s="3" t="s">
        <v>1369</v>
      </c>
      <c r="G701" s="3" t="n">
        <v>85.8</v>
      </c>
      <c r="H701" s="3" t="n">
        <v>2</v>
      </c>
      <c r="I701" s="3" t="s">
        <v>70</v>
      </c>
      <c r="J701" s="3" t="n">
        <v>1.9</v>
      </c>
      <c r="K701" s="3" t="n">
        <v>1.48</v>
      </c>
      <c r="L701" s="3" t="n">
        <v>1.77</v>
      </c>
      <c r="M701" s="3" t="s">
        <v>2391</v>
      </c>
      <c r="N701" s="3" t="s">
        <v>2391</v>
      </c>
      <c r="O701" s="3" t="n">
        <v>77.43</v>
      </c>
      <c r="P701" s="3" t="n">
        <v>-8.04</v>
      </c>
      <c r="Q701" s="3"/>
    </row>
    <row r="702" customFormat="false" ht="15" hidden="false" customHeight="false" outlineLevel="0" collapsed="false">
      <c r="A702" s="3" t="s">
        <v>207</v>
      </c>
      <c r="B702" s="3" t="s">
        <v>208</v>
      </c>
      <c r="C702" s="3" t="n">
        <v>9</v>
      </c>
      <c r="D702" s="3" t="s">
        <v>1369</v>
      </c>
      <c r="E702" s="3" t="n">
        <v>1192</v>
      </c>
      <c r="F702" s="3" t="s">
        <v>1369</v>
      </c>
      <c r="G702" s="3" t="n">
        <v>1192</v>
      </c>
      <c r="H702" s="3" t="n">
        <v>1</v>
      </c>
      <c r="I702" s="3" t="s">
        <v>65</v>
      </c>
      <c r="J702" s="3" t="n">
        <v>-0.5</v>
      </c>
      <c r="K702" s="3" t="n">
        <v>-2.6</v>
      </c>
      <c r="L702" s="3" t="n">
        <v>-0.9</v>
      </c>
      <c r="M702" s="3" t="s">
        <v>2391</v>
      </c>
      <c r="N702" s="3" t="s">
        <v>2391</v>
      </c>
      <c r="O702" s="3" t="n">
        <v>1045</v>
      </c>
      <c r="P702" s="3" t="n">
        <v>-12.33</v>
      </c>
      <c r="Q702" s="3"/>
    </row>
    <row r="703" customFormat="false" ht="15" hidden="false" customHeight="false" outlineLevel="0" collapsed="false">
      <c r="A703" s="3" t="s">
        <v>437</v>
      </c>
      <c r="B703" s="3" t="s">
        <v>438</v>
      </c>
      <c r="C703" s="3" t="n">
        <v>2</v>
      </c>
      <c r="D703" s="3" t="s">
        <v>1369</v>
      </c>
      <c r="E703" s="3" t="n">
        <v>445</v>
      </c>
      <c r="F703" s="3" t="s">
        <v>1369</v>
      </c>
      <c r="G703" s="3" t="n">
        <v>445</v>
      </c>
      <c r="H703" s="3" t="n">
        <v>1</v>
      </c>
      <c r="I703" s="3" t="s">
        <v>65</v>
      </c>
      <c r="J703" s="3" t="n">
        <v>-1.91</v>
      </c>
      <c r="K703" s="3" t="n">
        <v>-5.39</v>
      </c>
      <c r="L703" s="3" t="n">
        <v>-9.51</v>
      </c>
      <c r="M703" s="3" t="s">
        <v>2391</v>
      </c>
      <c r="N703" s="3" t="s">
        <v>2391</v>
      </c>
      <c r="O703" s="3" t="n">
        <v>374.35</v>
      </c>
      <c r="P703" s="3" t="n">
        <v>-15.88</v>
      </c>
      <c r="Q703" s="3"/>
    </row>
    <row r="704" customFormat="false" ht="15" hidden="false" customHeight="false" outlineLevel="0" collapsed="false">
      <c r="A704" s="3" t="s">
        <v>257</v>
      </c>
      <c r="B704" s="3" t="s">
        <v>258</v>
      </c>
      <c r="C704" s="3" t="n">
        <v>4</v>
      </c>
      <c r="D704" s="3" t="s">
        <v>1369</v>
      </c>
      <c r="E704" s="3" t="n">
        <v>176.96</v>
      </c>
      <c r="F704" s="3" t="s">
        <v>1369</v>
      </c>
      <c r="G704" s="3" t="n">
        <v>176.96</v>
      </c>
      <c r="H704" s="3" t="n">
        <v>1</v>
      </c>
      <c r="I704" s="3" t="s">
        <v>65</v>
      </c>
      <c r="J704" s="3" t="n">
        <v>-0.32</v>
      </c>
      <c r="K704" s="3" t="n">
        <v>0.56</v>
      </c>
      <c r="L704" s="3" t="n">
        <v>-2.24</v>
      </c>
      <c r="M704" s="3" t="s">
        <v>2391</v>
      </c>
      <c r="N704" s="3" t="s">
        <v>2391</v>
      </c>
      <c r="O704" s="3" t="n">
        <v>172.45</v>
      </c>
      <c r="P704" s="3" t="n">
        <v>-2.55</v>
      </c>
      <c r="Q704" s="3"/>
    </row>
    <row r="705" customFormat="false" ht="15" hidden="false" customHeight="false" outlineLevel="0" collapsed="false">
      <c r="A705" s="3" t="s">
        <v>496</v>
      </c>
      <c r="B705" s="3" t="s">
        <v>497</v>
      </c>
      <c r="C705" s="3" t="n">
        <v>2</v>
      </c>
      <c r="D705" s="3" t="s">
        <v>1369</v>
      </c>
      <c r="E705" s="3" t="n">
        <v>1069</v>
      </c>
      <c r="F705" s="3" t="s">
        <v>1369</v>
      </c>
      <c r="G705" s="3" t="n">
        <v>1069</v>
      </c>
      <c r="H705" s="3" t="n">
        <v>1</v>
      </c>
      <c r="I705" s="3" t="s">
        <v>65</v>
      </c>
      <c r="J705" s="3" t="n">
        <v>0.78</v>
      </c>
      <c r="K705" s="3" t="n">
        <v>-14.87</v>
      </c>
      <c r="L705" s="3" t="n">
        <v>-15.34</v>
      </c>
      <c r="M705" s="3" t="s">
        <v>2391</v>
      </c>
      <c r="N705" s="3" t="s">
        <v>2391</v>
      </c>
      <c r="O705" s="3" t="n">
        <v>868</v>
      </c>
      <c r="P705" s="3" t="n">
        <v>-18.8</v>
      </c>
      <c r="Q705" s="3"/>
    </row>
    <row r="706" customFormat="false" ht="15" hidden="false" customHeight="false" outlineLevel="0" collapsed="false">
      <c r="A706" s="3" t="s">
        <v>399</v>
      </c>
      <c r="B706" s="3" t="s">
        <v>400</v>
      </c>
      <c r="C706" s="3" t="n">
        <v>6</v>
      </c>
      <c r="D706" s="3" t="s">
        <v>1369</v>
      </c>
      <c r="E706" s="3" t="n">
        <v>545</v>
      </c>
      <c r="F706" s="3" t="s">
        <v>1369</v>
      </c>
      <c r="G706" s="3" t="n">
        <v>545</v>
      </c>
      <c r="H706" s="3" t="n">
        <v>1</v>
      </c>
      <c r="I706" s="3" t="s">
        <v>65</v>
      </c>
      <c r="J706" s="3" t="n">
        <v>-0.46</v>
      </c>
      <c r="K706" s="3" t="n">
        <v>-1.47</v>
      </c>
      <c r="L706" s="3" t="n">
        <v>-2.2</v>
      </c>
      <c r="M706" s="3" t="s">
        <v>2391</v>
      </c>
      <c r="N706" s="3" t="s">
        <v>2391</v>
      </c>
      <c r="O706" s="3" t="n">
        <v>531.6</v>
      </c>
      <c r="P706" s="3" t="n">
        <v>-2.46</v>
      </c>
      <c r="Q706" s="3"/>
    </row>
    <row r="707" customFormat="false" ht="15" hidden="false" customHeight="false" outlineLevel="0" collapsed="false">
      <c r="A707" s="3" t="s">
        <v>74</v>
      </c>
      <c r="B707" s="3" t="s">
        <v>75</v>
      </c>
      <c r="C707" s="3" t="n">
        <v>5</v>
      </c>
      <c r="D707" s="3" t="s">
        <v>1369</v>
      </c>
      <c r="E707" s="3" t="n">
        <v>1684</v>
      </c>
      <c r="F707" s="3" t="s">
        <v>1369</v>
      </c>
      <c r="G707" s="3" t="n">
        <v>1684</v>
      </c>
      <c r="H707" s="3" t="n">
        <v>1</v>
      </c>
      <c r="I707" s="3" t="s">
        <v>65</v>
      </c>
      <c r="J707" s="3" t="n">
        <v>-1.54</v>
      </c>
      <c r="K707" s="3" t="n">
        <v>-2.91</v>
      </c>
      <c r="L707" s="3" t="n">
        <v>-8.73</v>
      </c>
      <c r="M707" s="3" t="s">
        <v>2391</v>
      </c>
      <c r="N707" s="3" t="s">
        <v>2391</v>
      </c>
      <c r="O707" s="3" t="n">
        <v>1540</v>
      </c>
      <c r="P707" s="3" t="n">
        <v>-8.55</v>
      </c>
      <c r="Q707" s="3"/>
    </row>
    <row r="708" customFormat="false" ht="15" hidden="false" customHeight="false" outlineLevel="0" collapsed="false">
      <c r="A708" s="3" t="s">
        <v>175</v>
      </c>
      <c r="B708" s="3" t="s">
        <v>176</v>
      </c>
      <c r="C708" s="3" t="n">
        <v>6</v>
      </c>
      <c r="D708" s="3" t="s">
        <v>1369</v>
      </c>
      <c r="E708" s="3" t="n">
        <v>1330</v>
      </c>
      <c r="F708" s="3" t="s">
        <v>1369</v>
      </c>
      <c r="G708" s="3" t="n">
        <v>1330</v>
      </c>
      <c r="H708" s="3" t="n">
        <v>1</v>
      </c>
      <c r="I708" s="3" t="s">
        <v>65</v>
      </c>
      <c r="J708" s="3" t="n">
        <v>-1.66</v>
      </c>
      <c r="K708" s="3" t="n">
        <v>-4.58</v>
      </c>
      <c r="L708" s="3" t="n">
        <v>-1.8</v>
      </c>
      <c r="M708" s="3" t="s">
        <v>2391</v>
      </c>
      <c r="N708" s="3" t="s">
        <v>2391</v>
      </c>
      <c r="O708" s="3" t="n">
        <v>1264.1</v>
      </c>
      <c r="P708" s="3" t="n">
        <v>-4.95</v>
      </c>
      <c r="Q708" s="3"/>
    </row>
    <row r="709" customFormat="false" ht="15" hidden="false" customHeight="false" outlineLevel="0" collapsed="false">
      <c r="A709" s="3" t="s">
        <v>820</v>
      </c>
      <c r="B709" s="3" t="s">
        <v>821</v>
      </c>
      <c r="C709" s="3" t="n">
        <v>1</v>
      </c>
      <c r="D709" s="3" t="s">
        <v>1369</v>
      </c>
      <c r="E709" s="3" t="n">
        <v>485</v>
      </c>
      <c r="F709" s="3" t="s">
        <v>1369</v>
      </c>
      <c r="G709" s="3" t="n">
        <v>485</v>
      </c>
      <c r="H709" s="3" t="n">
        <v>1</v>
      </c>
      <c r="I709" s="3" t="s">
        <v>65</v>
      </c>
      <c r="J709" s="3" t="n">
        <v>-2.47</v>
      </c>
      <c r="K709" s="3" t="n">
        <v>-0.06</v>
      </c>
      <c r="L709" s="3" t="n">
        <v>0.31</v>
      </c>
      <c r="M709" s="3" t="s">
        <v>2391</v>
      </c>
      <c r="N709" s="3" t="s">
        <v>2391</v>
      </c>
      <c r="O709" s="3" t="n">
        <v>478.7</v>
      </c>
      <c r="P709" s="3" t="n">
        <v>-1.3</v>
      </c>
      <c r="Q709" s="3"/>
    </row>
    <row r="710" customFormat="false" ht="15" hidden="false" customHeight="false" outlineLevel="0" collapsed="false">
      <c r="A710" s="3" t="s">
        <v>272</v>
      </c>
      <c r="B710" s="3" t="s">
        <v>273</v>
      </c>
      <c r="C710" s="3" t="n">
        <v>7</v>
      </c>
      <c r="D710" s="3" t="s">
        <v>1369</v>
      </c>
      <c r="E710" s="3" t="n">
        <v>349.9</v>
      </c>
      <c r="F710" s="3" t="s">
        <v>1369</v>
      </c>
      <c r="G710" s="3" t="n">
        <v>349.9</v>
      </c>
      <c r="H710" s="3" t="n">
        <v>1</v>
      </c>
      <c r="I710" s="3" t="s">
        <v>65</v>
      </c>
      <c r="J710" s="3" t="n">
        <v>-1.4</v>
      </c>
      <c r="K710" s="3" t="n">
        <v>-2.99</v>
      </c>
      <c r="L710" s="3" t="n">
        <v>-5.69</v>
      </c>
      <c r="M710" s="3" t="s">
        <v>2391</v>
      </c>
      <c r="N710" s="3" t="s">
        <v>2391</v>
      </c>
      <c r="O710" s="3" t="n">
        <v>321.1</v>
      </c>
      <c r="P710" s="3" t="n">
        <v>-8.23</v>
      </c>
      <c r="Q710" s="3"/>
    </row>
    <row r="711" customFormat="false" ht="15" hidden="false" customHeight="false" outlineLevel="0" collapsed="false">
      <c r="A711" s="3" t="s">
        <v>876</v>
      </c>
      <c r="B711" s="3" t="s">
        <v>877</v>
      </c>
      <c r="C711" s="3" t="n">
        <v>3</v>
      </c>
      <c r="D711" s="3" t="s">
        <v>1369</v>
      </c>
      <c r="E711" s="3" t="n">
        <v>2810</v>
      </c>
      <c r="F711" s="3" t="s">
        <v>1369</v>
      </c>
      <c r="G711" s="3" t="n">
        <v>2810</v>
      </c>
      <c r="H711" s="3" t="n">
        <v>1</v>
      </c>
      <c r="I711" s="3" t="s">
        <v>65</v>
      </c>
      <c r="J711" s="3" t="n">
        <v>-0.5</v>
      </c>
      <c r="K711" s="3" t="n">
        <v>-11.64</v>
      </c>
      <c r="L711" s="3" t="n">
        <v>-14.84</v>
      </c>
      <c r="M711" s="3" t="s">
        <v>2391</v>
      </c>
      <c r="N711" s="3" t="s">
        <v>2391</v>
      </c>
      <c r="O711" s="3" t="n">
        <v>2349</v>
      </c>
      <c r="P711" s="3" t="n">
        <v>-16.41</v>
      </c>
      <c r="Q711" s="3"/>
    </row>
    <row r="712" customFormat="false" ht="15" hidden="false" customHeight="false" outlineLevel="0" collapsed="false">
      <c r="A712" s="3" t="s">
        <v>406</v>
      </c>
      <c r="B712" s="3" t="s">
        <v>407</v>
      </c>
      <c r="C712" s="3" t="n">
        <v>4</v>
      </c>
      <c r="D712" s="3" t="s">
        <v>1369</v>
      </c>
      <c r="E712" s="3" t="n">
        <v>175.5</v>
      </c>
      <c r="F712" s="3" t="s">
        <v>1369</v>
      </c>
      <c r="G712" s="3" t="n">
        <v>175.5</v>
      </c>
      <c r="H712" s="3" t="n">
        <v>1</v>
      </c>
      <c r="I712" s="3" t="s">
        <v>65</v>
      </c>
      <c r="J712" s="3" t="n">
        <v>0.71</v>
      </c>
      <c r="K712" s="3" t="n">
        <v>-0.85</v>
      </c>
      <c r="L712" s="3" t="n">
        <v>11.97</v>
      </c>
      <c r="M712" s="3" t="s">
        <v>2391</v>
      </c>
      <c r="N712" s="3" t="s">
        <v>2391</v>
      </c>
      <c r="O712" s="3" t="n">
        <v>184.2</v>
      </c>
      <c r="P712" s="3" t="n">
        <v>4.96</v>
      </c>
      <c r="Q712" s="3"/>
    </row>
    <row r="713" customFormat="false" ht="15" hidden="false" customHeight="false" outlineLevel="0" collapsed="false">
      <c r="A713" s="3" t="s">
        <v>126</v>
      </c>
      <c r="B713" s="3" t="s">
        <v>127</v>
      </c>
      <c r="C713" s="3" t="n">
        <v>3</v>
      </c>
      <c r="D713" s="3" t="s">
        <v>1369</v>
      </c>
      <c r="E713" s="3" t="n">
        <v>277</v>
      </c>
      <c r="F713" s="3" t="s">
        <v>1369</v>
      </c>
      <c r="G713" s="3" t="n">
        <v>277</v>
      </c>
      <c r="H713" s="3" t="n">
        <v>1</v>
      </c>
      <c r="I713" s="3" t="s">
        <v>65</v>
      </c>
      <c r="J713" s="3" t="n">
        <v>-0.72</v>
      </c>
      <c r="K713" s="3" t="n">
        <v>-0.43</v>
      </c>
      <c r="L713" s="3" t="n">
        <v>-2.27</v>
      </c>
      <c r="M713" s="3" t="s">
        <v>2391</v>
      </c>
      <c r="N713" s="3" t="s">
        <v>2391</v>
      </c>
      <c r="O713" s="3" t="n">
        <v>259</v>
      </c>
      <c r="P713" s="3" t="n">
        <v>-6.5</v>
      </c>
      <c r="Q713" s="3"/>
    </row>
    <row r="714" customFormat="false" ht="15" hidden="false" customHeight="false" outlineLevel="0" collapsed="false">
      <c r="A714" s="3" t="s">
        <v>1386</v>
      </c>
      <c r="B714" s="3" t="s">
        <v>1387</v>
      </c>
      <c r="C714" s="3" t="n">
        <v>0</v>
      </c>
      <c r="D714" s="3" t="s">
        <v>1385</v>
      </c>
      <c r="E714" s="3" t="n">
        <v>174.66</v>
      </c>
      <c r="F714" s="3" t="s">
        <v>1385</v>
      </c>
      <c r="G714" s="3" t="n">
        <v>174.66</v>
      </c>
      <c r="H714" s="3" t="n">
        <v>1</v>
      </c>
      <c r="I714" s="3" t="s">
        <v>65</v>
      </c>
      <c r="J714" s="3" t="n">
        <v>0.78</v>
      </c>
      <c r="K714" s="3" t="n">
        <v>0.71</v>
      </c>
      <c r="L714" s="3" t="n">
        <v>-5.97</v>
      </c>
      <c r="M714" s="3" t="s">
        <v>2391</v>
      </c>
      <c r="N714" s="3" t="s">
        <v>2391</v>
      </c>
      <c r="O714" s="3" t="n">
        <v>181</v>
      </c>
      <c r="P714" s="3" t="n">
        <v>3.63</v>
      </c>
      <c r="Q714" s="3"/>
    </row>
    <row r="715" customFormat="false" ht="15" hidden="false" customHeight="false" outlineLevel="0" collapsed="false">
      <c r="A715" s="3" t="s">
        <v>319</v>
      </c>
      <c r="B715" s="3" t="s">
        <v>320</v>
      </c>
      <c r="C715" s="3" t="n">
        <v>7</v>
      </c>
      <c r="D715" s="3" t="s">
        <v>1385</v>
      </c>
      <c r="E715" s="3" t="n">
        <v>1940</v>
      </c>
      <c r="F715" s="3" t="s">
        <v>1385</v>
      </c>
      <c r="G715" s="3" t="n">
        <v>1940</v>
      </c>
      <c r="H715" s="3" t="n">
        <v>1</v>
      </c>
      <c r="I715" s="3" t="s">
        <v>65</v>
      </c>
      <c r="J715" s="3" t="n">
        <v>-3.8</v>
      </c>
      <c r="K715" s="3" t="n">
        <v>-0.62</v>
      </c>
      <c r="L715" s="3" t="n">
        <v>-4.68</v>
      </c>
      <c r="M715" s="3" t="s">
        <v>2391</v>
      </c>
      <c r="N715" s="3" t="s">
        <v>2391</v>
      </c>
      <c r="O715" s="3" t="n">
        <v>1634.2</v>
      </c>
      <c r="P715" s="3" t="n">
        <v>-15.76</v>
      </c>
      <c r="Q715" s="3"/>
    </row>
    <row r="716" customFormat="false" ht="15" hidden="false" customHeight="false" outlineLevel="0" collapsed="false">
      <c r="A716" s="3" t="s">
        <v>671</v>
      </c>
      <c r="B716" s="3" t="s">
        <v>672</v>
      </c>
      <c r="C716" s="3" t="n">
        <v>1</v>
      </c>
      <c r="D716" s="3" t="s">
        <v>1385</v>
      </c>
      <c r="E716" s="3" t="n">
        <v>4920</v>
      </c>
      <c r="F716" s="3" t="s">
        <v>1385</v>
      </c>
      <c r="G716" s="3" t="n">
        <v>4920</v>
      </c>
      <c r="H716" s="3" t="n">
        <v>1</v>
      </c>
      <c r="I716" s="3" t="s">
        <v>65</v>
      </c>
      <c r="J716" s="3" t="n">
        <v>-0.2</v>
      </c>
      <c r="K716" s="3" t="n">
        <v>0.51</v>
      </c>
      <c r="L716" s="3" t="n">
        <v>-3.14</v>
      </c>
      <c r="M716" s="3" t="s">
        <v>2391</v>
      </c>
      <c r="N716" s="3" t="s">
        <v>2391</v>
      </c>
      <c r="O716" s="3" t="n">
        <v>4738</v>
      </c>
      <c r="P716" s="3" t="n">
        <v>-3.7</v>
      </c>
      <c r="Q716" s="3"/>
    </row>
    <row r="717" customFormat="false" ht="15" hidden="false" customHeight="false" outlineLevel="0" collapsed="false">
      <c r="A717" s="3" t="s">
        <v>880</v>
      </c>
      <c r="B717" s="3" t="s">
        <v>881</v>
      </c>
      <c r="C717" s="3" t="n">
        <v>1</v>
      </c>
      <c r="D717" s="3" t="s">
        <v>1385</v>
      </c>
      <c r="E717" s="3" t="n">
        <v>1325</v>
      </c>
      <c r="F717" s="3" t="s">
        <v>1385</v>
      </c>
      <c r="G717" s="3" t="n">
        <v>1325</v>
      </c>
      <c r="H717" s="3" t="n">
        <v>1</v>
      </c>
      <c r="I717" s="3" t="s">
        <v>65</v>
      </c>
      <c r="J717" s="3" t="n">
        <v>0.74</v>
      </c>
      <c r="K717" s="3" t="n">
        <v>-0.6</v>
      </c>
      <c r="L717" s="3" t="n">
        <v>-1.7</v>
      </c>
      <c r="M717" s="3" t="s">
        <v>2391</v>
      </c>
      <c r="N717" s="3" t="s">
        <v>2391</v>
      </c>
      <c r="O717" s="3" t="n">
        <v>1197.6</v>
      </c>
      <c r="P717" s="3" t="n">
        <v>-9.62</v>
      </c>
      <c r="Q717" s="3"/>
    </row>
    <row r="718" customFormat="false" ht="15" hidden="false" customHeight="false" outlineLevel="0" collapsed="false">
      <c r="A718" s="3" t="s">
        <v>926</v>
      </c>
      <c r="B718" s="3" t="s">
        <v>927</v>
      </c>
      <c r="C718" s="3" t="n">
        <v>1</v>
      </c>
      <c r="D718" s="3" t="s">
        <v>1385</v>
      </c>
      <c r="E718" s="3" t="n">
        <v>4998</v>
      </c>
      <c r="F718" s="3" t="s">
        <v>1385</v>
      </c>
      <c r="G718" s="3" t="n">
        <v>4998</v>
      </c>
      <c r="H718" s="3" t="n">
        <v>1</v>
      </c>
      <c r="I718" s="3" t="s">
        <v>65</v>
      </c>
      <c r="J718" s="3" t="n">
        <v>-1.14</v>
      </c>
      <c r="K718" s="3" t="n">
        <v>1.31</v>
      </c>
      <c r="L718" s="3" t="n">
        <v>0.58</v>
      </c>
      <c r="M718" s="3" t="s">
        <v>2391</v>
      </c>
      <c r="N718" s="3" t="s">
        <v>2391</v>
      </c>
      <c r="O718" s="3" t="n">
        <v>4819.5</v>
      </c>
      <c r="P718" s="3" t="n">
        <v>-3.57</v>
      </c>
      <c r="Q718" s="3"/>
    </row>
    <row r="719" customFormat="false" ht="15" hidden="false" customHeight="false" outlineLevel="0" collapsed="false">
      <c r="A719" s="3" t="s">
        <v>562</v>
      </c>
      <c r="B719" s="3" t="s">
        <v>563</v>
      </c>
      <c r="C719" s="3" t="n">
        <v>4</v>
      </c>
      <c r="D719" s="3" t="s">
        <v>1393</v>
      </c>
      <c r="E719" s="3" t="n">
        <v>3323</v>
      </c>
      <c r="F719" s="3" t="s">
        <v>1393</v>
      </c>
      <c r="G719" s="3" t="n">
        <v>3323</v>
      </c>
      <c r="H719" s="3" t="n">
        <v>1</v>
      </c>
      <c r="I719" s="3" t="s">
        <v>65</v>
      </c>
      <c r="J719" s="3" t="n">
        <v>1.73</v>
      </c>
      <c r="K719" s="3" t="n">
        <v>-2.24</v>
      </c>
      <c r="L719" s="3" t="n">
        <v>-0.03</v>
      </c>
      <c r="M719" s="3" t="s">
        <v>2391</v>
      </c>
      <c r="N719" s="3" t="s">
        <v>2391</v>
      </c>
      <c r="O719" s="3" t="n">
        <v>3150</v>
      </c>
      <c r="P719" s="3" t="n">
        <v>-5.21</v>
      </c>
      <c r="Q719" s="3"/>
    </row>
    <row r="720" customFormat="false" ht="15" hidden="false" customHeight="false" outlineLevel="0" collapsed="false">
      <c r="A720" s="3" t="s">
        <v>820</v>
      </c>
      <c r="B720" s="3" t="s">
        <v>821</v>
      </c>
      <c r="C720" s="3" t="n">
        <v>2</v>
      </c>
      <c r="D720" s="3" t="s">
        <v>1393</v>
      </c>
      <c r="E720" s="3" t="n">
        <v>486.5</v>
      </c>
      <c r="F720" s="3" t="s">
        <v>1393</v>
      </c>
      <c r="G720" s="3" t="n">
        <v>486.5</v>
      </c>
      <c r="H720" s="3" t="n">
        <v>1</v>
      </c>
      <c r="I720" s="3" t="s">
        <v>65</v>
      </c>
      <c r="J720" s="3" t="n">
        <v>1.75</v>
      </c>
      <c r="K720" s="3" t="n">
        <v>3.62</v>
      </c>
      <c r="L720" s="3" t="n">
        <v>-0.78</v>
      </c>
      <c r="M720" s="3" t="s">
        <v>2391</v>
      </c>
      <c r="N720" s="3" t="s">
        <v>2391</v>
      </c>
      <c r="O720" s="3" t="n">
        <v>478.7</v>
      </c>
      <c r="P720" s="3" t="n">
        <v>-1.6</v>
      </c>
      <c r="Q720" s="3"/>
    </row>
    <row r="721" customFormat="false" ht="15" hidden="false" customHeight="false" outlineLevel="0" collapsed="false">
      <c r="A721" s="3" t="s">
        <v>1354</v>
      </c>
      <c r="B721" s="3" t="s">
        <v>1355</v>
      </c>
      <c r="C721" s="3" t="n">
        <v>1</v>
      </c>
      <c r="D721" s="3" t="s">
        <v>1396</v>
      </c>
      <c r="E721" s="3" t="n">
        <v>190.24</v>
      </c>
      <c r="F721" s="3" t="s">
        <v>1396</v>
      </c>
      <c r="G721" s="3" t="n">
        <v>190.24</v>
      </c>
      <c r="H721" s="3" t="n">
        <v>1</v>
      </c>
      <c r="I721" s="3" t="s">
        <v>65</v>
      </c>
      <c r="J721" s="3" t="n">
        <v>-1.05</v>
      </c>
      <c r="K721" s="3" t="n">
        <v>-2.23</v>
      </c>
      <c r="L721" s="3" t="n">
        <v>-2.43</v>
      </c>
      <c r="M721" s="3" t="s">
        <v>2391</v>
      </c>
      <c r="N721" s="3" t="s">
        <v>2391</v>
      </c>
      <c r="O721" s="3" t="n">
        <v>186.3</v>
      </c>
      <c r="P721" s="3" t="n">
        <v>-2.07</v>
      </c>
      <c r="Q721" s="3"/>
    </row>
    <row r="722" customFormat="false" ht="15" hidden="false" customHeight="false" outlineLevel="0" collapsed="false">
      <c r="A722" s="3" t="s">
        <v>686</v>
      </c>
      <c r="B722" s="3" t="s">
        <v>687</v>
      </c>
      <c r="C722" s="3" t="n">
        <v>5</v>
      </c>
      <c r="D722" s="3" t="s">
        <v>1398</v>
      </c>
      <c r="E722" s="3" t="n">
        <v>412.6</v>
      </c>
      <c r="F722" s="3" t="s">
        <v>1398</v>
      </c>
      <c r="G722" s="3" t="n">
        <v>412.6</v>
      </c>
      <c r="H722" s="3" t="n">
        <v>1</v>
      </c>
      <c r="I722" s="3" t="s">
        <v>65</v>
      </c>
      <c r="J722" s="3" t="n">
        <v>-0.8</v>
      </c>
      <c r="K722" s="3" t="n">
        <v>-1.38</v>
      </c>
      <c r="L722" s="3" t="n">
        <v>1.85</v>
      </c>
      <c r="M722" s="3" t="s">
        <v>2391</v>
      </c>
      <c r="N722" s="3" t="s">
        <v>2391</v>
      </c>
      <c r="O722" s="3" t="n">
        <v>422.5</v>
      </c>
      <c r="P722" s="3" t="n">
        <v>2.4</v>
      </c>
      <c r="Q722" s="3"/>
    </row>
    <row r="723" customFormat="false" ht="15" hidden="false" customHeight="false" outlineLevel="0" collapsed="false">
      <c r="A723" s="3" t="s">
        <v>312</v>
      </c>
      <c r="B723" s="3" t="s">
        <v>313</v>
      </c>
      <c r="C723" s="3" t="n">
        <v>2</v>
      </c>
      <c r="D723" s="3" t="s">
        <v>1398</v>
      </c>
      <c r="E723" s="3" t="n">
        <v>406</v>
      </c>
      <c r="F723" s="3" t="s">
        <v>1401</v>
      </c>
      <c r="G723" s="3" t="n">
        <v>417</v>
      </c>
      <c r="H723" s="3" t="n">
        <v>2</v>
      </c>
      <c r="I723" s="3" t="s">
        <v>70</v>
      </c>
      <c r="J723" s="3" t="n">
        <v>2.71</v>
      </c>
      <c r="K723" s="3" t="n">
        <v>0.99</v>
      </c>
      <c r="L723" s="3" t="n">
        <v>1.17</v>
      </c>
      <c r="M723" s="3" t="s">
        <v>2391</v>
      </c>
      <c r="N723" s="3" t="s">
        <v>2391</v>
      </c>
      <c r="O723" s="3" t="n">
        <v>400.65</v>
      </c>
      <c r="P723" s="3" t="n">
        <v>-1.32</v>
      </c>
      <c r="Q723" s="3"/>
    </row>
    <row r="724" customFormat="false" ht="15" hidden="false" customHeight="false" outlineLevel="0" collapsed="false">
      <c r="A724" s="3" t="s">
        <v>605</v>
      </c>
      <c r="B724" s="3" t="s">
        <v>606</v>
      </c>
      <c r="C724" s="3" t="n">
        <v>3</v>
      </c>
      <c r="D724" s="3" t="s">
        <v>1401</v>
      </c>
      <c r="E724" s="3" t="n">
        <v>383.4</v>
      </c>
      <c r="F724" s="3" t="s">
        <v>1401</v>
      </c>
      <c r="G724" s="3" t="n">
        <v>383.4</v>
      </c>
      <c r="H724" s="3" t="n">
        <v>1</v>
      </c>
      <c r="I724" s="3" t="s">
        <v>65</v>
      </c>
      <c r="J724" s="3" t="n">
        <v>-0.05</v>
      </c>
      <c r="K724" s="3" t="n">
        <v>-2.87</v>
      </c>
      <c r="L724" s="3" t="n">
        <v>-2.53</v>
      </c>
      <c r="M724" s="3" t="s">
        <v>2391</v>
      </c>
      <c r="N724" s="3" t="s">
        <v>2391</v>
      </c>
      <c r="O724" s="3" t="n">
        <v>360</v>
      </c>
      <c r="P724" s="3" t="n">
        <v>-6.1</v>
      </c>
      <c r="Q724" s="3"/>
    </row>
    <row r="725" customFormat="false" ht="15" hidden="false" customHeight="false" outlineLevel="0" collapsed="false">
      <c r="A725" s="3" t="s">
        <v>660</v>
      </c>
      <c r="B725" s="3" t="s">
        <v>661</v>
      </c>
      <c r="C725" s="3" t="n">
        <v>2</v>
      </c>
      <c r="D725" s="3" t="s">
        <v>1401</v>
      </c>
      <c r="E725" s="3" t="n">
        <v>187</v>
      </c>
      <c r="F725" s="3" t="s">
        <v>1401</v>
      </c>
      <c r="G725" s="3" t="n">
        <v>187</v>
      </c>
      <c r="H725" s="3" t="n">
        <v>1</v>
      </c>
      <c r="I725" s="3" t="s">
        <v>65</v>
      </c>
      <c r="J725" s="3" t="n">
        <v>-0.27</v>
      </c>
      <c r="K725" s="3" t="n">
        <v>-0.05</v>
      </c>
      <c r="L725" s="3" t="n">
        <v>-1.66</v>
      </c>
      <c r="M725" s="3" t="s">
        <v>2391</v>
      </c>
      <c r="N725" s="3" t="s">
        <v>2391</v>
      </c>
      <c r="O725" s="3" t="n">
        <v>171.75</v>
      </c>
      <c r="P725" s="3" t="n">
        <v>-8.16</v>
      </c>
      <c r="Q725" s="3"/>
    </row>
    <row r="726" customFormat="false" ht="15" hidden="false" customHeight="false" outlineLevel="0" collapsed="false">
      <c r="A726" s="3" t="s">
        <v>1014</v>
      </c>
      <c r="B726" s="3" t="s">
        <v>1015</v>
      </c>
      <c r="C726" s="3" t="n">
        <v>1</v>
      </c>
      <c r="D726" s="3" t="s">
        <v>1405</v>
      </c>
      <c r="E726" s="3" t="n">
        <v>1616</v>
      </c>
      <c r="F726" s="3" t="s">
        <v>1405</v>
      </c>
      <c r="G726" s="3" t="n">
        <v>1616</v>
      </c>
      <c r="H726" s="3" t="n">
        <v>1</v>
      </c>
      <c r="I726" s="3" t="s">
        <v>65</v>
      </c>
      <c r="J726" s="3" t="n">
        <v>-1.66</v>
      </c>
      <c r="K726" s="3" t="n">
        <v>-4.59</v>
      </c>
      <c r="L726" s="3" t="n">
        <v>-15.04</v>
      </c>
      <c r="M726" s="3" t="s">
        <v>2391</v>
      </c>
      <c r="N726" s="3" t="s">
        <v>2391</v>
      </c>
      <c r="O726" s="3" t="n">
        <v>1287.9</v>
      </c>
      <c r="P726" s="3" t="n">
        <v>-20.3</v>
      </c>
      <c r="Q726" s="3"/>
    </row>
    <row r="727" customFormat="false" ht="15" hidden="false" customHeight="false" outlineLevel="0" collapsed="false">
      <c r="A727" s="3" t="s">
        <v>605</v>
      </c>
      <c r="B727" s="3" t="s">
        <v>606</v>
      </c>
      <c r="C727" s="3" t="n">
        <v>4</v>
      </c>
      <c r="D727" s="3" t="s">
        <v>1405</v>
      </c>
      <c r="E727" s="3" t="n">
        <v>384.35</v>
      </c>
      <c r="F727" s="3" t="s">
        <v>1405</v>
      </c>
      <c r="G727" s="3" t="n">
        <v>384.35</v>
      </c>
      <c r="H727" s="3" t="n">
        <v>1</v>
      </c>
      <c r="I727" s="3" t="s">
        <v>65</v>
      </c>
      <c r="J727" s="3" t="n">
        <v>-1.13</v>
      </c>
      <c r="K727" s="3" t="n">
        <v>-2.24</v>
      </c>
      <c r="L727" s="3" t="n">
        <v>0.95</v>
      </c>
      <c r="M727" s="3" t="s">
        <v>2391</v>
      </c>
      <c r="N727" s="3" t="s">
        <v>2391</v>
      </c>
      <c r="O727" s="3" t="n">
        <v>360</v>
      </c>
      <c r="P727" s="3" t="n">
        <v>-6.34</v>
      </c>
      <c r="Q727" s="3"/>
    </row>
    <row r="728" customFormat="false" ht="15" hidden="false" customHeight="false" outlineLevel="0" collapsed="false">
      <c r="A728" s="3" t="s">
        <v>595</v>
      </c>
      <c r="B728" s="3" t="s">
        <v>596</v>
      </c>
      <c r="C728" s="3" t="n">
        <v>1</v>
      </c>
      <c r="D728" s="3" t="s">
        <v>1408</v>
      </c>
      <c r="E728" s="3" t="n">
        <v>1355.8</v>
      </c>
      <c r="F728" s="3" t="s">
        <v>1408</v>
      </c>
      <c r="G728" s="3" t="n">
        <v>1355.8</v>
      </c>
      <c r="H728" s="3" t="n">
        <v>1</v>
      </c>
      <c r="I728" s="3" t="s">
        <v>65</v>
      </c>
      <c r="J728" s="3" t="n">
        <v>-0.07</v>
      </c>
      <c r="K728" s="3" t="n">
        <v>-0.5</v>
      </c>
      <c r="L728" s="3" t="n">
        <v>-6.96</v>
      </c>
      <c r="M728" s="3" t="s">
        <v>2391</v>
      </c>
      <c r="N728" s="3" t="s">
        <v>2391</v>
      </c>
      <c r="O728" s="3" t="n">
        <v>1253.9</v>
      </c>
      <c r="P728" s="3" t="n">
        <v>-7.52</v>
      </c>
      <c r="Q728" s="3"/>
    </row>
    <row r="729" customFormat="false" ht="15" hidden="false" customHeight="false" outlineLevel="0" collapsed="false">
      <c r="A729" s="3" t="s">
        <v>156</v>
      </c>
      <c r="B729" s="3" t="s">
        <v>157</v>
      </c>
      <c r="C729" s="3" t="n">
        <v>6</v>
      </c>
      <c r="D729" s="3" t="s">
        <v>1408</v>
      </c>
      <c r="E729" s="3" t="n">
        <v>1269.9</v>
      </c>
      <c r="F729" s="3" t="s">
        <v>1408</v>
      </c>
      <c r="G729" s="3" t="n">
        <v>1269.9</v>
      </c>
      <c r="H729" s="3" t="n">
        <v>1</v>
      </c>
      <c r="I729" s="3" t="s">
        <v>65</v>
      </c>
      <c r="J729" s="3" t="n">
        <v>0.24</v>
      </c>
      <c r="K729" s="3" t="n">
        <v>-1.46</v>
      </c>
      <c r="L729" s="3" t="n">
        <v>-8.68</v>
      </c>
      <c r="M729" s="3" t="s">
        <v>2391</v>
      </c>
      <c r="N729" s="3" t="s">
        <v>2391</v>
      </c>
      <c r="O729" s="3" t="n">
        <v>1173</v>
      </c>
      <c r="P729" s="3" t="n">
        <v>-7.63</v>
      </c>
      <c r="Q729" s="3"/>
    </row>
    <row r="730" customFormat="false" ht="15" hidden="false" customHeight="false" outlineLevel="0" collapsed="false">
      <c r="A730" s="3" t="s">
        <v>1412</v>
      </c>
      <c r="B730" s="3" t="s">
        <v>1413</v>
      </c>
      <c r="C730" s="3" t="n">
        <v>0</v>
      </c>
      <c r="D730" s="3" t="s">
        <v>1411</v>
      </c>
      <c r="E730" s="3" t="n">
        <v>7350</v>
      </c>
      <c r="F730" s="3" t="s">
        <v>1411</v>
      </c>
      <c r="G730" s="3" t="n">
        <v>7350</v>
      </c>
      <c r="H730" s="3" t="n">
        <v>1</v>
      </c>
      <c r="I730" s="3" t="s">
        <v>65</v>
      </c>
      <c r="J730" s="3" t="n">
        <v>-1.36</v>
      </c>
      <c r="K730" s="3" t="n">
        <v>1.12</v>
      </c>
      <c r="L730" s="3" t="s">
        <v>2391</v>
      </c>
      <c r="M730" s="3" t="s">
        <v>2391</v>
      </c>
      <c r="N730" s="3" t="s">
        <v>2391</v>
      </c>
      <c r="O730" s="3" t="n">
        <v>6990</v>
      </c>
      <c r="P730" s="3" t="n">
        <v>-4.9</v>
      </c>
      <c r="Q730" s="3"/>
    </row>
    <row r="731" customFormat="false" ht="15" hidden="false" customHeight="false" outlineLevel="0" collapsed="false">
      <c r="A731" s="3" t="s">
        <v>901</v>
      </c>
      <c r="B731" s="3" t="s">
        <v>902</v>
      </c>
      <c r="C731" s="3" t="n">
        <v>7</v>
      </c>
      <c r="D731" s="3" t="s">
        <v>1415</v>
      </c>
      <c r="E731" s="3" t="n">
        <v>1217</v>
      </c>
      <c r="F731" s="3" t="s">
        <v>1415</v>
      </c>
      <c r="G731" s="3" t="n">
        <v>1217</v>
      </c>
      <c r="H731" s="3" t="n">
        <v>1</v>
      </c>
      <c r="I731" s="3" t="s">
        <v>65</v>
      </c>
      <c r="J731" s="3" t="n">
        <v>1.27</v>
      </c>
      <c r="K731" s="3" t="n">
        <v>0.49</v>
      </c>
      <c r="L731" s="3" t="s">
        <v>2391</v>
      </c>
      <c r="M731" s="3" t="s">
        <v>2391</v>
      </c>
      <c r="N731" s="3" t="s">
        <v>2391</v>
      </c>
      <c r="O731" s="3" t="n">
        <v>1093.9</v>
      </c>
      <c r="P731" s="3" t="n">
        <v>-10.12</v>
      </c>
      <c r="Q731" s="3"/>
    </row>
    <row r="732" customFormat="false" ht="15" hidden="false" customHeight="false" outlineLevel="0" collapsed="false">
      <c r="A732" s="3" t="s">
        <v>66</v>
      </c>
      <c r="B732" s="3" t="s">
        <v>67</v>
      </c>
      <c r="C732" s="3" t="n">
        <v>7</v>
      </c>
      <c r="D732" s="3" t="s">
        <v>1417</v>
      </c>
      <c r="E732" s="3" t="n">
        <v>9025</v>
      </c>
      <c r="F732" s="3" t="s">
        <v>1417</v>
      </c>
      <c r="G732" s="3" t="n">
        <v>9025</v>
      </c>
      <c r="H732" s="3" t="n">
        <v>1</v>
      </c>
      <c r="I732" s="3" t="s">
        <v>65</v>
      </c>
      <c r="J732" s="3" t="n">
        <v>0.39</v>
      </c>
      <c r="K732" s="3" t="n">
        <v>2.16</v>
      </c>
      <c r="L732" s="3" t="s">
        <v>2391</v>
      </c>
      <c r="M732" s="3" t="s">
        <v>2391</v>
      </c>
      <c r="N732" s="3" t="s">
        <v>2391</v>
      </c>
      <c r="O732" s="3" t="n">
        <v>9550</v>
      </c>
      <c r="P732" s="3" t="n">
        <v>5.82</v>
      </c>
      <c r="Q732" s="3"/>
    </row>
    <row r="733" customFormat="false" ht="15" hidden="false" customHeight="false" outlineLevel="0" collapsed="false">
      <c r="A733" s="3" t="s">
        <v>234</v>
      </c>
      <c r="B733" s="3" t="s">
        <v>235</v>
      </c>
      <c r="C733" s="3" t="n">
        <v>2</v>
      </c>
      <c r="D733" s="3" t="s">
        <v>1417</v>
      </c>
      <c r="E733" s="3" t="n">
        <v>416.7</v>
      </c>
      <c r="F733" s="3" t="s">
        <v>1424</v>
      </c>
      <c r="G733" s="3" t="n">
        <v>424.2</v>
      </c>
      <c r="H733" s="3" t="n">
        <v>2</v>
      </c>
      <c r="I733" s="3" t="s">
        <v>70</v>
      </c>
      <c r="J733" s="3" t="n">
        <v>1.8</v>
      </c>
      <c r="K733" s="3" t="n">
        <v>1.63</v>
      </c>
      <c r="L733" s="3" t="s">
        <v>2391</v>
      </c>
      <c r="M733" s="3" t="s">
        <v>2391</v>
      </c>
      <c r="N733" s="3" t="s">
        <v>2391</v>
      </c>
      <c r="O733" s="3" t="n">
        <v>401.55</v>
      </c>
      <c r="P733" s="3" t="n">
        <v>-3.64</v>
      </c>
      <c r="Q733" s="3"/>
    </row>
    <row r="734" customFormat="false" ht="15" hidden="false" customHeight="false" outlineLevel="0" collapsed="false">
      <c r="A734" s="3" t="s">
        <v>203</v>
      </c>
      <c r="B734" s="3" t="s">
        <v>204</v>
      </c>
      <c r="C734" s="3" t="n">
        <v>5</v>
      </c>
      <c r="D734" s="3" t="s">
        <v>1417</v>
      </c>
      <c r="E734" s="3" t="n">
        <v>1887</v>
      </c>
      <c r="F734" s="3" t="s">
        <v>1424</v>
      </c>
      <c r="G734" s="3" t="n">
        <v>1929.4</v>
      </c>
      <c r="H734" s="3" t="n">
        <v>2</v>
      </c>
      <c r="I734" s="3" t="s">
        <v>70</v>
      </c>
      <c r="J734" s="3" t="n">
        <v>2.25</v>
      </c>
      <c r="K734" s="3" t="n">
        <v>-1.22</v>
      </c>
      <c r="L734" s="3" t="s">
        <v>2391</v>
      </c>
      <c r="M734" s="3" t="s">
        <v>2391</v>
      </c>
      <c r="N734" s="3" t="s">
        <v>2391</v>
      </c>
      <c r="O734" s="3" t="n">
        <v>2010.7</v>
      </c>
      <c r="P734" s="3" t="n">
        <v>6.56</v>
      </c>
      <c r="Q734" s="3"/>
    </row>
    <row r="735" customFormat="false" ht="15" hidden="false" customHeight="false" outlineLevel="0" collapsed="false">
      <c r="A735" s="3" t="s">
        <v>403</v>
      </c>
      <c r="B735" s="3" t="s">
        <v>404</v>
      </c>
      <c r="C735" s="3" t="n">
        <v>5</v>
      </c>
      <c r="D735" s="3" t="s">
        <v>1417</v>
      </c>
      <c r="E735" s="3" t="n">
        <v>524.4</v>
      </c>
      <c r="F735" s="3" t="s">
        <v>1417</v>
      </c>
      <c r="G735" s="3" t="n">
        <v>524.4</v>
      </c>
      <c r="H735" s="3" t="n">
        <v>1</v>
      </c>
      <c r="I735" s="3" t="s">
        <v>65</v>
      </c>
      <c r="J735" s="3" t="n">
        <v>2.12</v>
      </c>
      <c r="K735" s="3" t="n">
        <v>3.21</v>
      </c>
      <c r="L735" s="3" t="s">
        <v>2391</v>
      </c>
      <c r="M735" s="3" t="s">
        <v>2391</v>
      </c>
      <c r="N735" s="3" t="s">
        <v>2391</v>
      </c>
      <c r="O735" s="3" t="n">
        <v>564.15</v>
      </c>
      <c r="P735" s="3" t="n">
        <v>7.58</v>
      </c>
      <c r="Q735" s="3"/>
    </row>
    <row r="736" customFormat="false" ht="15" hidden="false" customHeight="false" outlineLevel="0" collapsed="false">
      <c r="A736" s="3" t="s">
        <v>1354</v>
      </c>
      <c r="B736" s="3" t="s">
        <v>1355</v>
      </c>
      <c r="C736" s="3" t="n">
        <v>2</v>
      </c>
      <c r="D736" s="3" t="s">
        <v>1417</v>
      </c>
      <c r="E736" s="3" t="n">
        <v>188.01</v>
      </c>
      <c r="F736" s="3" t="s">
        <v>1417</v>
      </c>
      <c r="G736" s="3" t="n">
        <v>188.01</v>
      </c>
      <c r="H736" s="3" t="n">
        <v>1</v>
      </c>
      <c r="I736" s="3" t="s">
        <v>65</v>
      </c>
      <c r="J736" s="3" t="n">
        <v>-0.64</v>
      </c>
      <c r="K736" s="3" t="n">
        <v>-2.21</v>
      </c>
      <c r="L736" s="3" t="s">
        <v>2391</v>
      </c>
      <c r="M736" s="3" t="s">
        <v>2391</v>
      </c>
      <c r="N736" s="3" t="s">
        <v>2391</v>
      </c>
      <c r="O736" s="3" t="n">
        <v>186.3</v>
      </c>
      <c r="P736" s="3" t="n">
        <v>-0.91</v>
      </c>
      <c r="Q736" s="3"/>
    </row>
    <row r="737" customFormat="false" ht="15" hidden="false" customHeight="false" outlineLevel="0" collapsed="false">
      <c r="A737" s="3" t="s">
        <v>126</v>
      </c>
      <c r="B737" s="3" t="s">
        <v>127</v>
      </c>
      <c r="C737" s="3" t="n">
        <v>4</v>
      </c>
      <c r="D737" s="3" t="s">
        <v>1417</v>
      </c>
      <c r="E737" s="3" t="n">
        <v>286.5</v>
      </c>
      <c r="F737" s="3" t="s">
        <v>1417</v>
      </c>
      <c r="G737" s="3" t="n">
        <v>286.5</v>
      </c>
      <c r="H737" s="3" t="n">
        <v>1</v>
      </c>
      <c r="I737" s="3" t="s">
        <v>65</v>
      </c>
      <c r="J737" s="3" t="n">
        <v>-1.92</v>
      </c>
      <c r="K737" s="3" t="n">
        <v>-5.51</v>
      </c>
      <c r="L737" s="3" t="s">
        <v>2391</v>
      </c>
      <c r="M737" s="3" t="s">
        <v>2391</v>
      </c>
      <c r="N737" s="3" t="s">
        <v>2391</v>
      </c>
      <c r="O737" s="3" t="n">
        <v>259</v>
      </c>
      <c r="P737" s="3" t="n">
        <v>-9.6</v>
      </c>
      <c r="Q737" s="3"/>
    </row>
    <row r="738" customFormat="false" ht="15" hidden="false" customHeight="false" outlineLevel="0" collapsed="false">
      <c r="A738" s="3" t="s">
        <v>333</v>
      </c>
      <c r="B738" s="3" t="s">
        <v>334</v>
      </c>
      <c r="C738" s="3" t="n">
        <v>10</v>
      </c>
      <c r="D738" s="3" t="s">
        <v>1424</v>
      </c>
      <c r="E738" s="3" t="n">
        <v>5320</v>
      </c>
      <c r="F738" s="3" t="s">
        <v>1438</v>
      </c>
      <c r="G738" s="3" t="n">
        <v>5355</v>
      </c>
      <c r="H738" s="3" t="n">
        <v>2</v>
      </c>
      <c r="I738" s="3" t="s">
        <v>70</v>
      </c>
      <c r="J738" s="3" t="n">
        <v>0.66</v>
      </c>
      <c r="K738" s="3" t="n">
        <v>-2.39</v>
      </c>
      <c r="L738" s="3" t="s">
        <v>2391</v>
      </c>
      <c r="M738" s="3" t="s">
        <v>2391</v>
      </c>
      <c r="N738" s="3" t="s">
        <v>2391</v>
      </c>
      <c r="O738" s="3" t="n">
        <v>5175</v>
      </c>
      <c r="P738" s="3" t="n">
        <v>-2.73</v>
      </c>
      <c r="Q738" s="3"/>
    </row>
    <row r="739" customFormat="false" ht="15" hidden="false" customHeight="false" outlineLevel="0" collapsed="false">
      <c r="A739" s="3" t="s">
        <v>360</v>
      </c>
      <c r="B739" s="3" t="s">
        <v>361</v>
      </c>
      <c r="C739" s="3" t="n">
        <v>4</v>
      </c>
      <c r="D739" s="3" t="s">
        <v>1424</v>
      </c>
      <c r="E739" s="3" t="n">
        <v>328.5</v>
      </c>
      <c r="F739" s="3" t="s">
        <v>1424</v>
      </c>
      <c r="G739" s="3" t="n">
        <v>328.5</v>
      </c>
      <c r="H739" s="3" t="n">
        <v>1</v>
      </c>
      <c r="I739" s="3" t="s">
        <v>65</v>
      </c>
      <c r="J739" s="3" t="n">
        <v>-0.15</v>
      </c>
      <c r="K739" s="3" t="n">
        <v>-1.13</v>
      </c>
      <c r="L739" s="3" t="s">
        <v>2391</v>
      </c>
      <c r="M739" s="3" t="s">
        <v>2391</v>
      </c>
      <c r="N739" s="3" t="s">
        <v>2391</v>
      </c>
      <c r="O739" s="3" t="n">
        <v>330.95</v>
      </c>
      <c r="P739" s="3" t="n">
        <v>0.75</v>
      </c>
      <c r="Q739" s="3"/>
    </row>
    <row r="740" customFormat="false" ht="15" hidden="false" customHeight="false" outlineLevel="0" collapsed="false">
      <c r="A740" s="3" t="s">
        <v>1427</v>
      </c>
      <c r="B740" s="3" t="s">
        <v>1428</v>
      </c>
      <c r="C740" s="3" t="n">
        <v>0</v>
      </c>
      <c r="D740" s="3" t="s">
        <v>1424</v>
      </c>
      <c r="E740" s="3" t="n">
        <v>2069.4</v>
      </c>
      <c r="F740" s="3" t="s">
        <v>1424</v>
      </c>
      <c r="G740" s="3" t="n">
        <v>2069.4</v>
      </c>
      <c r="H740" s="3" t="n">
        <v>1</v>
      </c>
      <c r="I740" s="3" t="s">
        <v>65</v>
      </c>
      <c r="J740" s="3" t="n">
        <v>-1.95</v>
      </c>
      <c r="K740" s="3" t="n">
        <v>-3.28</v>
      </c>
      <c r="L740" s="3" t="s">
        <v>2391</v>
      </c>
      <c r="M740" s="3" t="s">
        <v>2391</v>
      </c>
      <c r="N740" s="3" t="s">
        <v>2391</v>
      </c>
      <c r="O740" s="3" t="n">
        <v>1669.8</v>
      </c>
      <c r="P740" s="3" t="n">
        <v>-19.31</v>
      </c>
      <c r="Q740" s="3"/>
    </row>
    <row r="741" customFormat="false" ht="15" hidden="false" customHeight="false" outlineLevel="0" collapsed="false">
      <c r="A741" s="3" t="s">
        <v>605</v>
      </c>
      <c r="B741" s="3" t="s">
        <v>606</v>
      </c>
      <c r="C741" s="3" t="n">
        <v>5</v>
      </c>
      <c r="D741" s="3" t="s">
        <v>1424</v>
      </c>
      <c r="E741" s="3" t="n">
        <v>379.95</v>
      </c>
      <c r="F741" s="3" t="s">
        <v>1424</v>
      </c>
      <c r="G741" s="3" t="n">
        <v>379.95</v>
      </c>
      <c r="H741" s="3" t="n">
        <v>1</v>
      </c>
      <c r="I741" s="3" t="s">
        <v>65</v>
      </c>
      <c r="J741" s="3" t="n">
        <v>0.01</v>
      </c>
      <c r="K741" s="3" t="n">
        <v>-1.32</v>
      </c>
      <c r="L741" s="3" t="s">
        <v>2391</v>
      </c>
      <c r="M741" s="3" t="s">
        <v>2391</v>
      </c>
      <c r="N741" s="3" t="s">
        <v>2391</v>
      </c>
      <c r="O741" s="3" t="n">
        <v>360</v>
      </c>
      <c r="P741" s="3" t="n">
        <v>-5.25</v>
      </c>
      <c r="Q741" s="3"/>
    </row>
    <row r="742" customFormat="false" ht="15" hidden="false" customHeight="false" outlineLevel="0" collapsed="false">
      <c r="A742" s="3" t="s">
        <v>1433</v>
      </c>
      <c r="B742" s="3" t="s">
        <v>1434</v>
      </c>
      <c r="C742" s="3" t="n">
        <v>0</v>
      </c>
      <c r="D742" s="3" t="s">
        <v>1424</v>
      </c>
      <c r="E742" s="3" t="n">
        <v>44.27</v>
      </c>
      <c r="F742" s="3" t="s">
        <v>1424</v>
      </c>
      <c r="G742" s="3" t="n">
        <v>44.27</v>
      </c>
      <c r="H742" s="3" t="n">
        <v>1</v>
      </c>
      <c r="I742" s="3" t="s">
        <v>65</v>
      </c>
      <c r="J742" s="3" t="n">
        <v>4.68</v>
      </c>
      <c r="K742" s="3" t="n">
        <v>5.71</v>
      </c>
      <c r="L742" s="3" t="s">
        <v>2391</v>
      </c>
      <c r="M742" s="3" t="s">
        <v>2391</v>
      </c>
      <c r="N742" s="3" t="s">
        <v>2391</v>
      </c>
      <c r="O742" s="3" t="n">
        <v>43.45</v>
      </c>
      <c r="P742" s="3" t="n">
        <v>-1.85</v>
      </c>
      <c r="Q742" s="3"/>
    </row>
    <row r="743" customFormat="false" ht="15" hidden="false" customHeight="false" outlineLevel="0" collapsed="false">
      <c r="A743" s="3" t="s">
        <v>926</v>
      </c>
      <c r="B743" s="3" t="s">
        <v>927</v>
      </c>
      <c r="C743" s="3" t="n">
        <v>2</v>
      </c>
      <c r="D743" s="3" t="s">
        <v>1424</v>
      </c>
      <c r="E743" s="3" t="n">
        <v>5139.3</v>
      </c>
      <c r="F743" s="3" t="s">
        <v>1424</v>
      </c>
      <c r="G743" s="3" t="n">
        <v>5139.3</v>
      </c>
      <c r="H743" s="3" t="n">
        <v>1</v>
      </c>
      <c r="I743" s="3" t="s">
        <v>65</v>
      </c>
      <c r="J743" s="3" t="n">
        <v>0.58</v>
      </c>
      <c r="K743" s="3" t="n">
        <v>-2.19</v>
      </c>
      <c r="L743" s="3" t="s">
        <v>2391</v>
      </c>
      <c r="M743" s="3" t="s">
        <v>2391</v>
      </c>
      <c r="N743" s="3" t="s">
        <v>2391</v>
      </c>
      <c r="O743" s="3" t="n">
        <v>4819.5</v>
      </c>
      <c r="P743" s="3" t="n">
        <v>-6.22</v>
      </c>
      <c r="Q743" s="3"/>
    </row>
    <row r="744" customFormat="false" ht="15" hidden="false" customHeight="false" outlineLevel="0" collapsed="false">
      <c r="A744" s="3" t="s">
        <v>1258</v>
      </c>
      <c r="B744" s="3" t="s">
        <v>1259</v>
      </c>
      <c r="C744" s="3" t="n">
        <v>1</v>
      </c>
      <c r="D744" s="3" t="s">
        <v>1424</v>
      </c>
      <c r="E744" s="3" t="n">
        <v>1189.2</v>
      </c>
      <c r="F744" s="3" t="s">
        <v>1424</v>
      </c>
      <c r="G744" s="3" t="n">
        <v>1189.2</v>
      </c>
      <c r="H744" s="3" t="n">
        <v>1</v>
      </c>
      <c r="I744" s="3" t="s">
        <v>65</v>
      </c>
      <c r="J744" s="3" t="n">
        <v>0.15</v>
      </c>
      <c r="K744" s="3" t="n">
        <v>-3.88</v>
      </c>
      <c r="L744" s="3" t="s">
        <v>2391</v>
      </c>
      <c r="M744" s="3" t="s">
        <v>2391</v>
      </c>
      <c r="N744" s="3" t="s">
        <v>2391</v>
      </c>
      <c r="O744" s="3" t="n">
        <v>1215</v>
      </c>
      <c r="P744" s="3" t="n">
        <v>2.17</v>
      </c>
      <c r="Q744" s="3"/>
    </row>
    <row r="745" customFormat="false" ht="15" hidden="false" customHeight="false" outlineLevel="0" collapsed="false">
      <c r="A745" s="3" t="s">
        <v>58</v>
      </c>
      <c r="B745" s="3" t="s">
        <v>59</v>
      </c>
      <c r="C745" s="3" t="n">
        <v>6</v>
      </c>
      <c r="D745" s="3" t="s">
        <v>1438</v>
      </c>
      <c r="E745" s="3" t="n">
        <v>2265.6</v>
      </c>
      <c r="F745" s="3" t="s">
        <v>1438</v>
      </c>
      <c r="G745" s="3" t="n">
        <v>2265.6</v>
      </c>
      <c r="H745" s="3" t="n">
        <v>1</v>
      </c>
      <c r="I745" s="3" t="s">
        <v>65</v>
      </c>
      <c r="J745" s="3" t="n">
        <v>-1.86</v>
      </c>
      <c r="K745" s="3" t="n">
        <v>-0.69</v>
      </c>
      <c r="L745" s="3" t="s">
        <v>2391</v>
      </c>
      <c r="M745" s="3" t="s">
        <v>2391</v>
      </c>
      <c r="N745" s="3" t="s">
        <v>2391</v>
      </c>
      <c r="O745" s="3" t="n">
        <v>2197</v>
      </c>
      <c r="P745" s="3" t="n">
        <v>-3.03</v>
      </c>
      <c r="Q745" s="3"/>
    </row>
    <row r="746" customFormat="false" ht="15" hidden="false" customHeight="false" outlineLevel="0" collapsed="false">
      <c r="A746" s="3" t="s">
        <v>66</v>
      </c>
      <c r="B746" s="3" t="s">
        <v>67</v>
      </c>
      <c r="C746" s="3" t="n">
        <v>8</v>
      </c>
      <c r="D746" s="3" t="s">
        <v>1438</v>
      </c>
      <c r="E746" s="3" t="n">
        <v>9239</v>
      </c>
      <c r="F746" s="3" t="s">
        <v>1438</v>
      </c>
      <c r="G746" s="3" t="n">
        <v>9239</v>
      </c>
      <c r="H746" s="3" t="n">
        <v>1</v>
      </c>
      <c r="I746" s="3" t="s">
        <v>65</v>
      </c>
      <c r="J746" s="3" t="n">
        <v>2.47</v>
      </c>
      <c r="K746" s="3" t="n">
        <v>-1.5</v>
      </c>
      <c r="L746" s="3" t="s">
        <v>2391</v>
      </c>
      <c r="M746" s="3" t="s">
        <v>2391</v>
      </c>
      <c r="N746" s="3" t="s">
        <v>2391</v>
      </c>
      <c r="O746" s="3" t="n">
        <v>9550</v>
      </c>
      <c r="P746" s="3" t="n">
        <v>3.37</v>
      </c>
      <c r="Q746" s="3"/>
    </row>
    <row r="747" customFormat="false" ht="15" hidden="false" customHeight="false" outlineLevel="0" collapsed="false">
      <c r="A747" s="3" t="s">
        <v>266</v>
      </c>
      <c r="B747" s="3" t="s">
        <v>267</v>
      </c>
      <c r="C747" s="3" t="n">
        <v>3</v>
      </c>
      <c r="D747" s="3" t="s">
        <v>1438</v>
      </c>
      <c r="E747" s="3" t="n">
        <v>2455</v>
      </c>
      <c r="F747" s="3" t="s">
        <v>1438</v>
      </c>
      <c r="G747" s="3" t="n">
        <v>2455</v>
      </c>
      <c r="H747" s="3" t="n">
        <v>1</v>
      </c>
      <c r="I747" s="3" t="s">
        <v>65</v>
      </c>
      <c r="J747" s="3" t="n">
        <v>-1.12</v>
      </c>
      <c r="K747" s="3" t="n">
        <v>-1.34</v>
      </c>
      <c r="L747" s="3" t="s">
        <v>2391</v>
      </c>
      <c r="M747" s="3" t="s">
        <v>2391</v>
      </c>
      <c r="N747" s="3" t="s">
        <v>2391</v>
      </c>
      <c r="O747" s="3" t="n">
        <v>2237.5</v>
      </c>
      <c r="P747" s="3" t="n">
        <v>-8.86</v>
      </c>
      <c r="Q747" s="3"/>
    </row>
    <row r="748" customFormat="false" ht="15" hidden="false" customHeight="false" outlineLevel="0" collapsed="false">
      <c r="A748" s="3" t="s">
        <v>145</v>
      </c>
      <c r="B748" s="3" t="s">
        <v>146</v>
      </c>
      <c r="C748" s="3" t="n">
        <v>9</v>
      </c>
      <c r="D748" s="3" t="s">
        <v>1438</v>
      </c>
      <c r="E748" s="3" t="n">
        <v>1640.9</v>
      </c>
      <c r="F748" s="3" t="s">
        <v>1438</v>
      </c>
      <c r="G748" s="3" t="n">
        <v>1640.9</v>
      </c>
      <c r="H748" s="3" t="n">
        <v>1</v>
      </c>
      <c r="I748" s="3" t="s">
        <v>65</v>
      </c>
      <c r="J748" s="3" t="n">
        <v>-0.79</v>
      </c>
      <c r="K748" s="3" t="n">
        <v>-2.68</v>
      </c>
      <c r="L748" s="3" t="s">
        <v>2391</v>
      </c>
      <c r="M748" s="3" t="s">
        <v>2391</v>
      </c>
      <c r="N748" s="3" t="s">
        <v>2391</v>
      </c>
      <c r="O748" s="3" t="n">
        <v>1542.2</v>
      </c>
      <c r="P748" s="3" t="n">
        <v>-6.01</v>
      </c>
      <c r="Q748" s="3"/>
    </row>
    <row r="749" customFormat="false" ht="15" hidden="false" customHeight="false" outlineLevel="0" collapsed="false">
      <c r="A749" s="3" t="s">
        <v>126</v>
      </c>
      <c r="B749" s="3" t="s">
        <v>127</v>
      </c>
      <c r="C749" s="3" t="n">
        <v>5</v>
      </c>
      <c r="D749" s="3" t="s">
        <v>1438</v>
      </c>
      <c r="E749" s="3" t="n">
        <v>287.95</v>
      </c>
      <c r="F749" s="3" t="s">
        <v>1438</v>
      </c>
      <c r="G749" s="3" t="n">
        <v>287.95</v>
      </c>
      <c r="H749" s="3" t="n">
        <v>1</v>
      </c>
      <c r="I749" s="3" t="s">
        <v>65</v>
      </c>
      <c r="J749" s="3" t="n">
        <v>-3.39</v>
      </c>
      <c r="K749" s="3" t="n">
        <v>-5.5</v>
      </c>
      <c r="L749" s="3" t="s">
        <v>2391</v>
      </c>
      <c r="M749" s="3" t="s">
        <v>2391</v>
      </c>
      <c r="N749" s="3" t="s">
        <v>2391</v>
      </c>
      <c r="O749" s="3" t="n">
        <v>259</v>
      </c>
      <c r="P749" s="3" t="n">
        <v>-10.05</v>
      </c>
      <c r="Q749" s="3"/>
    </row>
    <row r="750" customFormat="false" ht="15" hidden="false" customHeight="false" outlineLevel="0" collapsed="false">
      <c r="A750" s="3" t="s">
        <v>380</v>
      </c>
      <c r="B750" s="3" t="s">
        <v>381</v>
      </c>
      <c r="C750" s="3" t="n">
        <v>6</v>
      </c>
      <c r="D750" s="3" t="s">
        <v>1445</v>
      </c>
      <c r="E750" s="3" t="n">
        <v>1717</v>
      </c>
      <c r="F750" s="3" t="s">
        <v>1445</v>
      </c>
      <c r="G750" s="3" t="n">
        <v>1717</v>
      </c>
      <c r="H750" s="3" t="n">
        <v>1</v>
      </c>
      <c r="I750" s="3" t="s">
        <v>65</v>
      </c>
      <c r="J750" s="3" t="n">
        <v>-1.96</v>
      </c>
      <c r="K750" s="3" t="n">
        <v>-3.32</v>
      </c>
      <c r="L750" s="3" t="s">
        <v>2391</v>
      </c>
      <c r="M750" s="3" t="s">
        <v>2391</v>
      </c>
      <c r="N750" s="3" t="s">
        <v>2391</v>
      </c>
      <c r="O750" s="3" t="n">
        <v>1697.5</v>
      </c>
      <c r="P750" s="3" t="n">
        <v>-1.14</v>
      </c>
      <c r="Q750" s="3"/>
    </row>
    <row r="751" customFormat="false" ht="15" hidden="false" customHeight="false" outlineLevel="0" collapsed="false">
      <c r="A751" s="3" t="s">
        <v>487</v>
      </c>
      <c r="B751" s="3" t="s">
        <v>488</v>
      </c>
      <c r="C751" s="3" t="n">
        <v>3</v>
      </c>
      <c r="D751" s="3" t="s">
        <v>1445</v>
      </c>
      <c r="E751" s="3" t="n">
        <v>11644</v>
      </c>
      <c r="F751" s="3" t="s">
        <v>1445</v>
      </c>
      <c r="G751" s="3" t="n">
        <v>11644</v>
      </c>
      <c r="H751" s="3" t="n">
        <v>1</v>
      </c>
      <c r="I751" s="3" t="s">
        <v>65</v>
      </c>
      <c r="J751" s="3" t="n">
        <v>-2.87</v>
      </c>
      <c r="K751" s="3" t="n">
        <v>-5.91</v>
      </c>
      <c r="L751" s="3" t="s">
        <v>2391</v>
      </c>
      <c r="M751" s="3" t="s">
        <v>2391</v>
      </c>
      <c r="N751" s="3" t="s">
        <v>2391</v>
      </c>
      <c r="O751" s="3" t="n">
        <v>10800</v>
      </c>
      <c r="P751" s="3" t="n">
        <v>-7.25</v>
      </c>
      <c r="Q751" s="3"/>
    </row>
    <row r="752" customFormat="false" ht="15" hidden="false" customHeight="false" outlineLevel="0" collapsed="false">
      <c r="A752" s="3" t="s">
        <v>1448</v>
      </c>
      <c r="B752" s="3" t="s">
        <v>1449</v>
      </c>
      <c r="C752" s="3" t="n">
        <v>0</v>
      </c>
      <c r="D752" s="3" t="s">
        <v>1445</v>
      </c>
      <c r="E752" s="3" t="n">
        <v>50000</v>
      </c>
      <c r="F752" s="3" t="s">
        <v>1445</v>
      </c>
      <c r="G752" s="3" t="n">
        <v>50000</v>
      </c>
      <c r="H752" s="3" t="n">
        <v>1</v>
      </c>
      <c r="I752" s="3" t="s">
        <v>65</v>
      </c>
      <c r="J752" s="3" t="n">
        <v>-2.9</v>
      </c>
      <c r="K752" s="3" t="n">
        <v>-3.95</v>
      </c>
      <c r="L752" s="3" t="s">
        <v>2391</v>
      </c>
      <c r="M752" s="3" t="s">
        <v>2391</v>
      </c>
      <c r="N752" s="3" t="s">
        <v>2391</v>
      </c>
      <c r="O752" s="3" t="n">
        <v>47020</v>
      </c>
      <c r="P752" s="3" t="n">
        <v>-5.96</v>
      </c>
      <c r="Q752" s="3"/>
    </row>
    <row r="753" customFormat="false" ht="15" hidden="false" customHeight="false" outlineLevel="0" collapsed="false">
      <c r="A753" s="3" t="s">
        <v>104</v>
      </c>
      <c r="B753" s="3" t="s">
        <v>105</v>
      </c>
      <c r="C753" s="3" t="n">
        <v>4</v>
      </c>
      <c r="D753" s="3" t="s">
        <v>1445</v>
      </c>
      <c r="E753" s="3" t="n">
        <v>365.75</v>
      </c>
      <c r="F753" s="3" t="s">
        <v>1445</v>
      </c>
      <c r="G753" s="3" t="n">
        <v>365.75</v>
      </c>
      <c r="H753" s="3" t="n">
        <v>1</v>
      </c>
      <c r="I753" s="3" t="s">
        <v>65</v>
      </c>
      <c r="J753" s="3" t="n">
        <v>-0.72</v>
      </c>
      <c r="K753" s="3" t="n">
        <v>-2.42</v>
      </c>
      <c r="L753" s="3" t="s">
        <v>2391</v>
      </c>
      <c r="M753" s="3" t="s">
        <v>2391</v>
      </c>
      <c r="N753" s="3" t="s">
        <v>2391</v>
      </c>
      <c r="O753" s="3" t="n">
        <v>342.45</v>
      </c>
      <c r="P753" s="3" t="n">
        <v>-6.37</v>
      </c>
      <c r="Q753" s="3"/>
    </row>
    <row r="754" customFormat="false" ht="15" hidden="false" customHeight="false" outlineLevel="0" collapsed="false">
      <c r="A754" s="3" t="s">
        <v>602</v>
      </c>
      <c r="B754" s="3" t="s">
        <v>603</v>
      </c>
      <c r="C754" s="3" t="n">
        <v>4</v>
      </c>
      <c r="D754" s="3" t="s">
        <v>1445</v>
      </c>
      <c r="E754" s="3" t="n">
        <v>1454</v>
      </c>
      <c r="F754" s="3" t="s">
        <v>1445</v>
      </c>
      <c r="G754" s="3" t="n">
        <v>1454</v>
      </c>
      <c r="H754" s="3" t="n">
        <v>1</v>
      </c>
      <c r="I754" s="3" t="s">
        <v>65</v>
      </c>
      <c r="J754" s="3" t="n">
        <v>-1.1</v>
      </c>
      <c r="K754" s="3" t="n">
        <v>-1.82</v>
      </c>
      <c r="L754" s="3" t="s">
        <v>2391</v>
      </c>
      <c r="M754" s="3" t="s">
        <v>2391</v>
      </c>
      <c r="N754" s="3" t="s">
        <v>2391</v>
      </c>
      <c r="O754" s="3" t="n">
        <v>1302</v>
      </c>
      <c r="P754" s="3" t="n">
        <v>-10.45</v>
      </c>
      <c r="Q754" s="3"/>
    </row>
    <row r="755" customFormat="false" ht="15" hidden="false" customHeight="false" outlineLevel="0" collapsed="false">
      <c r="A755" s="3" t="s">
        <v>364</v>
      </c>
      <c r="B755" s="3" t="s">
        <v>365</v>
      </c>
      <c r="C755" s="3" t="n">
        <v>9</v>
      </c>
      <c r="D755" s="3" t="s">
        <v>1445</v>
      </c>
      <c r="E755" s="3" t="n">
        <v>517.05</v>
      </c>
      <c r="F755" s="3" t="s">
        <v>1445</v>
      </c>
      <c r="G755" s="3" t="n">
        <v>517.05</v>
      </c>
      <c r="H755" s="3" t="n">
        <v>1</v>
      </c>
      <c r="I755" s="3" t="s">
        <v>65</v>
      </c>
      <c r="J755" s="3" t="n">
        <v>-4.18</v>
      </c>
      <c r="K755" s="3" t="n">
        <v>-8.97</v>
      </c>
      <c r="L755" s="3" t="s">
        <v>2391</v>
      </c>
      <c r="M755" s="3" t="s">
        <v>2391</v>
      </c>
      <c r="N755" s="3" t="s">
        <v>2391</v>
      </c>
      <c r="O755" s="3" t="n">
        <v>458.7</v>
      </c>
      <c r="P755" s="3" t="n">
        <v>-11.29</v>
      </c>
      <c r="Q755" s="3"/>
    </row>
    <row r="756" customFormat="false" ht="15" hidden="false" customHeight="false" outlineLevel="0" collapsed="false">
      <c r="A756" s="3" t="s">
        <v>525</v>
      </c>
      <c r="B756" s="3" t="s">
        <v>526</v>
      </c>
      <c r="C756" s="3" t="n">
        <v>5</v>
      </c>
      <c r="D756" s="3" t="s">
        <v>1445</v>
      </c>
      <c r="E756" s="3" t="n">
        <v>241.35</v>
      </c>
      <c r="F756" s="3" t="s">
        <v>1445</v>
      </c>
      <c r="G756" s="3" t="n">
        <v>241.35</v>
      </c>
      <c r="H756" s="3" t="n">
        <v>1</v>
      </c>
      <c r="I756" s="3" t="s">
        <v>65</v>
      </c>
      <c r="J756" s="3" t="n">
        <v>-2.28</v>
      </c>
      <c r="K756" s="3" t="n">
        <v>-2.88</v>
      </c>
      <c r="L756" s="3" t="s">
        <v>2391</v>
      </c>
      <c r="M756" s="3" t="s">
        <v>2391</v>
      </c>
      <c r="N756" s="3" t="s">
        <v>2391</v>
      </c>
      <c r="O756" s="3" t="n">
        <v>220.5</v>
      </c>
      <c r="P756" s="3" t="n">
        <v>-8.64</v>
      </c>
      <c r="Q756" s="3"/>
    </row>
    <row r="757" customFormat="false" ht="15" hidden="false" customHeight="false" outlineLevel="0" collapsed="false">
      <c r="A757" s="3" t="s">
        <v>544</v>
      </c>
      <c r="B757" s="3" t="s">
        <v>545</v>
      </c>
      <c r="C757" s="3" t="n">
        <v>3</v>
      </c>
      <c r="D757" s="3" t="s">
        <v>1445</v>
      </c>
      <c r="E757" s="3" t="n">
        <v>1496.5</v>
      </c>
      <c r="F757" s="3" t="s">
        <v>1445</v>
      </c>
      <c r="G757" s="3" t="n">
        <v>1496.5</v>
      </c>
      <c r="H757" s="3" t="n">
        <v>1</v>
      </c>
      <c r="I757" s="3" t="s">
        <v>65</v>
      </c>
      <c r="J757" s="3" t="n">
        <v>-3.9</v>
      </c>
      <c r="K757" s="3" t="n">
        <v>-6.58</v>
      </c>
      <c r="L757" s="3" t="s">
        <v>2391</v>
      </c>
      <c r="M757" s="3" t="s">
        <v>2391</v>
      </c>
      <c r="N757" s="3" t="s">
        <v>2391</v>
      </c>
      <c r="O757" s="3" t="n">
        <v>1346</v>
      </c>
      <c r="P757" s="3" t="n">
        <v>-10.06</v>
      </c>
      <c r="Q757" s="3"/>
    </row>
    <row r="758" customFormat="false" ht="15" hidden="false" customHeight="false" outlineLevel="0" collapsed="false">
      <c r="A758" s="3" t="s">
        <v>1036</v>
      </c>
      <c r="B758" s="3" t="s">
        <v>1037</v>
      </c>
      <c r="C758" s="3" t="n">
        <v>1</v>
      </c>
      <c r="D758" s="3" t="s">
        <v>1445</v>
      </c>
      <c r="E758" s="3" t="n">
        <v>12540</v>
      </c>
      <c r="F758" s="3" t="s">
        <v>1445</v>
      </c>
      <c r="G758" s="3" t="n">
        <v>12540</v>
      </c>
      <c r="H758" s="3" t="n">
        <v>1</v>
      </c>
      <c r="I758" s="3" t="s">
        <v>65</v>
      </c>
      <c r="J758" s="3" t="n">
        <v>-2.81</v>
      </c>
      <c r="K758" s="3" t="n">
        <v>-5.53</v>
      </c>
      <c r="L758" s="3" t="s">
        <v>2391</v>
      </c>
      <c r="M758" s="3" t="s">
        <v>2391</v>
      </c>
      <c r="N758" s="3" t="s">
        <v>2391</v>
      </c>
      <c r="O758" s="3" t="n">
        <v>10800</v>
      </c>
      <c r="P758" s="3" t="n">
        <v>-13.88</v>
      </c>
      <c r="Q758" s="3"/>
    </row>
    <row r="759" customFormat="false" ht="15" hidden="false" customHeight="false" outlineLevel="0" collapsed="false">
      <c r="A759" s="3" t="s">
        <v>117</v>
      </c>
      <c r="B759" s="3" t="s">
        <v>118</v>
      </c>
      <c r="C759" s="3" t="n">
        <v>5</v>
      </c>
      <c r="D759" s="3" t="s">
        <v>1445</v>
      </c>
      <c r="E759" s="3" t="n">
        <v>300.6</v>
      </c>
      <c r="F759" s="3" t="s">
        <v>1445</v>
      </c>
      <c r="G759" s="3" t="n">
        <v>300.6</v>
      </c>
      <c r="H759" s="3" t="n">
        <v>1</v>
      </c>
      <c r="I759" s="3" t="s">
        <v>65</v>
      </c>
      <c r="J759" s="3" t="n">
        <v>-2.76</v>
      </c>
      <c r="K759" s="3" t="n">
        <v>-3.21</v>
      </c>
      <c r="L759" s="3" t="s">
        <v>2391</v>
      </c>
      <c r="M759" s="3" t="s">
        <v>2391</v>
      </c>
      <c r="N759" s="3" t="s">
        <v>2391</v>
      </c>
      <c r="O759" s="3" t="n">
        <v>289.85</v>
      </c>
      <c r="P759" s="3" t="n">
        <v>-3.58</v>
      </c>
      <c r="Q759" s="3"/>
    </row>
    <row r="760" customFormat="false" ht="15" hidden="false" customHeight="false" outlineLevel="0" collapsed="false">
      <c r="A760" s="3" t="s">
        <v>550</v>
      </c>
      <c r="B760" s="3" t="s">
        <v>551</v>
      </c>
      <c r="C760" s="3" t="n">
        <v>4</v>
      </c>
      <c r="D760" s="3" t="s">
        <v>1445</v>
      </c>
      <c r="E760" s="3" t="n">
        <v>1633</v>
      </c>
      <c r="F760" s="3" t="s">
        <v>1445</v>
      </c>
      <c r="G760" s="3" t="n">
        <v>1633</v>
      </c>
      <c r="H760" s="3" t="n">
        <v>1</v>
      </c>
      <c r="I760" s="3" t="s">
        <v>65</v>
      </c>
      <c r="J760" s="3" t="n">
        <v>-3.86</v>
      </c>
      <c r="K760" s="3" t="n">
        <v>-5.08</v>
      </c>
      <c r="L760" s="3" t="s">
        <v>2391</v>
      </c>
      <c r="M760" s="3" t="s">
        <v>2391</v>
      </c>
      <c r="N760" s="3" t="s">
        <v>2391</v>
      </c>
      <c r="O760" s="3" t="n">
        <v>1470.8</v>
      </c>
      <c r="P760" s="3" t="n">
        <v>-9.93</v>
      </c>
      <c r="Q760" s="3"/>
    </row>
    <row r="761" customFormat="false" ht="15" hidden="false" customHeight="false" outlineLevel="0" collapsed="false">
      <c r="A761" s="3" t="s">
        <v>623</v>
      </c>
      <c r="B761" s="3" t="s">
        <v>624</v>
      </c>
      <c r="C761" s="3" t="n">
        <v>6</v>
      </c>
      <c r="D761" s="3" t="s">
        <v>1445</v>
      </c>
      <c r="E761" s="3" t="n">
        <v>1984.8</v>
      </c>
      <c r="F761" s="3" t="s">
        <v>1445</v>
      </c>
      <c r="G761" s="3" t="n">
        <v>1984.8</v>
      </c>
      <c r="H761" s="3" t="n">
        <v>1</v>
      </c>
      <c r="I761" s="3" t="s">
        <v>65</v>
      </c>
      <c r="J761" s="3" t="n">
        <v>-2.81</v>
      </c>
      <c r="K761" s="3" t="n">
        <v>-4.52</v>
      </c>
      <c r="L761" s="3" t="s">
        <v>2391</v>
      </c>
      <c r="M761" s="3" t="s">
        <v>2391</v>
      </c>
      <c r="N761" s="3" t="s">
        <v>2391</v>
      </c>
      <c r="O761" s="3" t="n">
        <v>1838</v>
      </c>
      <c r="P761" s="3" t="n">
        <v>-7.4</v>
      </c>
      <c r="Q761" s="3"/>
    </row>
    <row r="762" customFormat="false" ht="15" hidden="false" customHeight="false" outlineLevel="0" collapsed="false">
      <c r="A762" s="3" t="s">
        <v>148</v>
      </c>
      <c r="B762" s="3" t="s">
        <v>149</v>
      </c>
      <c r="C762" s="3" t="n">
        <v>5</v>
      </c>
      <c r="D762" s="3" t="s">
        <v>1445</v>
      </c>
      <c r="E762" s="3" t="n">
        <v>5066</v>
      </c>
      <c r="F762" s="3" t="s">
        <v>1445</v>
      </c>
      <c r="G762" s="3" t="n">
        <v>5066</v>
      </c>
      <c r="H762" s="3" t="n">
        <v>1</v>
      </c>
      <c r="I762" s="3" t="s">
        <v>65</v>
      </c>
      <c r="J762" s="3" t="n">
        <v>-1.98</v>
      </c>
      <c r="K762" s="3" t="n">
        <v>-3</v>
      </c>
      <c r="L762" s="3" t="s">
        <v>2391</v>
      </c>
      <c r="M762" s="3" t="s">
        <v>2391</v>
      </c>
      <c r="N762" s="3" t="s">
        <v>2391</v>
      </c>
      <c r="O762" s="3" t="n">
        <v>4869</v>
      </c>
      <c r="P762" s="3" t="n">
        <v>-3.89</v>
      </c>
      <c r="Q762" s="3"/>
    </row>
    <row r="763" customFormat="false" ht="15" hidden="false" customHeight="false" outlineLevel="0" collapsed="false">
      <c r="A763" s="3" t="s">
        <v>223</v>
      </c>
      <c r="B763" s="3" t="s">
        <v>224</v>
      </c>
      <c r="C763" s="3" t="n">
        <v>5</v>
      </c>
      <c r="D763" s="3" t="s">
        <v>1445</v>
      </c>
      <c r="E763" s="3" t="n">
        <v>184.5</v>
      </c>
      <c r="F763" s="3" t="s">
        <v>1445</v>
      </c>
      <c r="G763" s="3" t="n">
        <v>184.5</v>
      </c>
      <c r="H763" s="3" t="n">
        <v>1</v>
      </c>
      <c r="I763" s="3" t="s">
        <v>65</v>
      </c>
      <c r="J763" s="3" t="n">
        <v>-1.52</v>
      </c>
      <c r="K763" s="3" t="n">
        <v>-6.34</v>
      </c>
      <c r="L763" s="3" t="s">
        <v>2391</v>
      </c>
      <c r="M763" s="3" t="s">
        <v>2391</v>
      </c>
      <c r="N763" s="3" t="s">
        <v>2391</v>
      </c>
      <c r="O763" s="3" t="n">
        <v>161.56</v>
      </c>
      <c r="P763" s="3" t="n">
        <v>-12.43</v>
      </c>
      <c r="Q763" s="3"/>
    </row>
    <row r="764" customFormat="false" ht="15" hidden="false" customHeight="false" outlineLevel="0" collapsed="false">
      <c r="A764" s="3" t="s">
        <v>484</v>
      </c>
      <c r="B764" s="3" t="s">
        <v>485</v>
      </c>
      <c r="C764" s="3" t="n">
        <v>2</v>
      </c>
      <c r="D764" s="3" t="s">
        <v>1462</v>
      </c>
      <c r="E764" s="3" t="n">
        <v>397.05</v>
      </c>
      <c r="F764" s="3" t="s">
        <v>1462</v>
      </c>
      <c r="G764" s="3" t="n">
        <v>397.05</v>
      </c>
      <c r="H764" s="3" t="n">
        <v>1</v>
      </c>
      <c r="I764" s="3" t="s">
        <v>65</v>
      </c>
      <c r="J764" s="3" t="n">
        <v>1.25</v>
      </c>
      <c r="K764" s="3" t="n">
        <v>0.74</v>
      </c>
      <c r="L764" s="3" t="s">
        <v>2391</v>
      </c>
      <c r="M764" s="3" t="s">
        <v>2391</v>
      </c>
      <c r="N764" s="3" t="s">
        <v>2391</v>
      </c>
      <c r="O764" s="3" t="n">
        <v>382.7</v>
      </c>
      <c r="P764" s="3" t="n">
        <v>-3.61</v>
      </c>
      <c r="Q764" s="3"/>
    </row>
    <row r="765" customFormat="false" ht="15" hidden="false" customHeight="false" outlineLevel="0" collapsed="false">
      <c r="A765" s="3" t="s">
        <v>490</v>
      </c>
      <c r="B765" s="3" t="s">
        <v>491</v>
      </c>
      <c r="C765" s="3" t="n">
        <v>5</v>
      </c>
      <c r="D765" s="3" t="s">
        <v>1462</v>
      </c>
      <c r="E765" s="3" t="n">
        <v>319.6</v>
      </c>
      <c r="F765" s="3" t="s">
        <v>1462</v>
      </c>
      <c r="G765" s="3" t="n">
        <v>319.6</v>
      </c>
      <c r="H765" s="3" t="n">
        <v>1</v>
      </c>
      <c r="I765" s="3" t="s">
        <v>65</v>
      </c>
      <c r="J765" s="3" t="n">
        <v>0.14</v>
      </c>
      <c r="K765" s="3" t="n">
        <v>-5.02</v>
      </c>
      <c r="L765" s="3" t="s">
        <v>2391</v>
      </c>
      <c r="M765" s="3" t="s">
        <v>2391</v>
      </c>
      <c r="N765" s="3" t="s">
        <v>2391</v>
      </c>
      <c r="O765" s="3" t="n">
        <v>302.25</v>
      </c>
      <c r="P765" s="3" t="n">
        <v>-5.43</v>
      </c>
      <c r="Q765" s="3"/>
    </row>
    <row r="766" customFormat="false" ht="15" hidden="false" customHeight="false" outlineLevel="0" collapsed="false">
      <c r="A766" s="3" t="s">
        <v>487</v>
      </c>
      <c r="B766" s="3" t="s">
        <v>488</v>
      </c>
      <c r="C766" s="3" t="n">
        <v>4</v>
      </c>
      <c r="D766" s="3" t="s">
        <v>1465</v>
      </c>
      <c r="E766" s="3" t="n">
        <v>11165</v>
      </c>
      <c r="F766" s="3" t="s">
        <v>1465</v>
      </c>
      <c r="G766" s="3" t="n">
        <v>11165</v>
      </c>
      <c r="H766" s="3" t="n">
        <v>1</v>
      </c>
      <c r="I766" s="3" t="s">
        <v>65</v>
      </c>
      <c r="J766" s="3" t="n">
        <v>-0.03</v>
      </c>
      <c r="K766" s="3" t="n">
        <v>-1.55</v>
      </c>
      <c r="L766" s="3" t="s">
        <v>2391</v>
      </c>
      <c r="M766" s="3" t="s">
        <v>2391</v>
      </c>
      <c r="N766" s="3" t="s">
        <v>2391</v>
      </c>
      <c r="O766" s="3" t="n">
        <v>10800</v>
      </c>
      <c r="P766" s="3" t="n">
        <v>-3.27</v>
      </c>
      <c r="Q766" s="3"/>
    </row>
    <row r="767" customFormat="false" ht="15" hidden="false" customHeight="false" outlineLevel="0" collapsed="false">
      <c r="A767" s="3" t="s">
        <v>187</v>
      </c>
      <c r="B767" s="3" t="s">
        <v>188</v>
      </c>
      <c r="C767" s="3" t="n">
        <v>3</v>
      </c>
      <c r="D767" s="3" t="s">
        <v>1465</v>
      </c>
      <c r="E767" s="3" t="n">
        <v>87.5</v>
      </c>
      <c r="F767" s="3" t="s">
        <v>1465</v>
      </c>
      <c r="G767" s="3" t="n">
        <v>87.5</v>
      </c>
      <c r="H767" s="3" t="n">
        <v>1</v>
      </c>
      <c r="I767" s="3" t="s">
        <v>65</v>
      </c>
      <c r="J767" s="3" t="n">
        <v>-0.9</v>
      </c>
      <c r="K767" s="3" t="n">
        <v>-0.75</v>
      </c>
      <c r="L767" s="3" t="s">
        <v>2391</v>
      </c>
      <c r="M767" s="3" t="s">
        <v>2391</v>
      </c>
      <c r="N767" s="3" t="s">
        <v>2391</v>
      </c>
      <c r="O767" s="3" t="n">
        <v>80.55</v>
      </c>
      <c r="P767" s="3" t="n">
        <v>-7.94</v>
      </c>
      <c r="Q767" s="3"/>
    </row>
    <row r="768" customFormat="false" ht="15" hidden="false" customHeight="false" outlineLevel="0" collapsed="false">
      <c r="A768" s="3" t="s">
        <v>1468</v>
      </c>
      <c r="B768" s="3" t="s">
        <v>1469</v>
      </c>
      <c r="C768" s="3" t="n">
        <v>0</v>
      </c>
      <c r="D768" s="3" t="s">
        <v>1465</v>
      </c>
      <c r="E768" s="3" t="n">
        <v>732</v>
      </c>
      <c r="F768" s="3" t="s">
        <v>1465</v>
      </c>
      <c r="G768" s="3" t="n">
        <v>732</v>
      </c>
      <c r="H768" s="3" t="n">
        <v>1</v>
      </c>
      <c r="I768" s="3" t="s">
        <v>65</v>
      </c>
      <c r="J768" s="3" t="n">
        <v>-1.64</v>
      </c>
      <c r="K768" s="3" t="n">
        <v>-2.22</v>
      </c>
      <c r="L768" s="3" t="s">
        <v>2391</v>
      </c>
      <c r="M768" s="3" t="s">
        <v>2391</v>
      </c>
      <c r="N768" s="3" t="s">
        <v>2391</v>
      </c>
      <c r="O768" s="3" t="n">
        <v>711</v>
      </c>
      <c r="P768" s="3" t="n">
        <v>-2.87</v>
      </c>
      <c r="Q768" s="3"/>
    </row>
    <row r="769" customFormat="false" ht="15" hidden="false" customHeight="false" outlineLevel="0" collapsed="false">
      <c r="A769" s="3" t="s">
        <v>550</v>
      </c>
      <c r="B769" s="3" t="s">
        <v>551</v>
      </c>
      <c r="C769" s="3" t="n">
        <v>5</v>
      </c>
      <c r="D769" s="3" t="s">
        <v>1465</v>
      </c>
      <c r="E769" s="3" t="n">
        <v>1615.2</v>
      </c>
      <c r="F769" s="3" t="s">
        <v>1465</v>
      </c>
      <c r="G769" s="3" t="n">
        <v>1615.2</v>
      </c>
      <c r="H769" s="3" t="n">
        <v>1</v>
      </c>
      <c r="I769" s="3" t="s">
        <v>65</v>
      </c>
      <c r="J769" s="3" t="n">
        <v>-1.75</v>
      </c>
      <c r="K769" s="3" t="n">
        <v>-4.43</v>
      </c>
      <c r="L769" s="3" t="s">
        <v>2391</v>
      </c>
      <c r="M769" s="3" t="s">
        <v>2391</v>
      </c>
      <c r="N769" s="3" t="s">
        <v>2391</v>
      </c>
      <c r="O769" s="3" t="n">
        <v>1470.8</v>
      </c>
      <c r="P769" s="3" t="n">
        <v>-8.94</v>
      </c>
      <c r="Q769" s="3"/>
    </row>
    <row r="770" customFormat="false" ht="15" hidden="false" customHeight="false" outlineLevel="0" collapsed="false">
      <c r="A770" s="3" t="s">
        <v>912</v>
      </c>
      <c r="B770" s="3" t="s">
        <v>913</v>
      </c>
      <c r="C770" s="3" t="n">
        <v>1</v>
      </c>
      <c r="D770" s="3" t="s">
        <v>1465</v>
      </c>
      <c r="E770" s="3" t="n">
        <v>269.3</v>
      </c>
      <c r="F770" s="3" t="s">
        <v>1465</v>
      </c>
      <c r="G770" s="3" t="n">
        <v>269.3</v>
      </c>
      <c r="H770" s="3" t="n">
        <v>1</v>
      </c>
      <c r="I770" s="3" t="s">
        <v>65</v>
      </c>
      <c r="J770" s="3" t="n">
        <v>2.53</v>
      </c>
      <c r="K770" s="3" t="n">
        <v>3.6</v>
      </c>
      <c r="L770" s="3" t="s">
        <v>2391</v>
      </c>
      <c r="M770" s="3" t="s">
        <v>2391</v>
      </c>
      <c r="N770" s="3" t="s">
        <v>2391</v>
      </c>
      <c r="O770" s="3" t="n">
        <v>256</v>
      </c>
      <c r="P770" s="3" t="n">
        <v>-4.94</v>
      </c>
      <c r="Q77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1709</v>
      </c>
      <c r="B1" s="1" t="s">
        <v>2392</v>
      </c>
    </row>
    <row r="2" customFormat="false" ht="15" hidden="false" customHeight="false" outlineLevel="0" collapsed="false">
      <c r="A2" s="3" t="s">
        <v>1719</v>
      </c>
      <c r="B2" s="3" t="s">
        <v>2393</v>
      </c>
    </row>
    <row r="3" customFormat="false" ht="15" hidden="false" customHeight="false" outlineLevel="0" collapsed="false">
      <c r="A3" s="3" t="s">
        <v>1722</v>
      </c>
      <c r="B3" s="3" t="s">
        <v>2393</v>
      </c>
    </row>
    <row r="4" customFormat="false" ht="15" hidden="false" customHeight="false" outlineLevel="0" collapsed="false">
      <c r="A4" s="3" t="s">
        <v>1723</v>
      </c>
      <c r="B4" s="3" t="s">
        <v>2393</v>
      </c>
    </row>
    <row r="5" customFormat="false" ht="15" hidden="false" customHeight="false" outlineLevel="0" collapsed="false">
      <c r="A5" s="3" t="s">
        <v>1724</v>
      </c>
      <c r="B5" s="3" t="s">
        <v>2393</v>
      </c>
    </row>
    <row r="6" customFormat="false" ht="15" hidden="false" customHeight="false" outlineLevel="0" collapsed="false">
      <c r="A6" s="3" t="s">
        <v>1725</v>
      </c>
      <c r="B6" s="3" t="s">
        <v>2393</v>
      </c>
    </row>
    <row r="7" customFormat="false" ht="15" hidden="false" customHeight="false" outlineLevel="0" collapsed="false">
      <c r="A7" s="3" t="s">
        <v>1726</v>
      </c>
      <c r="B7" s="3" t="s">
        <v>2393</v>
      </c>
    </row>
    <row r="8" customFormat="false" ht="15" hidden="false" customHeight="false" outlineLevel="0" collapsed="false">
      <c r="A8" s="3" t="s">
        <v>1727</v>
      </c>
      <c r="B8" s="3" t="s">
        <v>2393</v>
      </c>
    </row>
    <row r="9" customFormat="false" ht="15" hidden="false" customHeight="false" outlineLevel="0" collapsed="false">
      <c r="A9" s="3" t="s">
        <v>1728</v>
      </c>
      <c r="B9" s="3" t="s">
        <v>2393</v>
      </c>
    </row>
    <row r="10" customFormat="false" ht="15" hidden="false" customHeight="false" outlineLevel="0" collapsed="false">
      <c r="A10" s="3" t="s">
        <v>1729</v>
      </c>
      <c r="B10" s="3" t="s">
        <v>2393</v>
      </c>
    </row>
    <row r="11" customFormat="false" ht="15" hidden="false" customHeight="false" outlineLevel="0" collapsed="false">
      <c r="A11" s="3" t="s">
        <v>1730</v>
      </c>
      <c r="B11" s="3" t="s">
        <v>2393</v>
      </c>
    </row>
    <row r="12" customFormat="false" ht="15" hidden="false" customHeight="false" outlineLevel="0" collapsed="false">
      <c r="A12" s="3" t="s">
        <v>1731</v>
      </c>
      <c r="B12" s="3" t="s">
        <v>2393</v>
      </c>
    </row>
    <row r="13" customFormat="false" ht="15" hidden="false" customHeight="false" outlineLevel="0" collapsed="false">
      <c r="A13" s="3" t="s">
        <v>1732</v>
      </c>
      <c r="B13" s="3" t="s">
        <v>2393</v>
      </c>
    </row>
    <row r="14" customFormat="false" ht="15" hidden="false" customHeight="false" outlineLevel="0" collapsed="false">
      <c r="A14" s="3" t="s">
        <v>1733</v>
      </c>
      <c r="B14" s="3" t="s">
        <v>2393</v>
      </c>
    </row>
    <row r="15" customFormat="false" ht="15" hidden="false" customHeight="false" outlineLevel="0" collapsed="false">
      <c r="A15" s="3" t="s">
        <v>1734</v>
      </c>
      <c r="B15" s="3" t="s">
        <v>2393</v>
      </c>
    </row>
    <row r="16" customFormat="false" ht="15" hidden="false" customHeight="false" outlineLevel="0" collapsed="false">
      <c r="A16" s="3" t="s">
        <v>1735</v>
      </c>
      <c r="B16" s="3" t="s">
        <v>2393</v>
      </c>
    </row>
    <row r="17" customFormat="false" ht="15" hidden="false" customHeight="false" outlineLevel="0" collapsed="false">
      <c r="A17" s="3" t="s">
        <v>1736</v>
      </c>
      <c r="B17" s="3" t="s">
        <v>2393</v>
      </c>
    </row>
    <row r="18" customFormat="false" ht="15" hidden="false" customHeight="false" outlineLevel="0" collapsed="false">
      <c r="A18" s="3" t="s">
        <v>1737</v>
      </c>
      <c r="B18" s="3" t="s">
        <v>2393</v>
      </c>
    </row>
    <row r="19" customFormat="false" ht="15" hidden="false" customHeight="false" outlineLevel="0" collapsed="false">
      <c r="A19" s="3" t="s">
        <v>1738</v>
      </c>
      <c r="B19" s="3" t="s">
        <v>2393</v>
      </c>
    </row>
    <row r="20" customFormat="false" ht="15" hidden="false" customHeight="false" outlineLevel="0" collapsed="false">
      <c r="A20" s="3" t="s">
        <v>1739</v>
      </c>
      <c r="B20" s="3" t="s">
        <v>2393</v>
      </c>
    </row>
    <row r="21" customFormat="false" ht="15" hidden="false" customHeight="false" outlineLevel="0" collapsed="false">
      <c r="A21" s="3" t="s">
        <v>1740</v>
      </c>
      <c r="B21" s="3" t="s">
        <v>2393</v>
      </c>
    </row>
    <row r="22" customFormat="false" ht="15" hidden="false" customHeight="false" outlineLevel="0" collapsed="false">
      <c r="A22" s="3" t="s">
        <v>2011</v>
      </c>
      <c r="B22" s="3" t="s">
        <v>2394</v>
      </c>
    </row>
    <row r="23" customFormat="false" ht="15" hidden="false" customHeight="false" outlineLevel="0" collapsed="false">
      <c r="A23" s="3" t="s">
        <v>2013</v>
      </c>
      <c r="B23" s="3" t="s">
        <v>2394</v>
      </c>
    </row>
    <row r="24" customFormat="false" ht="15" hidden="false" customHeight="false" outlineLevel="0" collapsed="false">
      <c r="A24" s="3" t="s">
        <v>2014</v>
      </c>
      <c r="B24" s="3" t="s">
        <v>2394</v>
      </c>
    </row>
    <row r="25" customFormat="false" ht="15" hidden="false" customHeight="false" outlineLevel="0" collapsed="false">
      <c r="A25" s="3" t="s">
        <v>2015</v>
      </c>
      <c r="B25" s="3" t="s">
        <v>2394</v>
      </c>
    </row>
    <row r="26" customFormat="false" ht="15" hidden="false" customHeight="false" outlineLevel="0" collapsed="false">
      <c r="A26" s="3" t="s">
        <v>2016</v>
      </c>
      <c r="B26" s="3" t="s">
        <v>2394</v>
      </c>
    </row>
    <row r="27" customFormat="false" ht="15" hidden="false" customHeight="false" outlineLevel="0" collapsed="false">
      <c r="A27" s="3" t="s">
        <v>2017</v>
      </c>
      <c r="B27" s="3" t="s">
        <v>2394</v>
      </c>
    </row>
    <row r="28" customFormat="false" ht="15" hidden="false" customHeight="false" outlineLevel="0" collapsed="false">
      <c r="A28" s="3" t="s">
        <v>2018</v>
      </c>
      <c r="B28" s="3" t="s">
        <v>2394</v>
      </c>
    </row>
    <row r="29" customFormat="false" ht="15" hidden="false" customHeight="false" outlineLevel="0" collapsed="false">
      <c r="A29" s="3" t="s">
        <v>2019</v>
      </c>
      <c r="B29" s="3" t="s">
        <v>2395</v>
      </c>
    </row>
    <row r="30" customFormat="false" ht="15" hidden="false" customHeight="false" outlineLevel="0" collapsed="false">
      <c r="A30" s="3" t="s">
        <v>2021</v>
      </c>
      <c r="B30" s="3" t="s">
        <v>2395</v>
      </c>
    </row>
    <row r="31" customFormat="false" ht="15" hidden="false" customHeight="false" outlineLevel="0" collapsed="false">
      <c r="A31" s="3" t="s">
        <v>2022</v>
      </c>
      <c r="B31" s="3" t="s">
        <v>2395</v>
      </c>
    </row>
    <row r="32" customFormat="false" ht="15" hidden="false" customHeight="false" outlineLevel="0" collapsed="false">
      <c r="A32" s="3" t="s">
        <v>2023</v>
      </c>
      <c r="B32" s="3" t="s">
        <v>2395</v>
      </c>
    </row>
    <row r="33" customFormat="false" ht="15" hidden="false" customHeight="false" outlineLevel="0" collapsed="false">
      <c r="A33" s="3" t="s">
        <v>2024</v>
      </c>
      <c r="B33" s="3" t="s">
        <v>2395</v>
      </c>
    </row>
    <row r="34" customFormat="false" ht="15" hidden="false" customHeight="false" outlineLevel="0" collapsed="false">
      <c r="A34" s="3" t="s">
        <v>2025</v>
      </c>
      <c r="B34" s="3" t="s">
        <v>2395</v>
      </c>
    </row>
    <row r="35" customFormat="false" ht="15" hidden="false" customHeight="false" outlineLevel="0" collapsed="false">
      <c r="A35" s="3" t="s">
        <v>2026</v>
      </c>
      <c r="B35" s="3" t="s">
        <v>2395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2026-10-03T23:41:16Z</dcterms:created>
  <dc:creator>openpyxl</dc:creator>
  <dc:description/>
  <dc:language>en-US</dc:language>
  <cp:lastModifiedBy/>
  <dcterms:modified xsi:type="dcterms:W3CDTF">2026-10-03T23:41:16Z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